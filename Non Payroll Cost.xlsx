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ctivity Summary" sheetId="2" r:id="rId6"/>
    <sheet state="visible" name="Other input cost" sheetId="3" r:id="rId7"/>
    <sheet state="visible" name="Travel Input" sheetId="4" r:id="rId8"/>
    <sheet state="visible" name="Activity"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Sub-Activity:
1. Physical Tool
2. Digital Tool
3. Films</t>
      </text>
    </comment>
    <comment authorId="0" ref="D33">
      <text>
        <t xml:space="preserve">Sub-Activity:
1. Physical Tool
2. Digital Tool
3. Films</t>
      </text>
    </comment>
    <comment authorId="0" ref="D32">
      <text>
        <t xml:space="preserve">Sub-Activity:
1. Physical Tool
2. Digital Tool
3. Films</t>
      </text>
    </comment>
    <comment authorId="0" ref="D31">
      <text>
        <t xml:space="preserve">Sub-Activity:
1. Physical Tool
2. Digital Tool
3. Films</t>
      </text>
    </comment>
    <comment authorId="0" ref="D12">
      <text>
        <t xml:space="preserve">Sub- Activity
Advocacy
Collaboration
Administrative management</t>
      </text>
    </comment>
    <comment authorId="0" ref="D11">
      <text>
        <t xml:space="preserve">Sub- Activity
Advocacy
Collaboration
Administrative management</t>
      </text>
    </comment>
    <comment authorId="0" ref="D10">
      <text>
        <t xml:space="preserve">Sub- Activity
Advocacy
Collaboration
Administrative management</t>
      </text>
    </comment>
    <comment authorId="0" ref="D41">
      <text>
        <t xml:space="preserve">Sub-activity
Advocacy
Collaboration</t>
      </text>
    </comment>
    <comment authorId="0" ref="D40">
      <text>
        <t xml:space="preserve">Sub-activity
Advocacy
Collaboration</t>
      </text>
    </comment>
    <comment authorId="0" ref="D7">
      <text>
        <t xml:space="preserve">Sub-activity
1. WhatsApp
2. IVRS
3. Tele-training</t>
      </text>
    </comment>
    <comment authorId="0" ref="D5">
      <text>
        <t xml:space="preserve">Sub-Activity:
1. Physical Tool
2. Digital Tool
3. Films</t>
      </text>
    </comment>
  </commentList>
</comments>
</file>

<file path=xl/sharedStrings.xml><?xml version="1.0" encoding="utf-8"?>
<sst xmlns="http://schemas.openxmlformats.org/spreadsheetml/2006/main" count="703" uniqueCount="190">
  <si>
    <t>INDIA-PDD-MEDICAL</t>
  </si>
  <si>
    <t>Total 
CY-2026</t>
  </si>
  <si>
    <t>Sl. No.</t>
  </si>
  <si>
    <t>Activity</t>
  </si>
  <si>
    <t>Total 
I-2026</t>
  </si>
  <si>
    <t>Parent account</t>
  </si>
  <si>
    <t>GL Description</t>
  </si>
  <si>
    <t xml:space="preserve">RCT </t>
  </si>
  <si>
    <t>Basis of the expenses</t>
  </si>
  <si>
    <t>Country</t>
  </si>
  <si>
    <t>Entity</t>
  </si>
  <si>
    <t>Department</t>
  </si>
  <si>
    <t>Sub Department</t>
  </si>
  <si>
    <t>Sub group</t>
  </si>
  <si>
    <t>Expenses</t>
  </si>
  <si>
    <t>NHIPLC GL Description</t>
  </si>
  <si>
    <t>Ledger Code</t>
  </si>
  <si>
    <t>Budgets</t>
  </si>
  <si>
    <t>RCT BUDGET</t>
  </si>
  <si>
    <t>Data shared in Row 3 to Row 8 are expenses per person</t>
  </si>
  <si>
    <t>1-Framework designing and Content creation</t>
  </si>
  <si>
    <t>Supplies &amp; Printing Costs</t>
  </si>
  <si>
    <t>Other Direct Expenses</t>
  </si>
  <si>
    <t xml:space="preserve">India </t>
  </si>
  <si>
    <t>Travel &amp; Lodging Expenses</t>
  </si>
  <si>
    <t>NHIPLC</t>
  </si>
  <si>
    <t>PDD</t>
  </si>
  <si>
    <t>Medical</t>
  </si>
  <si>
    <t>Hotel Accomodation</t>
  </si>
  <si>
    <t>21-.Payroll &amp; Benefits</t>
  </si>
  <si>
    <t>Salaries and Wages</t>
  </si>
  <si>
    <t>Printing expenses</t>
  </si>
  <si>
    <t>Communication Cost</t>
  </si>
  <si>
    <t>Internet Expenses</t>
  </si>
  <si>
    <t>Postage &amp; Courier Expenses</t>
  </si>
  <si>
    <t>Health and Retirement Benefits</t>
  </si>
  <si>
    <t>Food Expenses</t>
  </si>
  <si>
    <t>Telecommunication expenses</t>
  </si>
  <si>
    <t>Other Staff Expenses</t>
  </si>
  <si>
    <t>Office Expenses</t>
  </si>
  <si>
    <t>Air fare</t>
  </si>
  <si>
    <t>Software and Subscriptions</t>
  </si>
  <si>
    <t xml:space="preserve">UpTo Date Software (53268) </t>
  </si>
  <si>
    <t>Cab/Auto</t>
  </si>
  <si>
    <t>Resource Persons</t>
  </si>
  <si>
    <t>Stationery &amp; Consumables</t>
  </si>
  <si>
    <t>MSE: Monthly awards (12x1000) + Nurses Day(500x18)</t>
  </si>
  <si>
    <t>Office Equipment Expense</t>
  </si>
  <si>
    <t>Bus/Train</t>
  </si>
  <si>
    <t>Direct Cost</t>
  </si>
  <si>
    <t>Professional &amp; Consultancy Charges</t>
  </si>
  <si>
    <t>Admin Consultants</t>
  </si>
  <si>
    <t>2 MO for mCCP Support</t>
  </si>
  <si>
    <t>Other Incidental Travel Costs</t>
  </si>
  <si>
    <t>Total</t>
  </si>
  <si>
    <t>Data to be filled in by the department</t>
  </si>
  <si>
    <t>Spoke to Neelima on 20th Jan with Usha Venkatachalam</t>
  </si>
  <si>
    <t xml:space="preserve">Select Activity in the dropdown in column B and put the supporting details just below the dropdown cell, </t>
  </si>
  <si>
    <t xml:space="preserve">LMS Platform for nurses - Med used it for MSEs launched in Dec 25 </t>
  </si>
  <si>
    <t>Put number of people travelling and no of days travel, the calculation will be auto populated</t>
  </si>
  <si>
    <t xml:space="preserve">CHAT GPT - Med 1 </t>
  </si>
  <si>
    <t xml:space="preserve">Nvivo is a one time purchase </t>
  </si>
  <si>
    <t>Core Activity</t>
  </si>
  <si>
    <t>Number of people travelling</t>
  </si>
  <si>
    <t xml:space="preserve">Shared by Sudeep originally </t>
  </si>
  <si>
    <t>Other incidental travel costs</t>
  </si>
  <si>
    <t>UpTo Date Software (53268) + 6 Publications (6*10000) + 5 IEC approval fee (35000*5)</t>
  </si>
  <si>
    <t>22.Program Immersion</t>
  </si>
  <si>
    <t>No of days travel</t>
  </si>
  <si>
    <t xml:space="preserve">we are updating only this cost in the sheet </t>
  </si>
  <si>
    <r>
      <rPr>
        <rFont val="Poppins"/>
        <b/>
        <color theme="1"/>
      </rPr>
      <t>MSEs</t>
    </r>
    <r>
      <rPr>
        <rFont val="Poppins"/>
        <color theme="1"/>
      </rPr>
      <t xml:space="preserve"> in the RES required to have program immersion by attending trainings/CCP in facilites/visiting own users to understand RES system, onboarding, user profile &amp; user interactions. This is also aligned with the recommendations from shared mission mode team working on MSEs expansion and capacity building. 18 MSEs to attend atleast 2 sessions/trainings in the year = 18 x 2 =36; biannually to attend MSE workshop in Bengaluru. Buget not calculated for child &amp; family members. </t>
    </r>
  </si>
  <si>
    <t>Indirect Cost</t>
  </si>
  <si>
    <t>3-Needs finding.Testing and prototyping</t>
  </si>
  <si>
    <t>Fixed Assets</t>
  </si>
  <si>
    <t>Elederly Care - Bengaluru; CKD - Bengaluru</t>
  </si>
  <si>
    <t xml:space="preserve">Med team has very limited exposure to field inclusing mCCP vertical. Atleast one field visit for each of the team member in one year within Karnataka without air travel. </t>
  </si>
  <si>
    <t>D+N+Saritha</t>
  </si>
  <si>
    <t xml:space="preserve">10.4-Medical Officer training
</t>
  </si>
  <si>
    <t xml:space="preserve">Medical to represent in MO/Doctors trainings in two states; One person attending for two days for each of these. </t>
  </si>
  <si>
    <t>11.Country Support</t>
  </si>
  <si>
    <t>Medical Director to represent NHIPLC India Leadership team nationally or/and for program support for the team nationally (for 4 visits annually)</t>
  </si>
  <si>
    <t xml:space="preserve">MOve to Prodcut </t>
  </si>
  <si>
    <t>4. Remote Engagement Service</t>
  </si>
  <si>
    <t xml:space="preserve">One medical lead - AI And National confrences </t>
  </si>
  <si>
    <t>7.1-RMM-Advocacy</t>
  </si>
  <si>
    <t xml:space="preserve">Atlest 4 conferences to be attended nationally by the team, 2 with 2 capita &amp;  2 with 1 caput; </t>
  </si>
  <si>
    <t>IN/Shared</t>
  </si>
  <si>
    <t>10.2-Non-bundled ToTs-Master Trainers</t>
  </si>
  <si>
    <t>S No</t>
  </si>
  <si>
    <t>Scope or Description of the activity</t>
  </si>
  <si>
    <t>1. IN</t>
  </si>
  <si>
    <t>1.IN-PDD-MED</t>
  </si>
  <si>
    <t>1. Development of content skeleton for medical information
2. Discussions with experts to gain deeper understand of the program (condition area, facility type, users etc)
3. Content development based on the country context, needs and government expectations</t>
  </si>
  <si>
    <t>YES</t>
  </si>
  <si>
    <t>1.IN-PDD-HCOMM</t>
  </si>
  <si>
    <t>2.IN-PDD-CDES</t>
  </si>
  <si>
    <t>2. Tool Development</t>
  </si>
  <si>
    <t>One caput to be in HIV/AIDS Phase 2 for 2 days; One caput for EPS (IF ANY STATE) for 3 days; One caput to attend EKJUT PLA Phase 3 implementation for 3 days</t>
  </si>
  <si>
    <t>1. Designs &amp; develops the required artefacts and tools basis the content to deliver program on-ground</t>
  </si>
  <si>
    <t>2.IN-PDD-FILM</t>
  </si>
  <si>
    <t>3.IN-PDD-SSDES</t>
  </si>
  <si>
    <t>1. Creating service design framework and systems maps for new condition areas
2. Testing content, tools or other program components before full-scale implementation</t>
  </si>
  <si>
    <t>4.IN-PDD-PRODMNGT</t>
  </si>
  <si>
    <t>5.IN-M&amp;E-MONITORING</t>
  </si>
  <si>
    <t>5-Monitoring</t>
  </si>
  <si>
    <t>1. Working in collaboration with PD implementation and tech ops to ensure regular data capturing 
2. Collecting feedback from stakeholders to assess program quality and adoption.
3. Sharing insights back with programmatic teams to drive performance improvements.</t>
  </si>
  <si>
    <t>6.IN-M&amp;E-EVAL</t>
  </si>
  <si>
    <t>6-Research</t>
  </si>
  <si>
    <t>1. Defining country-level research and evaluation strategy and the indicators to evaluate program success
2. Dissemination of country specific research at relevant platforms
3. Research study implementation and analysis</t>
  </si>
  <si>
    <t>7.IN-RMM</t>
  </si>
  <si>
    <t>4. Advocacy with government agencies or NGO bodies and keeping all relevant stakeholders informed about the progress and future plan.</t>
  </si>
  <si>
    <t>7.2-RMM-Collaboration</t>
  </si>
  <si>
    <t>5. Engaging with or exploring new opportunities for collaboration or strategy development with government agencies or NGOs.</t>
  </si>
  <si>
    <t>7.3-RMM-Administrative management</t>
  </si>
  <si>
    <t>1. Strategy meetings - planning and setting the long-term goals and desired outcomes of in-country CCP.
2. Budget meetings  with depatement heads for determining the resources needed to achieve the desired outcomes and ensuring they are  appropriately allocated
3. Regular check ins with the leads for evaluating progress and outcomes, and incorporating feedback to improve future planning and execution.</t>
  </si>
  <si>
    <t>9.IN-PDEL-TRNG</t>
  </si>
  <si>
    <t>9.Training design and delivery</t>
  </si>
  <si>
    <t>1. Designing country-specific training curriculum, and 
2. Conducting ToTs and other training in accordance to it</t>
  </si>
  <si>
    <t>10.IN-PDEL-IMP</t>
  </si>
  <si>
    <t>10.1-Bundled ToT- Master trainers</t>
  </si>
  <si>
    <t>1. On-ground planning and execution of training supportive activities. Meeting hospital administrators to get support for program...this can be either FOR a TOT or post the TOT.</t>
  </si>
  <si>
    <t xml:space="preserve">10.3-Booster/ Refresher Training
</t>
  </si>
  <si>
    <t xml:space="preserve">10.5-District level training
</t>
  </si>
  <si>
    <t>10.6-Facility Launch</t>
  </si>
  <si>
    <t>10.7-Supportive Supervision</t>
  </si>
  <si>
    <t>2. Support, supervise, facilitate pre and post ToT for regular monitoring of the program.</t>
  </si>
  <si>
    <t xml:space="preserve">10.8-Partnership Visits
</t>
  </si>
  <si>
    <t>3. Partnership visits for program advocacy, liaisioning, and expansion.</t>
  </si>
  <si>
    <t>11.IN-OPS-ADMIN</t>
  </si>
  <si>
    <t>11.IN-OPS-FIN</t>
  </si>
  <si>
    <t>11.IN-OPS-P&amp;C</t>
  </si>
  <si>
    <t>General</t>
  </si>
  <si>
    <t>1. Orientation and expsure visit for the new joinee as a part of the induction process.</t>
  </si>
  <si>
    <t xml:space="preserve">For staff salary and benefits, a separate activity in the name of " Payroll &amp; Benefits" in Dimension -5 will be used. Staff salary and benefits of all the departments will be tagged with this. </t>
  </si>
  <si>
    <t>2. SP</t>
  </si>
  <si>
    <t>2.SP-PDD-CONTENT</t>
  </si>
  <si>
    <t>2.SP-PDD-DESIGN</t>
  </si>
  <si>
    <t>2.SP-PDD-FILM</t>
  </si>
  <si>
    <t>7.SP-RMM</t>
  </si>
  <si>
    <t>4.Advocacy with government agencies or NGO bodies and keeping all relevant stakeholders informed about the progress and future plan.</t>
  </si>
  <si>
    <t>5.Engaging with or exploring new opportunities for collaboration or strategy development with government agencies or NGOs.</t>
  </si>
  <si>
    <t>RCT READINESS EXPERIMENTATION</t>
  </si>
  <si>
    <t>1. Strategy meetings - planning and setting the long-term goals and desired outcomes of CCP.
2. Budget meetings with depatement heads for determining the resources needed to achieve the desired outcomes and ensuring they are  appropriately allocated
3. Regular check ins with the leads for evaluating progress and outcomes, and incorporating feedback to improve future planning and execution.</t>
  </si>
  <si>
    <t>8.SP-PLATFORMS-PRODMNGT</t>
  </si>
  <si>
    <t xml:space="preserve">8.Platform Development &amp; Managment </t>
  </si>
  <si>
    <t>8.SP-PLATFORMS-ENG/SOFT DEV</t>
  </si>
  <si>
    <t>9.SP-TRNG</t>
  </si>
  <si>
    <t>Development of the training strategy and creation of training guidelines, best practices and tools for country teams to adopt and contextualize for delivery in the country</t>
  </si>
  <si>
    <t>12.SP-HS &amp; GHS</t>
  </si>
  <si>
    <t>12.1-Strategic Global Develpment-Advocacy</t>
  </si>
  <si>
    <t>12.2-Strategic Global Develpment-Collaboration</t>
  </si>
  <si>
    <t>19.SP-PDEL-IMP</t>
  </si>
  <si>
    <t>19.1-Coordination of on-ground trainings (TOTs)</t>
  </si>
  <si>
    <t>19.2-On-ground supervision and engagement</t>
  </si>
  <si>
    <t>2. Support, supervise, facilitate pre and post ToT for regular monitoring of the program.
3. Partnership visits for program advocacy, liaisioning, and expansion.</t>
  </si>
  <si>
    <t>20.SP-L&amp;S</t>
  </si>
  <si>
    <t>20.Knowledge sharing and dissemination</t>
  </si>
  <si>
    <t>1. Define and support countries with learning plans with country teams
2. Support internal and external sharing of learning insights of Noora Health's work</t>
  </si>
  <si>
    <t>20.SP-D&amp;R</t>
  </si>
  <si>
    <t>3. ER</t>
  </si>
  <si>
    <t>13.ER-LAB</t>
  </si>
  <si>
    <t>13.Design research on caregiving</t>
  </si>
  <si>
    <t>1. Development and execution of design research projects that advance our understanding of caregiving globally and regionally
2. Development of internal and external-facing materials that synthesize insights
3. Capacity-building for shared and country teams in design research approaches</t>
  </si>
  <si>
    <t>14.ER-EVAL</t>
  </si>
  <si>
    <t>14.Evaluation</t>
  </si>
  <si>
    <t>1. Development and execution of global research strategy
2. Supervision and support for research and evaluation studies in collaboration with external experts and country teams 
3. External communication of org-wide research, including dissemination of the research outcomes
4. Partnership management</t>
  </si>
  <si>
    <t>15.ER-FMGT</t>
  </si>
  <si>
    <t xml:space="preserve">15.Fundraising &amp; Development </t>
  </si>
  <si>
    <t xml:space="preserve">1. Initiatives to identify funding opportunities, maintain strong relationships with existing donors, and meet organizational fundraising goals 
2. Preparation and submission of renewals and proposals in collaboration with shared and country program teams
3. Support for country teams leading fundraising conversations
4. Representation of Noora Health's work at external conferences and events
5. Partner visit support and management </t>
  </si>
  <si>
    <t>4. SH</t>
  </si>
  <si>
    <t>16.ER-COMM</t>
  </si>
  <si>
    <t>16.Communications &amp; Brand</t>
  </si>
  <si>
    <t>1. External communication initiatives to support global public image and engage audiences, through brand campaigns, social media channels, blog, web, media engagement, impact reports, and more. 
2. Development of branding guidelines, style standards, toolkits, and themes
3. Support for in-country teams to develop contextualized communication and brand materials
4. Internal communication support
5. Support for advocacy-related intiatives at global convenings, i.e. Skoll, World Health Assembly, UNGA, etc.</t>
  </si>
  <si>
    <t>17.SH-EXP</t>
  </si>
  <si>
    <t>17.1-Strategic Global Develpment-Advocacy</t>
  </si>
  <si>
    <t>1-Existing country support</t>
  </si>
  <si>
    <t>17.2-Strategic Global Develpment-Collaboration</t>
  </si>
  <si>
    <t>2-New country scoping</t>
  </si>
  <si>
    <t>18.SH-FIN</t>
  </si>
  <si>
    <t>18.Global Support</t>
  </si>
  <si>
    <t>18.SH-P&amp;C</t>
  </si>
  <si>
    <t>18.SH-ADMIN</t>
  </si>
  <si>
    <t>We are keeping the process simple for this year, the number of activities are limited, and in each department there is one or maximum two main activities. Further, we have made it easy to find the activitry in the dropdownlist by prefixing the numfer with each activity. The number is identical to the concerend department. This numbering system facilitates quicker identification and selection of activities, ensuring a more efficient and user-friendly experience.</t>
  </si>
  <si>
    <t>Example-1</t>
  </si>
  <si>
    <r>
      <rPr>
        <rFont val="Arial"/>
        <color theme="1"/>
      </rPr>
      <t xml:space="preserve">In 90% cases,it is quite likely that the purpose of the visit or expenditure incurred are related to your core function such as
Deval from PDD-Medical has visited to Odisha in September 2024 for </t>
    </r>
    <r>
      <rPr>
        <rFont val="Arial"/>
        <b/>
        <i/>
        <color theme="1"/>
      </rPr>
      <t>1-Framework designing and Content creation</t>
    </r>
    <r>
      <rPr>
        <rFont val="Arial"/>
        <color theme="1"/>
      </rPr>
      <t xml:space="preserve"> activity and Ashwini from PDD- Creative Design to Odisha for </t>
    </r>
    <r>
      <rPr>
        <rFont val="Arial"/>
        <b/>
        <i/>
        <color theme="1"/>
      </rPr>
      <t>2.-Tool development.</t>
    </r>
    <r>
      <rPr>
        <rFont val="Arial"/>
        <color theme="1"/>
      </rPr>
      <t xml:space="preserve"> 
Though, both have gone to the same location at the same time, the purpose of their visit is different and they should select the activity for which they are responsible. It will help to find out the cost of each activity.
</t>
    </r>
  </si>
  <si>
    <t>Example-2</t>
  </si>
  <si>
    <r>
      <rPr>
        <rFont val="Arial"/>
        <color theme="1"/>
      </rPr>
      <t xml:space="preserve">a) It is also possible that the purpose of your visit or expenses incurred is not linked to your core function such as:
Parag from PD&gt; Implemantation team accompanied Deval from PDD-Medical and Tarana from PDD- Health Com for </t>
    </r>
    <r>
      <rPr>
        <rFont val="Arial"/>
        <b/>
        <i/>
        <color theme="1"/>
      </rPr>
      <t>1-Framework designing and Content creation</t>
    </r>
    <r>
      <rPr>
        <rFont val="Arial"/>
        <color theme="1"/>
      </rPr>
      <t xml:space="preserve"> in Septemeber. While submitting their expense statement, Parag should not tag activites listed under Implementation</t>
    </r>
    <r>
      <rPr>
        <rFont val="Arial"/>
        <b/>
        <i/>
        <color theme="1"/>
      </rPr>
      <t xml:space="preserve"> </t>
    </r>
    <r>
      <rPr>
        <rFont val="Arial"/>
        <color theme="1"/>
      </rPr>
      <t xml:space="preserve">but </t>
    </r>
    <r>
      <rPr>
        <rFont val="Arial"/>
        <b/>
        <i/>
        <color theme="1"/>
      </rPr>
      <t>1-Framework designing and Content creation</t>
    </r>
    <r>
      <rPr>
        <rFont val="Arial"/>
        <color theme="1"/>
      </rPr>
      <t xml:space="preserve">.The reason being the purpose of their visit is not ToT.
b)Similarly, Divya Mishra accompanied PDD-Service &amp; System Design team members for </t>
    </r>
    <r>
      <rPr>
        <rFont val="Arial"/>
        <b/>
        <i/>
        <color theme="1"/>
      </rPr>
      <t>3-Needs finding.Testing and prototyping</t>
    </r>
    <r>
      <rPr>
        <rFont val="Arial"/>
        <color theme="1"/>
      </rPr>
      <t xml:space="preserve">,  she should not tag </t>
    </r>
    <r>
      <rPr>
        <rFont val="Arial"/>
        <b/>
        <i/>
        <color theme="1"/>
      </rPr>
      <t>activities under Implementation</t>
    </r>
    <r>
      <rPr>
        <rFont val="Arial"/>
        <color theme="1"/>
      </rPr>
      <t xml:space="preserve"> while submission of expenses but </t>
    </r>
    <r>
      <rPr>
        <rFont val="Arial"/>
        <b/>
        <i/>
        <color theme="1"/>
      </rPr>
      <t>3-Needs finding.Testing and prototyping</t>
    </r>
    <r>
      <rPr>
        <rFont val="Arial"/>
        <color theme="1"/>
      </rPr>
      <t xml:space="preserve">. The reason being the purpose of her vist is </t>
    </r>
    <r>
      <rPr>
        <rFont val="Arial"/>
        <b/>
        <color theme="1"/>
      </rPr>
      <t>3-Needs finding.Testing and prototyping,</t>
    </r>
  </si>
  <si>
    <t>Example-3</t>
  </si>
  <si>
    <r>
      <rPr>
        <rFont val="Arial"/>
        <color theme="1"/>
      </rPr>
      <t xml:space="preserve">Another interesting example,during a </t>
    </r>
    <r>
      <rPr>
        <rFont val="Arial"/>
        <b/>
        <i/>
        <color theme="1"/>
      </rPr>
      <t>10.1-Bundled ToT- Master trainers,</t>
    </r>
    <r>
      <rPr>
        <rFont val="Arial"/>
        <color theme="1"/>
      </rPr>
      <t xml:space="preserve"> other team members are participating besides PD&gt; Implementing team members such as:
Pushpalata from PD&gt; </t>
    </r>
    <r>
      <rPr>
        <rFont val="Arial"/>
        <b/>
        <color theme="1"/>
      </rPr>
      <t>Training Design and delivery
Victoria f</t>
    </r>
    <r>
      <rPr>
        <rFont val="Arial"/>
        <color theme="1"/>
      </rPr>
      <t xml:space="preserve">rom PDD&gt; Product Management for Remote Engagement Service
Rahul from OPS&gt; </t>
    </r>
    <r>
      <rPr>
        <rFont val="Arial"/>
        <b/>
        <color theme="1"/>
      </rPr>
      <t xml:space="preserve">Finance for field exposure visit. </t>
    </r>
    <r>
      <rPr>
        <rFont val="Arial"/>
        <color theme="1"/>
      </rPr>
      <t xml:space="preserve">
Since, the purpose of Pushplata, Victoria and Rahul is not </t>
    </r>
    <r>
      <rPr>
        <rFont val="Arial"/>
        <b/>
        <i/>
        <color theme="1"/>
      </rPr>
      <t>10.1-Bundled ToT- Master trainers</t>
    </r>
    <r>
      <rPr>
        <rFont val="Arial"/>
        <color theme="1"/>
      </rPr>
      <t xml:space="preserve">, they must select the activity according to their respective purposes.
</t>
    </r>
  </si>
  <si>
    <t xml:space="preserve">Travel Summary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</si>
</sst>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d"/>
    <numFmt numFmtId="165" formatCode="mmm&quot;-&quot;yyyy"/>
    <numFmt numFmtId="166" formatCode="_(* #,##0_);_(* \(#,##0\);_(* &quot;-&quot;??_);_(@_)"/>
  </numFmts>
  <fonts count="17">
    <font>
      <sz val="10.0"/>
      <color rgb="FF000000"/>
      <name val="Arial"/>
      <scheme val="minor"/>
    </font>
    <font>
      <b/>
      <sz val="10.0"/>
      <color theme="1"/>
      <name val="Poppins"/>
    </font>
    <font/>
    <font>
      <b/>
      <sz val="11.0"/>
      <color theme="1"/>
      <name val="Poppins"/>
    </font>
    <font>
      <b/>
      <color theme="1"/>
      <name val="Poppins"/>
    </font>
    <font>
      <sz val="10.0"/>
      <color theme="1"/>
      <name val="Poppins"/>
    </font>
    <font>
      <color theme="1"/>
      <name val="Arial"/>
    </font>
    <font>
      <color theme="1"/>
      <name val="Arial"/>
      <scheme val="minor"/>
    </font>
    <font>
      <color theme="1"/>
      <name val="Poppins"/>
    </font>
    <font>
      <u/>
      <sz val="10.0"/>
      <color theme="1"/>
      <name val="Poppins"/>
    </font>
    <font>
      <sz val="10.0"/>
      <color rgb="FFFF0000"/>
      <name val="Poppins"/>
    </font>
    <font>
      <b/>
      <color theme="1"/>
      <name val="Arial"/>
    </font>
    <font>
      <sz val="10.0"/>
      <color rgb="FF000000"/>
      <name val="Poppins"/>
    </font>
    <font>
      <b/>
      <color rgb="FFFFFFFF"/>
      <name val="Arial"/>
    </font>
    <font>
      <sz val="11.0"/>
      <color theme="1"/>
      <name val="Arial"/>
    </font>
    <font>
      <b/>
      <color theme="1"/>
      <name val="Arial"/>
      <scheme val="minor"/>
    </font>
    <font>
      <b/>
      <color rgb="FF000000"/>
      <name val="Poppins"/>
    </font>
  </fonts>
  <fills count="30">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B7E1CD"/>
        <bgColor rgb="FFB7E1CD"/>
      </patternFill>
    </fill>
    <fill>
      <patternFill patternType="solid">
        <fgColor rgb="FFFFFFFF"/>
        <bgColor rgb="FFFFFFFF"/>
      </patternFill>
    </fill>
    <fill>
      <patternFill patternType="solid">
        <fgColor rgb="FFB6D7A8"/>
        <bgColor rgb="FFB6D7A8"/>
      </patternFill>
    </fill>
    <fill>
      <patternFill patternType="solid">
        <fgColor rgb="FF999999"/>
        <bgColor rgb="FF999999"/>
      </patternFill>
    </fill>
    <fill>
      <patternFill patternType="solid">
        <fgColor rgb="FFCFE2F3"/>
        <bgColor rgb="FFCFE2F3"/>
      </patternFill>
    </fill>
    <fill>
      <patternFill patternType="solid">
        <fgColor rgb="FF00FF00"/>
        <bgColor rgb="FF00FF00"/>
      </patternFill>
    </fill>
    <fill>
      <patternFill patternType="solid">
        <fgColor rgb="FFFEF2CB"/>
        <bgColor rgb="FFFEF2CB"/>
      </patternFill>
    </fill>
    <fill>
      <patternFill patternType="solid">
        <fgColor rgb="FFE6B8AF"/>
        <bgColor rgb="FFE6B8AF"/>
      </patternFill>
    </fill>
    <fill>
      <patternFill patternType="solid">
        <fgColor rgb="FFFF0000"/>
        <bgColor rgb="FFFF0000"/>
      </patternFill>
    </fill>
    <fill>
      <patternFill patternType="solid">
        <fgColor rgb="FFA4C2F4"/>
        <bgColor rgb="FFA4C2F4"/>
      </patternFill>
    </fill>
    <fill>
      <patternFill patternType="solid">
        <fgColor rgb="FFF6B26B"/>
        <bgColor rgb="FFF6B26B"/>
      </patternFill>
    </fill>
    <fill>
      <patternFill patternType="solid">
        <fgColor rgb="FF00FFFF"/>
        <bgColor rgb="FF00FFFF"/>
      </patternFill>
    </fill>
    <fill>
      <patternFill patternType="solid">
        <fgColor rgb="FFB4A7D6"/>
        <bgColor rgb="FFB4A7D6"/>
      </patternFill>
    </fill>
    <fill>
      <patternFill patternType="solid">
        <fgColor rgb="FFF1C232"/>
        <bgColor rgb="FFF1C232"/>
      </patternFill>
    </fill>
    <fill>
      <patternFill patternType="solid">
        <fgColor rgb="FF93C47D"/>
        <bgColor rgb="FF93C47D"/>
      </patternFill>
    </fill>
    <fill>
      <patternFill patternType="solid">
        <fgColor rgb="FF000000"/>
        <bgColor rgb="FF000000"/>
      </patternFill>
    </fill>
    <fill>
      <patternFill patternType="solid">
        <fgColor theme="8"/>
        <bgColor theme="8"/>
      </patternFill>
    </fill>
    <fill>
      <patternFill patternType="solid">
        <fgColor rgb="FFFCE5CD"/>
        <bgColor rgb="FFFCE5CD"/>
      </patternFill>
    </fill>
    <fill>
      <patternFill patternType="solid">
        <fgColor rgb="FFFFFF00"/>
        <bgColor rgb="FFFFFF00"/>
      </patternFill>
    </fill>
    <fill>
      <patternFill patternType="solid">
        <fgColor theme="7"/>
        <bgColor theme="7"/>
      </patternFill>
    </fill>
    <fill>
      <patternFill patternType="solid">
        <fgColor theme="9"/>
        <bgColor theme="9"/>
      </patternFill>
    </fill>
    <fill>
      <patternFill patternType="solid">
        <fgColor rgb="FFCCCCCC"/>
        <bgColor rgb="FFCCCCCC"/>
      </patternFill>
    </fill>
    <fill>
      <patternFill patternType="solid">
        <fgColor rgb="FFF4CCCC"/>
        <bgColor rgb="FFF4CCCC"/>
      </patternFill>
    </fill>
    <fill>
      <patternFill patternType="solid">
        <fgColor rgb="FFFF6D01"/>
        <bgColor rgb="FFFF6D01"/>
      </patternFill>
    </fill>
    <fill>
      <patternFill patternType="solid">
        <fgColor rgb="FF34A853"/>
        <bgColor rgb="FF34A853"/>
      </patternFill>
    </fill>
    <fill>
      <patternFill patternType="solid">
        <fgColor rgb="FF46BDC6"/>
        <bgColor rgb="FF46BDC6"/>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right style="thin">
        <color rgb="FF000000"/>
      </right>
      <top/>
      <bottom style="thin">
        <color rgb="FF000000"/>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164" xfId="0" applyAlignment="1" applyBorder="1" applyFill="1" applyFont="1" applyNumberFormat="1">
      <alignment horizontal="center" vertical="center"/>
    </xf>
    <xf borderId="5" fillId="3" fontId="3" numFmtId="165" xfId="0" applyAlignment="1" applyBorder="1" applyFont="1" applyNumberFormat="1">
      <alignment horizontal="center" shrinkToFit="0" vertical="center" wrapText="1"/>
    </xf>
    <xf borderId="1" fillId="2" fontId="1" numFmtId="0" xfId="0" applyAlignment="1" applyBorder="1" applyFont="1">
      <alignment horizontal="center" readingOrder="0" vertical="center"/>
    </xf>
    <xf borderId="5" fillId="4" fontId="3" numFmtId="0" xfId="0" applyAlignment="1" applyBorder="1" applyFill="1" applyFont="1">
      <alignment horizontal="center" vertical="center"/>
    </xf>
    <xf borderId="0" fillId="5" fontId="4" numFmtId="0" xfId="0" applyAlignment="1" applyFill="1" applyFont="1">
      <alignment horizontal="center" vertical="bottom"/>
    </xf>
    <xf borderId="3" fillId="4" fontId="3" numFmtId="0" xfId="0" applyAlignment="1" applyBorder="1" applyFont="1">
      <alignment horizontal="center" readingOrder="0" vertical="center"/>
    </xf>
    <xf borderId="3" fillId="4" fontId="3" numFmtId="0" xfId="0" applyAlignment="1" applyBorder="1" applyFont="1">
      <alignment horizontal="center" vertical="center"/>
    </xf>
    <xf borderId="5" fillId="3" fontId="4" numFmtId="0" xfId="0" applyAlignment="1" applyBorder="1" applyFont="1">
      <alignment horizontal="center" vertical="bottom"/>
    </xf>
    <xf borderId="5" fillId="6" fontId="4" numFmtId="0" xfId="0" applyAlignment="1" applyBorder="1" applyFill="1" applyFont="1">
      <alignment horizontal="center" readingOrder="0" vertical="bottom"/>
    </xf>
    <xf borderId="3" fillId="4" fontId="3" numFmtId="0" xfId="0" applyAlignment="1" applyBorder="1" applyFont="1">
      <alignment horizontal="center" shrinkToFit="0" vertical="center" wrapText="1"/>
    </xf>
    <xf borderId="4" fillId="3" fontId="1" numFmtId="0" xfId="0" applyAlignment="1" applyBorder="1" applyFont="1">
      <alignment horizontal="center" shrinkToFit="0" vertical="center" wrapText="1"/>
    </xf>
    <xf borderId="0" fillId="0" fontId="4" numFmtId="0" xfId="0" applyAlignment="1" applyFont="1">
      <alignment readingOrder="0" shrinkToFit="0" vertical="top" wrapText="0"/>
    </xf>
    <xf borderId="5" fillId="3" fontId="4"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1" fillId="4" fontId="3" numFmtId="164" xfId="0" applyAlignment="1" applyBorder="1" applyFont="1" applyNumberFormat="1">
      <alignment horizontal="center" shrinkToFit="0" vertical="center" wrapText="1"/>
    </xf>
    <xf borderId="6" fillId="3" fontId="1" numFmtId="0" xfId="0" applyAlignment="1" applyBorder="1" applyFont="1">
      <alignment horizontal="center" shrinkToFit="0" vertical="center" wrapText="1"/>
    </xf>
    <xf borderId="3" fillId="4" fontId="3" numFmtId="164" xfId="0" applyAlignment="1" applyBorder="1" applyFont="1" applyNumberFormat="1">
      <alignment horizontal="center" vertical="center"/>
    </xf>
    <xf borderId="5" fillId="3" fontId="1" numFmtId="166" xfId="0" applyAlignment="1" applyBorder="1" applyFont="1" applyNumberFormat="1">
      <alignment horizontal="center" vertical="center"/>
    </xf>
    <xf borderId="7" fillId="0" fontId="5" numFmtId="0" xfId="0" applyAlignment="1" applyBorder="1" applyFont="1">
      <alignment vertical="bottom"/>
    </xf>
    <xf borderId="4" fillId="3" fontId="1" numFmtId="0" xfId="0" applyAlignment="1" applyBorder="1" applyFont="1">
      <alignment horizontal="center" shrinkToFit="0" wrapText="1"/>
    </xf>
    <xf borderId="5" fillId="3" fontId="1" numFmtId="17" xfId="0" applyAlignment="1" applyBorder="1" applyFont="1" applyNumberFormat="1">
      <alignment horizontal="center" vertical="center"/>
    </xf>
    <xf borderId="5" fillId="3" fontId="4" numFmtId="0" xfId="0" applyAlignment="1" applyBorder="1" applyFont="1">
      <alignment horizontal="center" shrinkToFit="0" vertical="bottom" wrapText="1"/>
    </xf>
    <xf borderId="5" fillId="3" fontId="4" numFmtId="0" xfId="0" applyAlignment="1" applyBorder="1" applyFont="1">
      <alignment horizontal="center" vertical="bottom"/>
    </xf>
    <xf borderId="3" fillId="3" fontId="4" numFmtId="0" xfId="0" applyAlignment="1" applyBorder="1" applyFont="1">
      <alignment horizontal="center" shrinkToFit="0" vertical="bottom" wrapText="1"/>
    </xf>
    <xf borderId="5" fillId="3" fontId="4" numFmtId="0" xfId="0" applyAlignment="1" applyBorder="1" applyFont="1">
      <alignment horizontal="center" readingOrder="0" vertical="bottom"/>
    </xf>
    <xf borderId="8" fillId="0" fontId="5" numFmtId="0" xfId="0" applyAlignment="1" applyBorder="1" applyFont="1">
      <alignment vertical="bottom"/>
    </xf>
    <xf borderId="0" fillId="0" fontId="5" numFmtId="0" xfId="0" applyAlignment="1" applyFont="1">
      <alignment vertical="bottom"/>
    </xf>
    <xf borderId="6" fillId="3" fontId="1" numFmtId="0" xfId="0" applyAlignment="1" applyBorder="1" applyFont="1">
      <alignment horizontal="center" readingOrder="0" shrinkToFit="0" wrapText="1"/>
    </xf>
    <xf borderId="9" fillId="0" fontId="5" numFmtId="0" xfId="0" applyAlignment="1" applyBorder="1" applyFont="1">
      <alignment vertical="bottom"/>
    </xf>
    <xf borderId="6" fillId="3" fontId="1" numFmtId="0" xfId="0" applyAlignment="1" applyBorder="1" applyFont="1">
      <alignment horizontal="center" shrinkToFit="0" wrapText="1"/>
    </xf>
    <xf borderId="4" fillId="0" fontId="5" numFmtId="0" xfId="0" applyAlignment="1" applyBorder="1" applyFont="1">
      <alignment horizontal="right" vertical="bottom"/>
    </xf>
    <xf borderId="0" fillId="5" fontId="4" numFmtId="166" xfId="0" applyAlignment="1" applyFont="1" applyNumberFormat="1">
      <alignment horizontal="center" vertical="center"/>
    </xf>
    <xf borderId="5" fillId="3" fontId="1" numFmtId="166" xfId="0" applyAlignment="1" applyBorder="1" applyFont="1" applyNumberFormat="1">
      <alignment horizontal="center"/>
    </xf>
    <xf borderId="5" fillId="3" fontId="4" numFmtId="17" xfId="0" applyAlignment="1" applyBorder="1" applyFont="1" applyNumberFormat="1">
      <alignment horizontal="center" vertical="bottom"/>
    </xf>
    <xf borderId="9" fillId="0" fontId="6" numFmtId="0" xfId="0" applyBorder="1" applyFont="1"/>
    <xf borderId="5" fillId="3" fontId="1" numFmtId="17" xfId="0" applyAlignment="1" applyBorder="1" applyFont="1" applyNumberFormat="1">
      <alignment horizontal="center"/>
    </xf>
    <xf borderId="0" fillId="0" fontId="7" numFmtId="0" xfId="0" applyAlignment="1" applyFont="1">
      <alignment vertical="center"/>
    </xf>
    <xf borderId="4" fillId="3" fontId="4" numFmtId="0" xfId="0" applyAlignment="1" applyBorder="1" applyFont="1">
      <alignment horizontal="center" vertical="bottom"/>
    </xf>
    <xf borderId="4" fillId="3" fontId="4" numFmtId="0" xfId="0" applyAlignment="1" applyBorder="1" applyFont="1">
      <alignment horizontal="center" readingOrder="0" vertical="bottom"/>
    </xf>
    <xf borderId="0" fillId="0" fontId="6" numFmtId="0" xfId="0" applyFont="1"/>
    <xf borderId="10" fillId="0" fontId="4" numFmtId="0" xfId="0" applyAlignment="1" applyBorder="1" applyFont="1">
      <alignment readingOrder="0" shrinkToFit="0" vertical="top" wrapText="0"/>
    </xf>
    <xf borderId="11" fillId="3" fontId="5" numFmtId="0" xfId="0" applyAlignment="1" applyBorder="1" applyFont="1">
      <alignment readingOrder="0" vertical="bottom"/>
    </xf>
    <xf borderId="10" fillId="0" fontId="6" numFmtId="0" xfId="0" applyAlignment="1" applyBorder="1" applyFont="1">
      <alignment vertical="bottom"/>
    </xf>
    <xf borderId="11" fillId="0" fontId="5" numFmtId="0" xfId="0" applyAlignment="1" applyBorder="1" applyFont="1">
      <alignment vertical="bottom"/>
    </xf>
    <xf borderId="11" fillId="0" fontId="6" numFmtId="3" xfId="0" applyAlignment="1" applyBorder="1" applyFont="1" applyNumberFormat="1">
      <alignment vertical="bottom"/>
    </xf>
    <xf borderId="4" fillId="7" fontId="5" numFmtId="0" xfId="0" applyBorder="1" applyFill="1" applyFont="1"/>
    <xf borderId="11" fillId="0" fontId="5" numFmtId="0" xfId="0" applyAlignment="1" applyBorder="1" applyFont="1">
      <alignment shrinkToFit="0" vertical="bottom" wrapText="1"/>
    </xf>
    <xf borderId="10" fillId="0" fontId="6" numFmtId="3" xfId="0" applyAlignment="1" applyBorder="1" applyFont="1" applyNumberFormat="1">
      <alignment vertical="bottom"/>
    </xf>
    <xf borderId="5" fillId="0" fontId="8" numFmtId="0" xfId="0" applyAlignment="1" applyBorder="1" applyFont="1">
      <alignment horizontal="center" vertical="bottom"/>
    </xf>
    <xf borderId="1" fillId="3" fontId="1" numFmtId="17" xfId="0" applyAlignment="1" applyBorder="1" applyFont="1" applyNumberFormat="1">
      <alignment horizontal="center"/>
    </xf>
    <xf borderId="3" fillId="0" fontId="8" numFmtId="0" xfId="0" applyAlignment="1" applyBorder="1" applyFont="1">
      <alignment horizontal="center" vertical="bottom"/>
    </xf>
    <xf borderId="0" fillId="5" fontId="4" numFmtId="166" xfId="0" applyAlignment="1" applyFont="1" applyNumberFormat="1">
      <alignment horizontal="center" vertical="bottom"/>
    </xf>
    <xf borderId="5" fillId="0" fontId="8" numFmtId="0" xfId="0" applyAlignment="1" applyBorder="1" applyFont="1">
      <alignment vertical="bottom"/>
    </xf>
    <xf borderId="3" fillId="0" fontId="8" numFmtId="0" xfId="0" applyAlignment="1" applyBorder="1" applyFont="1">
      <alignment vertical="bottom"/>
    </xf>
    <xf borderId="0" fillId="0" fontId="6" numFmtId="0" xfId="0" applyAlignment="1" applyFont="1">
      <alignment vertical="bottom"/>
    </xf>
    <xf borderId="4" fillId="0" fontId="5" numFmtId="0" xfId="0" applyBorder="1" applyFont="1"/>
    <xf borderId="11" fillId="0" fontId="5" numFmtId="3" xfId="0" applyAlignment="1" applyBorder="1" applyFont="1" applyNumberFormat="1">
      <alignment horizontal="right" vertical="bottom"/>
    </xf>
    <xf borderId="11" fillId="3" fontId="5" numFmtId="3" xfId="0" applyAlignment="1" applyBorder="1" applyFont="1" applyNumberFormat="1">
      <alignment readingOrder="0" vertical="bottom"/>
    </xf>
    <xf borderId="12" fillId="8" fontId="4" numFmtId="0" xfId="0" applyAlignment="1" applyBorder="1" applyFill="1" applyFont="1">
      <alignment horizontal="center" readingOrder="0" textRotation="0" vertical="center"/>
    </xf>
    <xf borderId="11" fillId="7" fontId="5" numFmtId="166" xfId="0" applyBorder="1" applyFont="1" applyNumberFormat="1"/>
    <xf borderId="11" fillId="8" fontId="8" numFmtId="0" xfId="0" applyAlignment="1" applyBorder="1" applyFont="1">
      <alignment vertical="top"/>
    </xf>
    <xf borderId="11" fillId="5" fontId="5" numFmtId="166" xfId="0" applyAlignment="1" applyBorder="1" applyFont="1" applyNumberFormat="1">
      <alignment readingOrder="0"/>
    </xf>
    <xf borderId="5" fillId="0" fontId="8" numFmtId="3" xfId="0" applyAlignment="1" applyBorder="1" applyFont="1" applyNumberFormat="1">
      <alignment horizontal="right" vertical="bottom"/>
    </xf>
    <xf borderId="3" fillId="0" fontId="8" numFmtId="0" xfId="0" applyAlignment="1" applyBorder="1" applyFont="1">
      <alignment readingOrder="0" vertical="bottom"/>
    </xf>
    <xf borderId="11" fillId="8" fontId="8" numFmtId="0" xfId="0" applyAlignment="1" applyBorder="1" applyFont="1">
      <alignment horizontal="center" readingOrder="0" vertical="top"/>
    </xf>
    <xf borderId="11" fillId="0" fontId="5" numFmtId="166" xfId="0" applyBorder="1" applyFont="1" applyNumberFormat="1"/>
    <xf borderId="11" fillId="8" fontId="8" numFmtId="3" xfId="0" applyAlignment="1" applyBorder="1" applyFont="1" applyNumberFormat="1">
      <alignment horizontal="right" vertical="top"/>
    </xf>
    <xf borderId="5" fillId="0" fontId="5" numFmtId="166" xfId="0" applyBorder="1" applyFont="1" applyNumberFormat="1"/>
    <xf borderId="0" fillId="5" fontId="5" numFmtId="0" xfId="0" applyFont="1"/>
    <xf borderId="5" fillId="0" fontId="7" numFmtId="3" xfId="0" applyBorder="1" applyFont="1" applyNumberFormat="1"/>
    <xf borderId="0" fillId="0" fontId="6" numFmtId="0" xfId="0" applyAlignment="1" applyFont="1">
      <alignment vertical="top"/>
    </xf>
    <xf borderId="4" fillId="0" fontId="8" numFmtId="0" xfId="0" applyAlignment="1" applyBorder="1" applyFont="1">
      <alignment vertical="bottom"/>
    </xf>
    <xf borderId="11" fillId="0" fontId="8" numFmtId="0" xfId="0" applyAlignment="1" applyBorder="1" applyFont="1">
      <alignment vertical="bottom"/>
    </xf>
    <xf borderId="11" fillId="0" fontId="8" numFmtId="0" xfId="0" applyAlignment="1" applyBorder="1" applyFont="1">
      <alignment readingOrder="0" vertical="bottom"/>
    </xf>
    <xf borderId="11" fillId="0" fontId="8" numFmtId="0" xfId="0" applyAlignment="1" applyBorder="1" applyFont="1">
      <alignment horizontal="center" vertical="bottom"/>
    </xf>
    <xf borderId="7" fillId="0" fontId="2" numFmtId="0" xfId="0" applyBorder="1" applyFont="1"/>
    <xf borderId="5" fillId="9" fontId="5" numFmtId="0" xfId="0" applyAlignment="1" applyBorder="1" applyFill="1" applyFont="1">
      <alignment horizontal="right" vertical="bottom"/>
    </xf>
    <xf borderId="11" fillId="9" fontId="5" numFmtId="0" xfId="0" applyAlignment="1" applyBorder="1" applyFont="1">
      <alignment readingOrder="0" vertical="bottom"/>
    </xf>
    <xf borderId="5" fillId="9" fontId="5" numFmtId="0" xfId="0" applyAlignment="1" applyBorder="1" applyFont="1">
      <alignment vertical="bottom"/>
    </xf>
    <xf borderId="5" fillId="9" fontId="5" numFmtId="0" xfId="0" applyAlignment="1" applyBorder="1" applyFont="1">
      <alignment readingOrder="0" shrinkToFit="0" vertical="bottom" wrapText="1"/>
    </xf>
    <xf borderId="11" fillId="9" fontId="5" numFmtId="3" xfId="0" applyAlignment="1" applyBorder="1" applyFont="1" applyNumberFormat="1">
      <alignment horizontal="right" vertical="bottom"/>
    </xf>
    <xf borderId="11" fillId="9" fontId="5" numFmtId="3" xfId="0" applyAlignment="1" applyBorder="1" applyFont="1" applyNumberFormat="1">
      <alignment readingOrder="0" vertical="bottom"/>
    </xf>
    <xf borderId="5" fillId="9" fontId="8" numFmtId="3" xfId="0" applyAlignment="1" applyBorder="1" applyFont="1" applyNumberFormat="1">
      <alignment horizontal="right" vertical="bottom"/>
    </xf>
    <xf borderId="4" fillId="9" fontId="5" numFmtId="0" xfId="0" applyAlignment="1" applyBorder="1" applyFont="1">
      <alignment horizontal="right" vertical="bottom"/>
    </xf>
    <xf borderId="11" fillId="9" fontId="5" numFmtId="0" xfId="0" applyAlignment="1" applyBorder="1" applyFont="1">
      <alignment vertical="bottom"/>
    </xf>
    <xf borderId="11" fillId="9" fontId="5" numFmtId="0" xfId="0" applyAlignment="1" applyBorder="1" applyFont="1">
      <alignment readingOrder="0" shrinkToFit="0" vertical="bottom" wrapText="1"/>
    </xf>
    <xf borderId="5" fillId="0" fontId="5" numFmtId="0" xfId="0" applyAlignment="1" applyBorder="1" applyFont="1">
      <alignment horizontal="right" vertical="bottom"/>
    </xf>
    <xf borderId="5" fillId="0" fontId="5" numFmtId="0" xfId="0" applyAlignment="1" applyBorder="1" applyFont="1">
      <alignment vertical="bottom"/>
    </xf>
    <xf borderId="5" fillId="0" fontId="5" numFmtId="0" xfId="0" applyAlignment="1" applyBorder="1" applyFont="1">
      <alignment shrinkToFit="0" vertical="bottom" wrapText="1"/>
    </xf>
    <xf borderId="11" fillId="8" fontId="8" numFmtId="3" xfId="0" applyAlignment="1" applyBorder="1" applyFont="1" applyNumberFormat="1">
      <alignment horizontal="right" readingOrder="0" vertical="top"/>
    </xf>
    <xf borderId="11" fillId="0" fontId="5" numFmtId="0" xfId="0" applyBorder="1" applyFont="1"/>
    <xf borderId="3" fillId="0" fontId="5" numFmtId="0" xfId="0" applyBorder="1" applyFont="1"/>
    <xf borderId="11" fillId="0" fontId="5" numFmtId="0" xfId="0" applyAlignment="1" applyBorder="1" applyFont="1">
      <alignment horizontal="center"/>
    </xf>
    <xf borderId="11" fillId="5" fontId="5" numFmtId="166" xfId="0" applyBorder="1" applyFont="1" applyNumberFormat="1"/>
    <xf borderId="4" fillId="0" fontId="2" numFmtId="0" xfId="0" applyBorder="1" applyFont="1"/>
    <xf borderId="5" fillId="2" fontId="1" numFmtId="0" xfId="0" applyAlignment="1" applyBorder="1" applyFont="1">
      <alignment horizontal="center" vertical="bottom"/>
    </xf>
    <xf borderId="5" fillId="2" fontId="1" numFmtId="0" xfId="0" applyAlignment="1" applyBorder="1" applyFont="1">
      <alignment horizontal="center" shrinkToFit="0" vertical="bottom" wrapText="1"/>
    </xf>
    <xf borderId="11" fillId="5" fontId="1" numFmtId="3" xfId="0" applyAlignment="1" applyBorder="1" applyFont="1" applyNumberFormat="1">
      <alignment horizontal="right" vertical="bottom"/>
    </xf>
    <xf borderId="5" fillId="2" fontId="4" numFmtId="3" xfId="0" applyAlignment="1" applyBorder="1" applyFont="1" applyNumberFormat="1">
      <alignment horizontal="right" vertical="bottom"/>
    </xf>
    <xf borderId="0" fillId="0" fontId="5" numFmtId="0" xfId="0" applyAlignment="1" applyFont="1">
      <alignment shrinkToFit="0" vertical="bottom" wrapText="1"/>
    </xf>
    <xf borderId="0" fillId="10" fontId="6" numFmtId="0" xfId="0" applyAlignment="1" applyFill="1" applyFont="1">
      <alignment vertical="bottom"/>
    </xf>
    <xf borderId="0" fillId="0" fontId="4" numFmtId="0" xfId="0" applyAlignment="1" applyFont="1">
      <alignment vertical="bottom"/>
    </xf>
    <xf borderId="0" fillId="0" fontId="4" numFmtId="0" xfId="0" applyAlignment="1" applyFont="1">
      <alignment readingOrder="0" shrinkToFit="0" vertical="center" wrapText="0"/>
    </xf>
    <xf borderId="0" fillId="0" fontId="9" numFmtId="0" xfId="0" applyAlignment="1" applyFont="1">
      <alignment readingOrder="0" vertical="bottom"/>
    </xf>
    <xf borderId="0" fillId="0" fontId="10" numFmtId="0" xfId="0" applyAlignment="1" applyFont="1">
      <alignment readingOrder="0" vertical="bottom"/>
    </xf>
    <xf borderId="10" fillId="0" fontId="4" numFmtId="0" xfId="0" applyAlignment="1" applyBorder="1" applyFont="1">
      <alignment readingOrder="0" shrinkToFit="0" vertical="center" wrapText="0"/>
    </xf>
    <xf borderId="0" fillId="9" fontId="4" numFmtId="0" xfId="0" applyAlignment="1" applyFont="1">
      <alignment readingOrder="0" shrinkToFit="0" vertical="top" wrapText="0"/>
    </xf>
    <xf borderId="12" fillId="9" fontId="4" numFmtId="0" xfId="0" applyAlignment="1" applyBorder="1" applyFont="1">
      <alignment horizontal="left" readingOrder="0" shrinkToFit="0" textRotation="0" vertical="center" wrapText="1"/>
    </xf>
    <xf borderId="5" fillId="9" fontId="4" numFmtId="0" xfId="0" applyAlignment="1" applyBorder="1" applyFont="1">
      <alignment vertical="top"/>
    </xf>
    <xf borderId="12" fillId="9" fontId="3" numFmtId="3" xfId="0" applyAlignment="1" applyBorder="1" applyFont="1" applyNumberFormat="1">
      <alignment horizontal="center" readingOrder="0" vertical="center"/>
    </xf>
    <xf borderId="0" fillId="0" fontId="5" numFmtId="0" xfId="0" applyAlignment="1" applyFont="1">
      <alignment readingOrder="0" shrinkToFit="0" vertical="bottom" wrapText="1"/>
    </xf>
    <xf borderId="5" fillId="9" fontId="11" numFmtId="3" xfId="0" applyAlignment="1" applyBorder="1" applyFont="1" applyNumberFormat="1">
      <alignment horizontal="center" readingOrder="0" vertical="top"/>
    </xf>
    <xf borderId="11" fillId="0" fontId="5" numFmtId="0" xfId="0" applyAlignment="1" applyBorder="1" applyFont="1">
      <alignment readingOrder="0" shrinkToFit="0" vertical="bottom" wrapText="1"/>
    </xf>
    <xf borderId="9" fillId="9" fontId="6" numFmtId="0" xfId="0" applyAlignment="1" applyBorder="1" applyFont="1">
      <alignment vertical="top"/>
    </xf>
    <xf borderId="0" fillId="9" fontId="6" numFmtId="0" xfId="0" applyAlignment="1" applyFont="1">
      <alignment vertical="top"/>
    </xf>
    <xf borderId="0" fillId="0" fontId="5" numFmtId="0" xfId="0" applyAlignment="1" applyFont="1">
      <alignment readingOrder="0" vertical="bottom"/>
    </xf>
    <xf borderId="7" fillId="9" fontId="8" numFmtId="0" xfId="0" applyAlignment="1" applyBorder="1" applyFont="1">
      <alignment horizontal="center" readingOrder="0" shrinkToFit="0" textRotation="0" vertical="center" wrapText="1"/>
    </xf>
    <xf borderId="5" fillId="9" fontId="3" numFmtId="3" xfId="0" applyAlignment="1" applyBorder="1" applyFont="1" applyNumberFormat="1">
      <alignment horizontal="center" readingOrder="0" vertical="top"/>
    </xf>
    <xf borderId="5" fillId="0" fontId="7" numFmtId="0" xfId="0" applyBorder="1" applyFont="1"/>
    <xf borderId="5" fillId="9" fontId="4" numFmtId="0" xfId="0" applyAlignment="1" applyBorder="1" applyFont="1">
      <alignment readingOrder="0" vertical="top"/>
    </xf>
    <xf borderId="5" fillId="9" fontId="4" numFmtId="3" xfId="0" applyAlignment="1" applyBorder="1" applyFont="1" applyNumberFormat="1">
      <alignment horizontal="center" readingOrder="0" vertical="top"/>
    </xf>
    <xf borderId="0" fillId="0" fontId="5" numFmtId="3" xfId="0" applyAlignment="1" applyFont="1" applyNumberFormat="1">
      <alignment vertical="bottom"/>
    </xf>
    <xf borderId="5" fillId="9" fontId="4" numFmtId="3" xfId="0" applyAlignment="1" applyBorder="1" applyFont="1" applyNumberFormat="1">
      <alignment horizontal="right" readingOrder="0" vertical="top"/>
    </xf>
    <xf borderId="12" fillId="11" fontId="8" numFmtId="0" xfId="0" applyAlignment="1" applyBorder="1" applyFill="1" applyFont="1">
      <alignment horizontal="left" readingOrder="0" shrinkToFit="0" textRotation="0" vertical="center" wrapText="1"/>
    </xf>
    <xf borderId="5" fillId="0" fontId="8" numFmtId="0" xfId="0" applyAlignment="1" applyBorder="1" applyFont="1">
      <alignment vertical="top"/>
    </xf>
    <xf borderId="5" fillId="9" fontId="4" numFmtId="3" xfId="0" applyAlignment="1" applyBorder="1" applyFont="1" applyNumberFormat="1">
      <alignment horizontal="center" vertical="top"/>
    </xf>
    <xf borderId="5" fillId="12" fontId="8" numFmtId="3" xfId="0" applyAlignment="1" applyBorder="1" applyFill="1" applyFont="1" applyNumberFormat="1">
      <alignment horizontal="right" vertical="top"/>
    </xf>
    <xf borderId="5" fillId="12" fontId="8" numFmtId="3" xfId="0" applyAlignment="1" applyBorder="1" applyFont="1" applyNumberFormat="1">
      <alignment horizontal="right" readingOrder="0" vertical="top"/>
    </xf>
    <xf borderId="5" fillId="0" fontId="5" numFmtId="0" xfId="0" applyBorder="1" applyFont="1"/>
    <xf borderId="5" fillId="0" fontId="6" numFmtId="3" xfId="0" applyAlignment="1" applyBorder="1" applyFont="1" applyNumberFormat="1">
      <alignment horizontal="right" vertical="top"/>
    </xf>
    <xf borderId="5" fillId="0" fontId="12" numFmtId="0" xfId="0" applyAlignment="1" applyBorder="1" applyFont="1">
      <alignment shrinkToFit="0" vertical="bottom" wrapText="0"/>
    </xf>
    <xf borderId="0" fillId="5" fontId="5" numFmtId="3" xfId="0" applyFont="1" applyNumberFormat="1"/>
    <xf borderId="0" fillId="5" fontId="1" numFmtId="0" xfId="0" applyFont="1"/>
    <xf borderId="13" fillId="2" fontId="5" numFmtId="0" xfId="0" applyBorder="1" applyFont="1"/>
    <xf borderId="13" fillId="2" fontId="1" numFmtId="0" xfId="0" applyAlignment="1" applyBorder="1" applyFont="1">
      <alignment shrinkToFit="0" wrapText="1"/>
    </xf>
    <xf borderId="13" fillId="2" fontId="1" numFmtId="0" xfId="0" applyAlignment="1" applyBorder="1" applyFont="1">
      <alignment horizontal="center" shrinkToFit="0" wrapText="1"/>
    </xf>
    <xf borderId="13" fillId="2" fontId="1" numFmtId="166" xfId="0" applyBorder="1" applyFont="1" applyNumberFormat="1"/>
    <xf borderId="5" fillId="2" fontId="1" numFmtId="166" xfId="0" applyBorder="1" applyFont="1" applyNumberFormat="1"/>
    <xf borderId="0" fillId="5" fontId="5" numFmtId="0" xfId="0" applyAlignment="1" applyFont="1">
      <alignment readingOrder="0"/>
    </xf>
    <xf borderId="0" fillId="0" fontId="7" numFmtId="166" xfId="0" applyFont="1" applyNumberFormat="1"/>
    <xf borderId="0" fillId="5" fontId="6" numFmtId="0" xfId="0" applyFont="1"/>
    <xf borderId="0" fillId="0" fontId="5" numFmtId="0" xfId="0" applyFont="1"/>
    <xf borderId="0" fillId="0" fontId="5" numFmtId="3" xfId="0" applyFont="1" applyNumberFormat="1"/>
    <xf borderId="0" fillId="0" fontId="6" numFmtId="3" xfId="0" applyAlignment="1" applyFont="1" applyNumberFormat="1">
      <alignment vertical="bottom"/>
    </xf>
    <xf borderId="12" fillId="3" fontId="4" numFmtId="0" xfId="0" applyAlignment="1" applyBorder="1" applyFont="1">
      <alignment horizontal="left" readingOrder="0" shrinkToFit="0" textRotation="0" vertical="center" wrapText="1"/>
    </xf>
    <xf borderId="5" fillId="5" fontId="4" numFmtId="0" xfId="0" applyAlignment="1" applyBorder="1" applyFont="1">
      <alignment vertical="top"/>
    </xf>
    <xf borderId="12" fillId="0" fontId="3" numFmtId="3" xfId="0" applyAlignment="1" applyBorder="1" applyFont="1" applyNumberFormat="1">
      <alignment horizontal="center" readingOrder="0" vertical="center"/>
    </xf>
    <xf borderId="5" fillId="10" fontId="11" numFmtId="3" xfId="0" applyAlignment="1" applyBorder="1" applyFont="1" applyNumberFormat="1">
      <alignment horizontal="center" readingOrder="0" vertical="top"/>
    </xf>
    <xf borderId="9" fillId="0" fontId="6" numFmtId="0" xfId="0" applyAlignment="1" applyBorder="1" applyFont="1">
      <alignment vertical="top"/>
    </xf>
    <xf borderId="7" fillId="3" fontId="8" numFmtId="0" xfId="0" applyAlignment="1" applyBorder="1" applyFont="1">
      <alignment horizontal="center" readingOrder="0" shrinkToFit="0" textRotation="0" vertical="center" wrapText="1"/>
    </xf>
    <xf borderId="5" fillId="10" fontId="3" numFmtId="3" xfId="0" applyAlignment="1" applyBorder="1" applyFont="1" applyNumberFormat="1">
      <alignment horizontal="center" readingOrder="0" vertical="top"/>
    </xf>
    <xf borderId="5" fillId="0" fontId="4" numFmtId="0" xfId="0" applyAlignment="1" applyBorder="1" applyFont="1">
      <alignment readingOrder="0" vertical="top"/>
    </xf>
    <xf borderId="5" fillId="12" fontId="4" numFmtId="3" xfId="0" applyAlignment="1" applyBorder="1" applyFont="1" applyNumberFormat="1">
      <alignment horizontal="center" readingOrder="0" vertical="top"/>
    </xf>
    <xf borderId="5" fillId="12" fontId="4" numFmtId="3" xfId="0" applyAlignment="1" applyBorder="1" applyFont="1" applyNumberFormat="1">
      <alignment horizontal="right" readingOrder="0" vertical="top"/>
    </xf>
    <xf borderId="5" fillId="0" fontId="5" numFmtId="0" xfId="0" applyAlignment="1" applyBorder="1" applyFont="1">
      <alignment readingOrder="0"/>
    </xf>
    <xf borderId="12" fillId="13" fontId="8" numFmtId="0" xfId="0" applyAlignment="1" applyBorder="1" applyFill="1" applyFont="1">
      <alignment horizontal="left" readingOrder="0" shrinkToFit="0" textRotation="0" vertical="top" wrapText="1"/>
    </xf>
    <xf borderId="5" fillId="12" fontId="4" numFmtId="3" xfId="0" applyAlignment="1" applyBorder="1" applyFont="1" applyNumberFormat="1">
      <alignment horizontal="center" vertical="top"/>
    </xf>
    <xf borderId="0" fillId="5" fontId="5" numFmtId="166" xfId="0" applyFont="1" applyNumberFormat="1"/>
    <xf borderId="12" fillId="14" fontId="8" numFmtId="0" xfId="0" applyAlignment="1" applyBorder="1" applyFill="1" applyFont="1">
      <alignment horizontal="left" readingOrder="0" shrinkToFit="0" textRotation="0" vertical="top" wrapText="1"/>
    </xf>
    <xf borderId="0" fillId="5" fontId="6" numFmtId="3" xfId="0" applyAlignment="1" applyFont="1" applyNumberFormat="1">
      <alignment vertical="bottom"/>
    </xf>
    <xf borderId="0" fillId="5" fontId="6" numFmtId="3" xfId="0" applyAlignment="1" applyFont="1" applyNumberFormat="1">
      <alignment readingOrder="0" vertical="bottom"/>
    </xf>
    <xf borderId="0" fillId="0" fontId="6" numFmtId="0" xfId="0" applyAlignment="1" applyFont="1">
      <alignment readingOrder="0" vertical="bottom"/>
    </xf>
    <xf borderId="12" fillId="15" fontId="8" numFmtId="0" xfId="0" applyAlignment="1" applyBorder="1" applyFill="1" applyFont="1">
      <alignment horizontal="left" readingOrder="0" shrinkToFit="0" textRotation="0" vertical="top" wrapText="1"/>
    </xf>
    <xf borderId="5" fillId="5" fontId="3" numFmtId="3" xfId="0" applyAlignment="1" applyBorder="1" applyFont="1" applyNumberFormat="1">
      <alignment horizontal="center" vertical="top"/>
    </xf>
    <xf borderId="0" fillId="5" fontId="4" numFmtId="0" xfId="0" applyAlignment="1" applyFont="1">
      <alignment horizontal="center" shrinkToFit="0" textRotation="90" vertical="center" wrapText="1"/>
    </xf>
    <xf borderId="0" fillId="5" fontId="4" numFmtId="0" xfId="0" applyAlignment="1" applyFont="1">
      <alignment vertical="top"/>
    </xf>
    <xf borderId="0" fillId="5" fontId="3" numFmtId="3" xfId="0" applyAlignment="1" applyFont="1" applyNumberFormat="1">
      <alignment horizontal="center" vertical="top"/>
    </xf>
    <xf borderId="0" fillId="5" fontId="6" numFmtId="3" xfId="0" applyAlignment="1" applyFont="1" applyNumberFormat="1">
      <alignment vertical="top"/>
    </xf>
    <xf borderId="0" fillId="5" fontId="6" numFmtId="0" xfId="0" applyAlignment="1" applyFont="1">
      <alignment vertical="top"/>
    </xf>
    <xf borderId="10" fillId="5" fontId="4" numFmtId="0" xfId="0" applyAlignment="1" applyBorder="1" applyFont="1">
      <alignment horizontal="center" shrinkToFit="0" textRotation="90" vertical="center" wrapText="1"/>
    </xf>
    <xf borderId="10" fillId="5" fontId="4" numFmtId="0" xfId="0" applyAlignment="1" applyBorder="1" applyFont="1">
      <alignment vertical="top"/>
    </xf>
    <xf borderId="10" fillId="5" fontId="3" numFmtId="3" xfId="0" applyAlignment="1" applyBorder="1" applyFont="1" applyNumberFormat="1">
      <alignment horizontal="center" vertical="top"/>
    </xf>
    <xf borderId="10" fillId="5" fontId="6" numFmtId="3" xfId="0" applyAlignment="1" applyBorder="1" applyFont="1" applyNumberFormat="1">
      <alignment vertical="top"/>
    </xf>
    <xf borderId="5" fillId="3" fontId="4" numFmtId="0" xfId="0" applyAlignment="1" applyBorder="1" applyFont="1">
      <alignment horizontal="left" readingOrder="0" shrinkToFit="0" textRotation="0" vertical="center" wrapText="1"/>
    </xf>
    <xf borderId="12" fillId="16" fontId="8" numFmtId="0" xfId="0" applyAlignment="1" applyBorder="1" applyFill="1" applyFont="1">
      <alignment horizontal="left" readingOrder="0" shrinkToFit="0" textRotation="0" vertical="top" wrapText="1"/>
    </xf>
    <xf borderId="11" fillId="0" fontId="8" numFmtId="0" xfId="0" applyAlignment="1" applyBorder="1" applyFont="1">
      <alignment vertical="top"/>
    </xf>
    <xf borderId="11" fillId="0" fontId="4" numFmtId="3" xfId="0" applyAlignment="1" applyBorder="1" applyFont="1" applyNumberFormat="1">
      <alignment horizontal="center" vertical="top"/>
    </xf>
    <xf borderId="5" fillId="9" fontId="4" numFmtId="0" xfId="0" applyAlignment="1" applyBorder="1" applyFont="1">
      <alignment horizontal="left" readingOrder="0" shrinkToFit="0" textRotation="0" vertical="center" wrapText="1"/>
    </xf>
    <xf borderId="12" fillId="9" fontId="8" numFmtId="0" xfId="0" applyAlignment="1" applyBorder="1" applyFont="1">
      <alignment horizontal="center" readingOrder="0" shrinkToFit="0" textRotation="0" vertical="center" wrapText="1"/>
    </xf>
    <xf borderId="12" fillId="17" fontId="8" numFmtId="0" xfId="0" applyAlignment="1" applyBorder="1" applyFill="1" applyFont="1">
      <alignment horizontal="left" readingOrder="0" shrinkToFit="0" textRotation="0" vertical="top" wrapText="1"/>
    </xf>
    <xf borderId="12" fillId="18" fontId="8" numFmtId="0" xfId="0" applyAlignment="1" applyBorder="1" applyFill="1" applyFont="1">
      <alignment horizontal="left" readingOrder="0" shrinkToFit="0" textRotation="0" vertical="top" wrapText="1"/>
    </xf>
    <xf borderId="0" fillId="0" fontId="7" numFmtId="0" xfId="0" applyAlignment="1" applyFont="1">
      <alignment shrinkToFit="0" wrapText="1"/>
    </xf>
    <xf borderId="5" fillId="19" fontId="13" numFmtId="0" xfId="0" applyAlignment="1" applyBorder="1" applyFill="1" applyFont="1">
      <alignment vertical="bottom"/>
    </xf>
    <xf borderId="5" fillId="2" fontId="14" numFmtId="0" xfId="0" applyAlignment="1" applyBorder="1" applyFont="1">
      <alignment vertical="bottom"/>
    </xf>
    <xf borderId="5" fillId="2" fontId="14" numFmtId="0" xfId="0" applyAlignment="1" applyBorder="1" applyFont="1">
      <alignment horizontal="right" vertical="center"/>
    </xf>
    <xf borderId="5" fillId="2" fontId="14" numFmtId="0" xfId="0" applyAlignment="1" applyBorder="1" applyFont="1">
      <alignment vertical="center"/>
    </xf>
    <xf borderId="5" fillId="2" fontId="6" numFmtId="0" xfId="0" applyAlignment="1" applyBorder="1" applyFont="1">
      <alignment shrinkToFit="0" vertical="center" wrapText="1"/>
    </xf>
    <xf borderId="5" fillId="2" fontId="6" numFmtId="0" xfId="0" applyAlignment="1" applyBorder="1" applyFont="1">
      <alignment vertical="center"/>
    </xf>
    <xf borderId="5" fillId="2" fontId="6" numFmtId="0" xfId="0" applyAlignment="1" applyBorder="1" applyFont="1">
      <alignment vertical="bottom"/>
    </xf>
    <xf borderId="5" fillId="2" fontId="6" numFmtId="0" xfId="0" applyAlignment="1" applyBorder="1" applyFont="1">
      <alignment shrinkToFit="0" vertical="center" wrapText="1"/>
    </xf>
    <xf borderId="12" fillId="20" fontId="8" numFmtId="0" xfId="0" applyAlignment="1" applyBorder="1" applyFill="1" applyFont="1">
      <alignment horizontal="left" readingOrder="0" shrinkToFit="0" textRotation="0" vertical="top" wrapText="1"/>
    </xf>
    <xf borderId="5" fillId="21" fontId="14" numFmtId="0" xfId="0" applyAlignment="1" applyBorder="1" applyFill="1" applyFont="1">
      <alignment vertical="center"/>
    </xf>
    <xf borderId="5" fillId="21" fontId="14" numFmtId="0" xfId="0" applyAlignment="1" applyBorder="1" applyFont="1">
      <alignment horizontal="right" vertical="center"/>
    </xf>
    <xf borderId="5" fillId="21" fontId="6" numFmtId="0" xfId="0" applyAlignment="1" applyBorder="1" applyFont="1">
      <alignment shrinkToFit="0" vertical="center" wrapText="1"/>
    </xf>
    <xf borderId="5" fillId="21" fontId="6" numFmtId="0" xfId="0" applyAlignment="1" applyBorder="1" applyFont="1">
      <alignment vertical="center"/>
    </xf>
    <xf borderId="5" fillId="21" fontId="6" numFmtId="0" xfId="0" applyAlignment="1" applyBorder="1" applyFont="1">
      <alignment vertical="bottom"/>
    </xf>
    <xf borderId="0" fillId="0" fontId="6" numFmtId="0" xfId="0" applyAlignment="1" applyFont="1">
      <alignment vertical="bottom"/>
    </xf>
    <xf borderId="5" fillId="21" fontId="6" numFmtId="0" xfId="0" applyAlignment="1" applyBorder="1" applyFont="1">
      <alignment vertical="center"/>
    </xf>
    <xf borderId="5" fillId="2" fontId="6" numFmtId="0" xfId="0" applyAlignment="1" applyBorder="1" applyFont="1">
      <alignment readingOrder="0" shrinkToFit="0" vertical="center" wrapText="1"/>
    </xf>
    <xf borderId="5" fillId="21" fontId="14" numFmtId="0" xfId="0" applyAlignment="1" applyBorder="1" applyFont="1">
      <alignment vertical="bottom"/>
    </xf>
    <xf borderId="5" fillId="21" fontId="14" numFmtId="0" xfId="0" applyAlignment="1" applyBorder="1" applyFont="1">
      <alignment horizontal="right" vertical="bottom"/>
    </xf>
    <xf borderId="5" fillId="21" fontId="6" numFmtId="0" xfId="0" applyAlignment="1" applyBorder="1" applyFont="1">
      <alignment vertical="top"/>
    </xf>
    <xf borderId="5" fillId="21" fontId="6" numFmtId="0" xfId="0" applyAlignment="1" applyBorder="1" applyFont="1">
      <alignment readingOrder="0" shrinkToFit="0" vertical="center" wrapText="1"/>
    </xf>
    <xf borderId="0" fillId="0" fontId="6" numFmtId="0" xfId="0" applyAlignment="1" applyFont="1">
      <alignment vertical="center"/>
    </xf>
    <xf borderId="5" fillId="2" fontId="14" numFmtId="0" xfId="0" applyAlignment="1" applyBorder="1" applyFont="1">
      <alignment horizontal="right" vertical="bottom"/>
    </xf>
    <xf borderId="5" fillId="2" fontId="6" numFmtId="0" xfId="0" applyAlignment="1" applyBorder="1" applyFont="1">
      <alignment shrinkToFit="0" wrapText="1"/>
    </xf>
    <xf borderId="0" fillId="19" fontId="7" numFmtId="0" xfId="0" applyFont="1"/>
    <xf borderId="5" fillId="2" fontId="6" numFmtId="0" xfId="0" applyAlignment="1" applyBorder="1" applyFont="1">
      <alignment shrinkToFit="0" wrapText="1"/>
    </xf>
    <xf borderId="5" fillId="2" fontId="6" numFmtId="0" xfId="0" applyAlignment="1" applyBorder="1" applyFont="1">
      <alignment vertical="top"/>
    </xf>
    <xf borderId="5" fillId="22" fontId="4" numFmtId="3" xfId="0" applyAlignment="1" applyBorder="1" applyFill="1" applyFont="1" applyNumberFormat="1">
      <alignment horizontal="right" readingOrder="0" vertical="top"/>
    </xf>
    <xf borderId="12" fillId="23" fontId="8" numFmtId="0" xfId="0" applyAlignment="1" applyBorder="1" applyFill="1" applyFont="1">
      <alignment horizontal="left" readingOrder="0" shrinkToFit="0" textRotation="0" vertical="top" wrapText="1"/>
    </xf>
    <xf borderId="5" fillId="2" fontId="14" numFmtId="0" xfId="0" applyAlignment="1" applyBorder="1" applyFont="1">
      <alignment vertical="bottom"/>
    </xf>
    <xf borderId="5" fillId="2" fontId="6" numFmtId="0" xfId="0" applyBorder="1" applyFont="1"/>
    <xf borderId="5" fillId="2" fontId="6" numFmtId="0" xfId="0" applyAlignment="1" applyBorder="1" applyFont="1">
      <alignment readingOrder="0" shrinkToFit="0" wrapText="1"/>
    </xf>
    <xf borderId="5" fillId="22" fontId="6" numFmtId="3" xfId="0" applyAlignment="1" applyBorder="1" applyFont="1" applyNumberFormat="1">
      <alignment horizontal="right" vertical="top"/>
    </xf>
    <xf borderId="5" fillId="2" fontId="6" numFmtId="0" xfId="0" applyAlignment="1" applyBorder="1" applyFont="1">
      <alignment readingOrder="0" shrinkToFit="0" vertical="bottom" wrapText="1"/>
    </xf>
    <xf borderId="5" fillId="2" fontId="6" numFmtId="0" xfId="0" applyAlignment="1" applyBorder="1" applyFont="1">
      <alignment readingOrder="0" shrinkToFit="0" vertical="top" wrapText="1"/>
    </xf>
    <xf borderId="5" fillId="2" fontId="6" numFmtId="0" xfId="0" applyAlignment="1" applyBorder="1" applyFont="1">
      <alignment shrinkToFit="0" vertical="bottom" wrapText="1"/>
    </xf>
    <xf borderId="5" fillId="2" fontId="6" numFmtId="0" xfId="0" applyAlignment="1" applyBorder="1" applyFont="1">
      <alignment readingOrder="0" vertical="bottom"/>
    </xf>
    <xf borderId="0" fillId="0" fontId="7" numFmtId="0" xfId="0" applyAlignment="1" applyFont="1">
      <alignment horizontal="left" readingOrder="0" shrinkToFit="0" vertical="top" wrapText="1"/>
    </xf>
    <xf borderId="0" fillId="0" fontId="15" numFmtId="0" xfId="0" applyAlignment="1" applyFont="1">
      <alignment readingOrder="0"/>
    </xf>
    <xf borderId="0" fillId="0" fontId="7" numFmtId="0" xfId="0" applyAlignment="1" applyFont="1">
      <alignment readingOrder="0" shrinkToFit="0" vertical="top" wrapText="1"/>
    </xf>
    <xf borderId="5" fillId="12" fontId="16" numFmtId="3" xfId="0" applyAlignment="1" applyBorder="1" applyFont="1" applyNumberFormat="1">
      <alignment horizontal="center" readingOrder="0" vertical="top"/>
    </xf>
    <xf borderId="5" fillId="12" fontId="16" numFmtId="3" xfId="0" applyAlignment="1" applyBorder="1" applyFont="1" applyNumberFormat="1">
      <alignment horizontal="right" readingOrder="0" vertical="top"/>
    </xf>
    <xf borderId="12" fillId="24" fontId="8" numFmtId="0" xfId="0" applyAlignment="1" applyBorder="1" applyFill="1" applyFont="1">
      <alignment horizontal="left" shrinkToFit="0" textRotation="0" vertical="top" wrapText="1"/>
    </xf>
    <xf borderId="11" fillId="0" fontId="6" numFmtId="3" xfId="0" applyAlignment="1" applyBorder="1" applyFont="1" applyNumberFormat="1">
      <alignment vertical="top"/>
    </xf>
    <xf borderId="12" fillId="25" fontId="4" numFmtId="0" xfId="0" applyAlignment="1" applyBorder="1" applyFill="1" applyFont="1">
      <alignment horizontal="center" shrinkToFit="0" textRotation="0" vertical="center" wrapText="1"/>
    </xf>
    <xf borderId="11" fillId="26" fontId="4" numFmtId="0" xfId="0" applyAlignment="1" applyBorder="1" applyFill="1" applyFont="1">
      <alignment vertical="bottom"/>
    </xf>
    <xf borderId="11" fillId="26" fontId="4" numFmtId="3" xfId="0" applyAlignment="1" applyBorder="1" applyFont="1" applyNumberFormat="1">
      <alignment horizontal="center" vertical="bottom"/>
    </xf>
    <xf borderId="11" fillId="26" fontId="4" numFmtId="3" xfId="0" applyAlignment="1" applyBorder="1" applyFont="1" applyNumberFormat="1">
      <alignment horizontal="right" vertical="bottom"/>
    </xf>
    <xf borderId="5" fillId="25" fontId="4" numFmtId="0" xfId="0" applyAlignment="1" applyBorder="1" applyFont="1">
      <alignment readingOrder="0" vertical="bottom"/>
    </xf>
    <xf borderId="5" fillId="25" fontId="11" numFmtId="3" xfId="0" applyAlignment="1" applyBorder="1" applyFont="1" applyNumberFormat="1">
      <alignment vertical="bottom"/>
    </xf>
    <xf borderId="1" fillId="25" fontId="11" numFmtId="3" xfId="0" applyAlignment="1" applyBorder="1" applyFont="1" applyNumberFormat="1">
      <alignment horizontal="right" vertical="bottom"/>
    </xf>
    <xf borderId="5" fillId="11" fontId="11" numFmtId="0" xfId="0" applyAlignment="1" applyBorder="1" applyFont="1">
      <alignment vertical="bottom"/>
    </xf>
    <xf borderId="5" fillId="11" fontId="11" numFmtId="3" xfId="0" applyAlignment="1" applyBorder="1" applyFont="1" applyNumberFormat="1">
      <alignment vertical="bottom"/>
    </xf>
    <xf borderId="1" fillId="11" fontId="11" numFmtId="3" xfId="0" applyAlignment="1" applyBorder="1" applyFont="1" applyNumberFormat="1">
      <alignment horizontal="right" vertical="bottom"/>
    </xf>
    <xf borderId="5" fillId="13" fontId="11" numFmtId="0" xfId="0" applyAlignment="1" applyBorder="1" applyFont="1">
      <alignment vertical="bottom"/>
    </xf>
    <xf borderId="5" fillId="13" fontId="6" numFmtId="0" xfId="0" applyAlignment="1" applyBorder="1" applyFont="1">
      <alignment vertical="bottom"/>
    </xf>
    <xf borderId="5" fillId="13" fontId="11" numFmtId="3" xfId="0" applyAlignment="1" applyBorder="1" applyFont="1" applyNumberFormat="1">
      <alignment vertical="bottom"/>
    </xf>
    <xf borderId="1" fillId="13" fontId="11" numFmtId="3" xfId="0" applyAlignment="1" applyBorder="1" applyFont="1" applyNumberFormat="1">
      <alignment horizontal="right" vertical="bottom"/>
    </xf>
    <xf borderId="5" fillId="14" fontId="11" numFmtId="0" xfId="0" applyAlignment="1" applyBorder="1" applyFont="1">
      <alignment vertical="bottom"/>
    </xf>
    <xf borderId="5" fillId="14" fontId="6" numFmtId="0" xfId="0" applyAlignment="1" applyBorder="1" applyFont="1">
      <alignment vertical="bottom"/>
    </xf>
    <xf borderId="5" fillId="14" fontId="11" numFmtId="3" xfId="0" applyAlignment="1" applyBorder="1" applyFont="1" applyNumberFormat="1">
      <alignment vertical="bottom"/>
    </xf>
    <xf borderId="1" fillId="14" fontId="11" numFmtId="3" xfId="0" applyAlignment="1" applyBorder="1" applyFont="1" applyNumberFormat="1">
      <alignment horizontal="right" vertical="bottom"/>
    </xf>
    <xf borderId="5" fillId="15" fontId="11" numFmtId="0" xfId="0" applyAlignment="1" applyBorder="1" applyFont="1">
      <alignment vertical="bottom"/>
    </xf>
    <xf borderId="5" fillId="15" fontId="6" numFmtId="0" xfId="0" applyAlignment="1" applyBorder="1" applyFont="1">
      <alignment vertical="bottom"/>
    </xf>
    <xf borderId="5" fillId="15" fontId="11" numFmtId="3" xfId="0" applyAlignment="1" applyBorder="1" applyFont="1" applyNumberFormat="1">
      <alignment vertical="bottom"/>
    </xf>
    <xf borderId="1" fillId="15" fontId="11" numFmtId="3" xfId="0" applyAlignment="1" applyBorder="1" applyFont="1" applyNumberFormat="1">
      <alignment horizontal="right" vertical="bottom"/>
    </xf>
    <xf borderId="5" fillId="16" fontId="11" numFmtId="0" xfId="0" applyAlignment="1" applyBorder="1" applyFont="1">
      <alignment vertical="bottom"/>
    </xf>
    <xf borderId="5" fillId="16" fontId="6" numFmtId="0" xfId="0" applyAlignment="1" applyBorder="1" applyFont="1">
      <alignment vertical="bottom"/>
    </xf>
    <xf borderId="5" fillId="16" fontId="11" numFmtId="3" xfId="0" applyAlignment="1" applyBorder="1" applyFont="1" applyNumberFormat="1">
      <alignment vertical="bottom"/>
    </xf>
    <xf borderId="1" fillId="16" fontId="11" numFmtId="3" xfId="0" applyAlignment="1" applyBorder="1" applyFont="1" applyNumberFormat="1">
      <alignment horizontal="right" vertical="bottom"/>
    </xf>
    <xf borderId="5" fillId="17" fontId="11" numFmtId="0" xfId="0" applyAlignment="1" applyBorder="1" applyFont="1">
      <alignment vertical="bottom"/>
    </xf>
    <xf borderId="5" fillId="17" fontId="6" numFmtId="0" xfId="0" applyAlignment="1" applyBorder="1" applyFont="1">
      <alignment vertical="bottom"/>
    </xf>
    <xf borderId="5" fillId="17" fontId="11" numFmtId="3" xfId="0" applyAlignment="1" applyBorder="1" applyFont="1" applyNumberFormat="1">
      <alignment vertical="bottom"/>
    </xf>
    <xf borderId="1" fillId="17" fontId="11" numFmtId="3" xfId="0" applyAlignment="1" applyBorder="1" applyFont="1" applyNumberFormat="1">
      <alignment horizontal="right" vertical="bottom"/>
    </xf>
    <xf borderId="5" fillId="18" fontId="11" numFmtId="0" xfId="0" applyAlignment="1" applyBorder="1" applyFont="1">
      <alignment vertical="bottom"/>
    </xf>
    <xf borderId="5" fillId="18" fontId="6" numFmtId="0" xfId="0" applyAlignment="1" applyBorder="1" applyFont="1">
      <alignment vertical="bottom"/>
    </xf>
    <xf borderId="5" fillId="18" fontId="11" numFmtId="3" xfId="0" applyAlignment="1" applyBorder="1" applyFont="1" applyNumberFormat="1">
      <alignment vertical="bottom"/>
    </xf>
    <xf borderId="1" fillId="18" fontId="11" numFmtId="3" xfId="0" applyAlignment="1" applyBorder="1" applyFont="1" applyNumberFormat="1">
      <alignment horizontal="right" vertical="bottom"/>
    </xf>
    <xf borderId="5" fillId="20" fontId="11" numFmtId="0" xfId="0" applyAlignment="1" applyBorder="1" applyFont="1">
      <alignment vertical="bottom"/>
    </xf>
    <xf borderId="5" fillId="20" fontId="6" numFmtId="0" xfId="0" applyAlignment="1" applyBorder="1" applyFont="1">
      <alignment vertical="bottom"/>
    </xf>
    <xf borderId="5" fillId="20" fontId="11" numFmtId="3" xfId="0" applyAlignment="1" applyBorder="1" applyFont="1" applyNumberFormat="1">
      <alignment vertical="bottom"/>
    </xf>
    <xf borderId="1" fillId="27" fontId="11" numFmtId="3" xfId="0" applyAlignment="1" applyBorder="1" applyFill="1" applyFont="1" applyNumberFormat="1">
      <alignment horizontal="right" vertical="bottom"/>
    </xf>
    <xf borderId="5" fillId="23" fontId="11" numFmtId="0" xfId="0" applyAlignment="1" applyBorder="1" applyFont="1">
      <alignment vertical="bottom"/>
    </xf>
    <xf borderId="5" fillId="23" fontId="6" numFmtId="0" xfId="0" applyAlignment="1" applyBorder="1" applyFont="1">
      <alignment vertical="bottom"/>
    </xf>
    <xf borderId="5" fillId="23" fontId="11" numFmtId="3" xfId="0" applyAlignment="1" applyBorder="1" applyFont="1" applyNumberFormat="1">
      <alignment vertical="bottom"/>
    </xf>
    <xf borderId="1" fillId="28" fontId="11" numFmtId="3" xfId="0" applyAlignment="1" applyBorder="1" applyFill="1" applyFont="1" applyNumberFormat="1">
      <alignment horizontal="right" vertical="bottom"/>
    </xf>
    <xf borderId="5" fillId="24" fontId="11" numFmtId="0" xfId="0" applyAlignment="1" applyBorder="1" applyFont="1">
      <alignment vertical="bottom"/>
    </xf>
    <xf borderId="5" fillId="24" fontId="6" numFmtId="0" xfId="0" applyAlignment="1" applyBorder="1" applyFont="1">
      <alignment vertical="bottom"/>
    </xf>
    <xf borderId="5" fillId="24" fontId="11" numFmtId="3" xfId="0" applyAlignment="1" applyBorder="1" applyFont="1" applyNumberFormat="1">
      <alignment vertical="bottom"/>
    </xf>
    <xf borderId="1" fillId="29" fontId="11" numFmtId="3" xfId="0" applyAlignment="1" applyBorder="1" applyFill="1" applyFont="1" applyNumberFormat="1">
      <alignment horizontal="right" vertical="bottom"/>
    </xf>
    <xf borderId="5" fillId="25" fontId="6" numFmtId="0" xfId="0" applyAlignment="1" applyBorder="1" applyFont="1">
      <alignment vertical="bottom"/>
    </xf>
  </cellXfs>
  <cellStyles count="1">
    <cellStyle xfId="0" name="Normal" builtinId="0"/>
  </cellStyles>
  <dxfs count="3">
    <dxf>
      <font/>
      <fill>
        <patternFill patternType="solid">
          <fgColor rgb="FFEAD1DC"/>
          <bgColor rgb="FFEAD1DC"/>
        </patternFill>
      </fill>
      <border/>
    </dxf>
    <dxf>
      <font/>
      <fill>
        <patternFill patternType="solid">
          <fgColor rgb="FFFFFFFF"/>
          <bgColor rgb="FFFFFFFF"/>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usha@noorahealth.or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88"/>
    <col customWidth="1" min="2" max="2" width="6.75"/>
    <col customWidth="1" min="3" max="3" width="11.5"/>
    <col customWidth="1" min="4" max="4" width="15.13"/>
    <col customWidth="1" min="5" max="5" width="16.38"/>
    <col customWidth="1" min="6" max="6" width="31.38"/>
    <col customWidth="1" min="7" max="7" width="39.25"/>
    <col customWidth="1" min="8" max="8" width="11.63"/>
    <col customWidth="1" min="22" max="22" width="5.0"/>
  </cols>
  <sheetData>
    <row r="1">
      <c r="A1" s="1" t="s">
        <v>0</v>
      </c>
      <c r="B1" s="2"/>
      <c r="C1" s="2"/>
      <c r="D1" s="2"/>
      <c r="E1" s="2"/>
      <c r="F1" s="2"/>
      <c r="G1" s="2"/>
      <c r="H1" s="3"/>
      <c r="I1" s="4" t="s">
        <v>1</v>
      </c>
      <c r="J1" s="5">
        <v>46023.0</v>
      </c>
      <c r="K1" s="5">
        <v>46054.0</v>
      </c>
      <c r="L1" s="5">
        <v>46082.0</v>
      </c>
      <c r="M1" s="5">
        <v>46113.0</v>
      </c>
      <c r="N1" s="5">
        <v>46143.0</v>
      </c>
      <c r="O1" s="5">
        <v>46174.0</v>
      </c>
      <c r="P1" s="5">
        <v>46204.0</v>
      </c>
      <c r="Q1" s="5">
        <v>46235.0</v>
      </c>
      <c r="R1" s="5">
        <v>46266.0</v>
      </c>
      <c r="S1" s="5">
        <v>46296.0</v>
      </c>
      <c r="T1" s="5">
        <v>46327.0</v>
      </c>
      <c r="U1" s="5">
        <v>46357.0</v>
      </c>
      <c r="V1" s="8"/>
      <c r="W1" s="11" t="s">
        <v>4</v>
      </c>
      <c r="X1" s="12" t="s">
        <v>7</v>
      </c>
    </row>
    <row r="2" ht="18.0" customHeight="1">
      <c r="A2" s="14" t="s">
        <v>9</v>
      </c>
      <c r="B2" s="16" t="s">
        <v>10</v>
      </c>
      <c r="C2" s="17" t="s">
        <v>11</v>
      </c>
      <c r="D2" s="17" t="s">
        <v>12</v>
      </c>
      <c r="E2" s="19" t="s">
        <v>13</v>
      </c>
      <c r="F2" s="19" t="s">
        <v>5</v>
      </c>
      <c r="G2" s="19" t="s">
        <v>15</v>
      </c>
      <c r="H2" s="19" t="s">
        <v>16</v>
      </c>
      <c r="I2" s="21" t="s">
        <v>17</v>
      </c>
      <c r="J2" s="24" t="s">
        <v>17</v>
      </c>
      <c r="K2" s="24" t="s">
        <v>17</v>
      </c>
      <c r="L2" s="24" t="s">
        <v>17</v>
      </c>
      <c r="M2" s="24" t="s">
        <v>17</v>
      </c>
      <c r="N2" s="24" t="s">
        <v>17</v>
      </c>
      <c r="O2" s="24" t="s">
        <v>17</v>
      </c>
      <c r="P2" s="24" t="s">
        <v>17</v>
      </c>
      <c r="Q2" s="24" t="s">
        <v>17</v>
      </c>
      <c r="R2" s="24" t="s">
        <v>17</v>
      </c>
      <c r="S2" s="24" t="s">
        <v>17</v>
      </c>
      <c r="T2" s="24" t="s">
        <v>17</v>
      </c>
      <c r="U2" s="24" t="s">
        <v>17</v>
      </c>
      <c r="V2" s="35"/>
      <c r="W2" s="37" t="s">
        <v>17</v>
      </c>
      <c r="X2" s="37" t="s">
        <v>17</v>
      </c>
      <c r="Y2" s="40"/>
      <c r="Z2" s="40"/>
    </row>
    <row r="3" ht="15.75" customHeight="1">
      <c r="A3" s="49" t="str">
        <f>IFERROR(__xludf.DUMMYFUNCTION("Importrange(""https://docs.google.com/spreadsheets/d/1rGqTa7RnQr9aNVIJk6V5mKnyMT4IFvehHkmZSuZRUBU/edit?gid=1038586758#"",""Personnel Cost!B17:I17"")"),"India ")</f>
        <v>India </v>
      </c>
      <c r="B3" s="52" t="str">
        <f>IFERROR(__xludf.DUMMYFUNCTION("""COMPUTED_VALUE"""),"NHIPLC")</f>
        <v>NHIPLC</v>
      </c>
      <c r="C3" s="54" t="str">
        <f>IFERROR(__xludf.DUMMYFUNCTION("""COMPUTED_VALUE"""),"PDD")</f>
        <v>PDD</v>
      </c>
      <c r="D3" s="54" t="str">
        <f>IFERROR(__xludf.DUMMYFUNCTION("""COMPUTED_VALUE"""),"Medical")</f>
        <v>Medical</v>
      </c>
      <c r="E3" s="56" t="str">
        <f>IFERROR(__xludf.DUMMYFUNCTION("""COMPUTED_VALUE"""),"Payroll Cost")</f>
        <v>Payroll Cost</v>
      </c>
      <c r="F3" s="57" t="str">
        <f>IFERROR(__xludf.DUMMYFUNCTION("""COMPUTED_VALUE"""),"Salaries and Wages")</f>
        <v>Salaries and Wages</v>
      </c>
      <c r="G3" s="57" t="str">
        <f>IFERROR(__xludf.DUMMYFUNCTION("""COMPUTED_VALUE"""),"Salaries and Wages")</f>
        <v>Salaries and Wages</v>
      </c>
      <c r="H3" s="54" t="str">
        <f>IFERROR(__xludf.DUMMYFUNCTION("""COMPUTED_VALUE"""),"91101-91107")</f>
        <v>91101-91107</v>
      </c>
      <c r="I3" s="63">
        <f>IFERROR(__xludf.DUMMYFUNCTION("Importrange(""https://docs.google.com/spreadsheets/d/1rGqTa7RnQr9aNVIJk6V5mKnyMT4IFvehHkmZSuZRUBU/edit?gid=1038586758#"",""Personnel Cost!S17:AH17"")"),8394645.28)</f>
        <v>8394645.28</v>
      </c>
      <c r="J3" s="69">
        <f>IFERROR(__xludf.DUMMYFUNCTION("""COMPUTED_VALUE"""),1033616.2733333333)</f>
        <v>1033616.273</v>
      </c>
      <c r="K3" s="69">
        <f>IFERROR(__xludf.DUMMYFUNCTION("""COMPUTED_VALUE"""),1033616.2733333333)</f>
        <v>1033616.273</v>
      </c>
      <c r="L3" s="69">
        <f>IFERROR(__xludf.DUMMYFUNCTION("""COMPUTED_VALUE"""),1033616.2733333333)</f>
        <v>1033616.273</v>
      </c>
      <c r="M3" s="69">
        <f>IFERROR(__xludf.DUMMYFUNCTION("""COMPUTED_VALUE"""),588199.6066666667)</f>
        <v>588199.6067</v>
      </c>
      <c r="N3" s="69">
        <f>IFERROR(__xludf.DUMMYFUNCTION("""COMPUTED_VALUE"""),588199.6066666667)</f>
        <v>588199.6067</v>
      </c>
      <c r="O3" s="69">
        <f>IFERROR(__xludf.DUMMYFUNCTION("""COMPUTED_VALUE"""),588199.6066666667)</f>
        <v>588199.6067</v>
      </c>
      <c r="P3" s="69">
        <f>IFERROR(__xludf.DUMMYFUNCTION("""COMPUTED_VALUE"""),588199.6066666667)</f>
        <v>588199.6067</v>
      </c>
      <c r="Q3" s="69">
        <f>IFERROR(__xludf.DUMMYFUNCTION("""COMPUTED_VALUE"""),588199.6066666667)</f>
        <v>588199.6067</v>
      </c>
      <c r="R3" s="69">
        <f>IFERROR(__xludf.DUMMYFUNCTION("""COMPUTED_VALUE"""),588199.6066666667)</f>
        <v>588199.6067</v>
      </c>
      <c r="S3" s="69">
        <f>IFERROR(__xludf.DUMMYFUNCTION("""COMPUTED_VALUE"""),588199.6066666667)</f>
        <v>588199.6067</v>
      </c>
      <c r="T3" s="69">
        <f>IFERROR(__xludf.DUMMYFUNCTION("""COMPUTED_VALUE"""),588199.6066666667)</f>
        <v>588199.6067</v>
      </c>
      <c r="U3" s="71">
        <f>IFERROR(__xludf.DUMMYFUNCTION("""COMPUTED_VALUE"""),588199.6066666667)</f>
        <v>588199.6067</v>
      </c>
      <c r="V3" s="72"/>
      <c r="W3" s="73">
        <f>IFERROR(__xludf.DUMMYFUNCTION("""COMPUTED_VALUE"""),8394645.28)</f>
        <v>8394645.28</v>
      </c>
      <c r="X3" s="73">
        <f>IFERROR(__xludf.DUMMYFUNCTION("""COMPUTED_VALUE"""),0.0)</f>
        <v>0</v>
      </c>
    </row>
    <row r="4" ht="15.75" customHeight="1">
      <c r="A4" s="49" t="str">
        <f>IFERROR(__xludf.DUMMYFUNCTION("Importrange(""https://docs.google.com/spreadsheets/d/1rGqTa7RnQr9aNVIJk6V5mKnyMT4IFvehHkmZSuZRUBU/edit?gid=1038586758#"",""Personnel Cost!B34:I34"")"),"India ")</f>
        <v>India </v>
      </c>
      <c r="B4" s="52" t="str">
        <f>IFERROR(__xludf.DUMMYFUNCTION("""COMPUTED_VALUE"""),"NHIPLC")</f>
        <v>NHIPLC</v>
      </c>
      <c r="C4" s="54" t="str">
        <f>IFERROR(__xludf.DUMMYFUNCTION("""COMPUTED_VALUE"""),"PDD")</f>
        <v>PDD</v>
      </c>
      <c r="D4" s="54" t="str">
        <f>IFERROR(__xludf.DUMMYFUNCTION("""COMPUTED_VALUE"""),"Medical")</f>
        <v>Medical</v>
      </c>
      <c r="E4" s="75" t="str">
        <f>IFERROR(__xludf.DUMMYFUNCTION("""COMPUTED_VALUE"""),"Payroll Cost")</f>
        <v>Payroll Cost</v>
      </c>
      <c r="F4" s="76" t="str">
        <f>IFERROR(__xludf.DUMMYFUNCTION("""COMPUTED_VALUE"""),"Health and Retirement Benefits")</f>
        <v>Health and Retirement Benefits</v>
      </c>
      <c r="G4" s="76" t="str">
        <f>IFERROR(__xludf.DUMMYFUNCTION("""COMPUTED_VALUE"""),"Gratuity &amp; Bonus")</f>
        <v>Gratuity &amp; Bonus</v>
      </c>
      <c r="H4" s="78" t="str">
        <f>IFERROR(__xludf.DUMMYFUNCTION("""COMPUTED_VALUE"""),"91201-91207")</f>
        <v>91201-91207</v>
      </c>
      <c r="I4" s="63">
        <f>IFERROR(__xludf.DUMMYFUNCTION("Importrange(""https://docs.google.com/spreadsheets/d/1rGqTa7RnQr9aNVIJk6V5mKnyMT4IFvehHkmZSuZRUBU/edit?gid=1038586758#"",""Personnel Cost!S34:AH34"")"),1458428.75)</f>
        <v>1458428.75</v>
      </c>
      <c r="J4" s="69">
        <f>IFERROR(__xludf.DUMMYFUNCTION("""COMPUTED_VALUE"""),0.0)</f>
        <v>0</v>
      </c>
      <c r="K4" s="69">
        <f>IFERROR(__xludf.DUMMYFUNCTION("""COMPUTED_VALUE"""),0.0)</f>
        <v>0</v>
      </c>
      <c r="L4" s="69">
        <f>IFERROR(__xludf.DUMMYFUNCTION("""COMPUTED_VALUE"""),1256915.0)</f>
        <v>1256915</v>
      </c>
      <c r="M4" s="69">
        <f>IFERROR(__xludf.DUMMYFUNCTION("""COMPUTED_VALUE"""),0.0)</f>
        <v>0</v>
      </c>
      <c r="N4" s="69">
        <f>IFERROR(__xludf.DUMMYFUNCTION("""COMPUTED_VALUE"""),0.0)</f>
        <v>0</v>
      </c>
      <c r="O4" s="69">
        <f>IFERROR(__xludf.DUMMYFUNCTION("""COMPUTED_VALUE"""),201513.75)</f>
        <v>201513.75</v>
      </c>
      <c r="P4" s="69">
        <f>IFERROR(__xludf.DUMMYFUNCTION("""COMPUTED_VALUE"""),0.0)</f>
        <v>0</v>
      </c>
      <c r="Q4" s="69">
        <f>IFERROR(__xludf.DUMMYFUNCTION("""COMPUTED_VALUE"""),0.0)</f>
        <v>0</v>
      </c>
      <c r="R4" s="69">
        <f>IFERROR(__xludf.DUMMYFUNCTION("""COMPUTED_VALUE"""),0.0)</f>
        <v>0</v>
      </c>
      <c r="S4" s="69">
        <f>IFERROR(__xludf.DUMMYFUNCTION("""COMPUTED_VALUE"""),0.0)</f>
        <v>0</v>
      </c>
      <c r="T4" s="69">
        <f>IFERROR(__xludf.DUMMYFUNCTION("""COMPUTED_VALUE"""),0.0)</f>
        <v>0</v>
      </c>
      <c r="U4" s="71">
        <f>IFERROR(__xludf.DUMMYFUNCTION("""COMPUTED_VALUE"""),0.0)</f>
        <v>0</v>
      </c>
      <c r="V4" s="72"/>
      <c r="W4" s="73">
        <f>IFERROR(__xludf.DUMMYFUNCTION("""COMPUTED_VALUE"""),1458428.75)</f>
        <v>1458428.75</v>
      </c>
      <c r="X4" s="73">
        <f>IFERROR(__xludf.DUMMYFUNCTION("""COMPUTED_VALUE"""),0.0)</f>
        <v>0</v>
      </c>
    </row>
    <row r="5" ht="15.75" customHeight="1">
      <c r="A5" s="49" t="str">
        <f>IFERROR(__xludf.DUMMYFUNCTION("Importrange(""https://docs.google.com/spreadsheets/d/1rGqTa7RnQr9aNVIJk6V5mKnyMT4IFvehHkmZSuZRUBU/edit?gid=1038586758#"",""Personnel Cost!B21:I21"")"),"India ")</f>
        <v>India </v>
      </c>
      <c r="B5" s="52" t="str">
        <f>IFERROR(__xludf.DUMMYFUNCTION("""COMPUTED_VALUE"""),"NHIPLC")</f>
        <v>NHIPLC</v>
      </c>
      <c r="C5" s="54" t="str">
        <f>IFERROR(__xludf.DUMMYFUNCTION("""COMPUTED_VALUE"""),"PDD")</f>
        <v>PDD</v>
      </c>
      <c r="D5" s="54" t="str">
        <f>IFERROR(__xludf.DUMMYFUNCTION("""COMPUTED_VALUE"""),"Medical")</f>
        <v>Medical</v>
      </c>
      <c r="E5" s="75" t="str">
        <f>IFERROR(__xludf.DUMMYFUNCTION("""COMPUTED_VALUE"""),"Payroll Cost")</f>
        <v>Payroll Cost</v>
      </c>
      <c r="F5" s="76" t="str">
        <f>IFERROR(__xludf.DUMMYFUNCTION("""COMPUTED_VALUE"""),"Other Staff Expenses")</f>
        <v>Other Staff Expenses</v>
      </c>
      <c r="G5" s="76" t="str">
        <f>IFERROR(__xludf.DUMMYFUNCTION("""COMPUTED_VALUE"""),"Staff Training, Learning &amp; Development Exp")</f>
        <v>Staff Training, Learning &amp; Development Exp</v>
      </c>
      <c r="H5" s="78">
        <f>IFERROR(__xludf.DUMMYFUNCTION("""COMPUTED_VALUE"""),91302.0)</f>
        <v>91302</v>
      </c>
      <c r="I5" s="63">
        <f>IFERROR(__xludf.DUMMYFUNCTION("Importrange(""https://docs.google.com/spreadsheets/d/1rGqTa7RnQr9aNVIJk6V5mKnyMT4IFvehHkmZSuZRUBU/edit?gid=1038586758#"",""Personnel Cost!S21:AH21"")"),0.0)</f>
        <v>0</v>
      </c>
      <c r="J5" s="69">
        <f>IFERROR(__xludf.DUMMYFUNCTION("""COMPUTED_VALUE"""),0.0)</f>
        <v>0</v>
      </c>
      <c r="K5" s="69">
        <f>IFERROR(__xludf.DUMMYFUNCTION("""COMPUTED_VALUE"""),0.0)</f>
        <v>0</v>
      </c>
      <c r="L5" s="69">
        <f>IFERROR(__xludf.DUMMYFUNCTION("""COMPUTED_VALUE"""),0.0)</f>
        <v>0</v>
      </c>
      <c r="M5" s="69">
        <f>IFERROR(__xludf.DUMMYFUNCTION("""COMPUTED_VALUE"""),0.0)</f>
        <v>0</v>
      </c>
      <c r="N5" s="69">
        <f>IFERROR(__xludf.DUMMYFUNCTION("""COMPUTED_VALUE"""),0.0)</f>
        <v>0</v>
      </c>
      <c r="O5" s="69">
        <f>IFERROR(__xludf.DUMMYFUNCTION("""COMPUTED_VALUE"""),0.0)</f>
        <v>0</v>
      </c>
      <c r="P5" s="69">
        <f>IFERROR(__xludf.DUMMYFUNCTION("""COMPUTED_VALUE"""),0.0)</f>
        <v>0</v>
      </c>
      <c r="Q5" s="69">
        <f>IFERROR(__xludf.DUMMYFUNCTION("""COMPUTED_VALUE"""),0.0)</f>
        <v>0</v>
      </c>
      <c r="R5" s="69">
        <f>IFERROR(__xludf.DUMMYFUNCTION("""COMPUTED_VALUE"""),0.0)</f>
        <v>0</v>
      </c>
      <c r="S5" s="69">
        <f>IFERROR(__xludf.DUMMYFUNCTION("""COMPUTED_VALUE"""),0.0)</f>
        <v>0</v>
      </c>
      <c r="T5" s="69">
        <f>IFERROR(__xludf.DUMMYFUNCTION("""COMPUTED_VALUE"""),0.0)</f>
        <v>0</v>
      </c>
      <c r="U5" s="71">
        <f>IFERROR(__xludf.DUMMYFUNCTION("""COMPUTED_VALUE"""),0.0)</f>
        <v>0</v>
      </c>
      <c r="V5" s="72"/>
      <c r="W5" s="73">
        <f>IFERROR(__xludf.DUMMYFUNCTION("""COMPUTED_VALUE"""),0.0)</f>
        <v>0</v>
      </c>
      <c r="X5" s="73">
        <f>IFERROR(__xludf.DUMMYFUNCTION("""COMPUTED_VALUE"""),0.0)</f>
        <v>0</v>
      </c>
    </row>
    <row r="6" ht="15.75" customHeight="1">
      <c r="A6" s="49" t="str">
        <f>IFERROR(__xludf.DUMMYFUNCTION("importrange(""https://docs.google.com/spreadsheets/d/1rGqTa7RnQr9aNVIJk6V5mKnyMT4IFvehHkmZSuZRUBU/edit?gid=24099429#gid=24099429"",""EHA!B9:I9"")"),"India ")</f>
        <v>India </v>
      </c>
      <c r="B6" s="52" t="str">
        <f>IFERROR(__xludf.DUMMYFUNCTION("""COMPUTED_VALUE"""),"NHIPLC")</f>
        <v>NHIPLC</v>
      </c>
      <c r="C6" s="54" t="str">
        <f>IFERROR(__xludf.DUMMYFUNCTION("""COMPUTED_VALUE"""),"PDD")</f>
        <v>PDD</v>
      </c>
      <c r="D6" s="54" t="str">
        <f>IFERROR(__xludf.DUMMYFUNCTION("""COMPUTED_VALUE"""),"MEDICAL")</f>
        <v>MEDICAL</v>
      </c>
      <c r="E6" s="75" t="str">
        <f>IFERROR(__xludf.DUMMYFUNCTION("""COMPUTED_VALUE"""),"Direct Consultants")</f>
        <v>Direct Consultants</v>
      </c>
      <c r="F6" s="76" t="str">
        <f>IFERROR(__xludf.DUMMYFUNCTION("""COMPUTED_VALUE"""),"Resource Persons")</f>
        <v>Resource Persons</v>
      </c>
      <c r="G6" s="76" t="str">
        <f>IFERROR(__xludf.DUMMYFUNCTION("""COMPUTED_VALUE"""),"Program Resource Consultant (EHA)")</f>
        <v>Program Resource Consultant (EHA)</v>
      </c>
      <c r="H6" s="78">
        <f>IFERROR(__xludf.DUMMYFUNCTION("""COMPUTED_VALUE"""),92101.0)</f>
        <v>92101</v>
      </c>
      <c r="I6" s="63">
        <f>IFERROR(__xludf.DUMMYFUNCTION("importrange(""https://docs.google.com/spreadsheets/d/1rGqTa7RnQr9aNVIJk6V5mKnyMT4IFvehHkmZSuZRUBU/edit?gid=24099429#"",""EHA!S9:AH9"")"),1743999.9999999998)</f>
        <v>1744000</v>
      </c>
      <c r="J6" s="69">
        <f>IFERROR(__xludf.DUMMYFUNCTION("""COMPUTED_VALUE"""),145333.33333333334)</f>
        <v>145333.3333</v>
      </c>
      <c r="K6" s="69">
        <f>IFERROR(__xludf.DUMMYFUNCTION("""COMPUTED_VALUE"""),145333.33333333334)</f>
        <v>145333.3333</v>
      </c>
      <c r="L6" s="69">
        <f>IFERROR(__xludf.DUMMYFUNCTION("""COMPUTED_VALUE"""),145333.33333333334)</f>
        <v>145333.3333</v>
      </c>
      <c r="M6" s="69">
        <f>IFERROR(__xludf.DUMMYFUNCTION("""COMPUTED_VALUE"""),145333.33333333334)</f>
        <v>145333.3333</v>
      </c>
      <c r="N6" s="69">
        <f>IFERROR(__xludf.DUMMYFUNCTION("""COMPUTED_VALUE"""),145333.33333333334)</f>
        <v>145333.3333</v>
      </c>
      <c r="O6" s="69">
        <f>IFERROR(__xludf.DUMMYFUNCTION("""COMPUTED_VALUE"""),145333.33333333334)</f>
        <v>145333.3333</v>
      </c>
      <c r="P6" s="69">
        <f>IFERROR(__xludf.DUMMYFUNCTION("""COMPUTED_VALUE"""),145333.33333333334)</f>
        <v>145333.3333</v>
      </c>
      <c r="Q6" s="69">
        <f>IFERROR(__xludf.DUMMYFUNCTION("""COMPUTED_VALUE"""),145333.33333333334)</f>
        <v>145333.3333</v>
      </c>
      <c r="R6" s="69">
        <f>IFERROR(__xludf.DUMMYFUNCTION("""COMPUTED_VALUE"""),145333.33333333334)</f>
        <v>145333.3333</v>
      </c>
      <c r="S6" s="69">
        <f>IFERROR(__xludf.DUMMYFUNCTION("""COMPUTED_VALUE"""),145333.33333333334)</f>
        <v>145333.3333</v>
      </c>
      <c r="T6" s="69">
        <f>IFERROR(__xludf.DUMMYFUNCTION("""COMPUTED_VALUE"""),145333.33333333334)</f>
        <v>145333.3333</v>
      </c>
      <c r="U6" s="71">
        <f>IFERROR(__xludf.DUMMYFUNCTION("""COMPUTED_VALUE"""),145333.33333333334)</f>
        <v>145333.3333</v>
      </c>
      <c r="V6" s="72"/>
      <c r="W6" s="73">
        <f>IFERROR(__xludf.DUMMYFUNCTION("""COMPUTED_VALUE"""),1743999.9999999998)</f>
        <v>1744000</v>
      </c>
      <c r="X6" s="73">
        <f>IFERROR(__xludf.DUMMYFUNCTION("""COMPUTED_VALUE"""),0.0)</f>
        <v>0</v>
      </c>
    </row>
    <row r="7" ht="15.75" customHeight="1">
      <c r="A7" s="59" t="s">
        <v>23</v>
      </c>
      <c r="B7" s="52" t="s">
        <v>25</v>
      </c>
      <c r="C7" s="54" t="s">
        <v>26</v>
      </c>
      <c r="D7" s="54" t="s">
        <v>27</v>
      </c>
      <c r="E7" s="59" t="s">
        <v>49</v>
      </c>
      <c r="F7" s="94" t="s">
        <v>24</v>
      </c>
      <c r="G7" s="95" t="s">
        <v>28</v>
      </c>
      <c r="H7" s="96">
        <v>93101.0</v>
      </c>
      <c r="I7" s="63">
        <f>IFERROR(__xludf.DUMMYFUNCTION("Query({'Travel Input'!D125:S130},""select*"")"),362250.0)</f>
        <v>362250</v>
      </c>
      <c r="J7" s="69">
        <f>IFERROR(__xludf.DUMMYFUNCTION("""COMPUTED_VALUE"""),21000.0)</f>
        <v>21000</v>
      </c>
      <c r="K7" s="69">
        <f>IFERROR(__xludf.DUMMYFUNCTION("""COMPUTED_VALUE"""),31500.0)</f>
        <v>31500</v>
      </c>
      <c r="L7" s="69">
        <f>IFERROR(__xludf.DUMMYFUNCTION("""COMPUTED_VALUE"""),42000.0)</f>
        <v>42000</v>
      </c>
      <c r="M7" s="69">
        <f>IFERROR(__xludf.DUMMYFUNCTION("""COMPUTED_VALUE"""),21000.0)</f>
        <v>21000</v>
      </c>
      <c r="N7" s="69">
        <f>IFERROR(__xludf.DUMMYFUNCTION("""COMPUTED_VALUE"""),57750.0)</f>
        <v>57750</v>
      </c>
      <c r="O7" s="69">
        <f>IFERROR(__xludf.DUMMYFUNCTION("""COMPUTED_VALUE"""),15750.0)</f>
        <v>15750</v>
      </c>
      <c r="P7" s="69">
        <f>IFERROR(__xludf.DUMMYFUNCTION("""COMPUTED_VALUE"""),21000.0)</f>
        <v>21000</v>
      </c>
      <c r="Q7" s="69">
        <f>IFERROR(__xludf.DUMMYFUNCTION("""COMPUTED_VALUE"""),63000.0)</f>
        <v>63000</v>
      </c>
      <c r="R7" s="69">
        <f>IFERROR(__xludf.DUMMYFUNCTION("""COMPUTED_VALUE"""),21000.0)</f>
        <v>21000</v>
      </c>
      <c r="S7" s="69">
        <f>IFERROR(__xludf.DUMMYFUNCTION("""COMPUTED_VALUE"""),68250.0)</f>
        <v>68250</v>
      </c>
      <c r="T7" s="69">
        <f>IFERROR(__xludf.DUMMYFUNCTION("""COMPUTED_VALUE"""),0.0)</f>
        <v>0</v>
      </c>
      <c r="U7" s="71">
        <f>IFERROR(__xludf.DUMMYFUNCTION("""COMPUTED_VALUE"""),0.0)</f>
        <v>0</v>
      </c>
      <c r="V7" s="72"/>
      <c r="W7" s="73">
        <f>IFERROR(__xludf.DUMMYFUNCTION("""COMPUTED_VALUE"""),362250.0)</f>
        <v>362250</v>
      </c>
      <c r="X7" s="73">
        <f>IFERROR(__xludf.DUMMYFUNCTION("""COMPUTED_VALUE"""),99750.0)</f>
        <v>99750</v>
      </c>
    </row>
    <row r="8" ht="15.75" customHeight="1">
      <c r="A8" s="59" t="s">
        <v>23</v>
      </c>
      <c r="B8" s="52" t="s">
        <v>25</v>
      </c>
      <c r="C8" s="54" t="s">
        <v>26</v>
      </c>
      <c r="D8" s="54" t="s">
        <v>27</v>
      </c>
      <c r="E8" s="59" t="s">
        <v>49</v>
      </c>
      <c r="F8" s="94" t="s">
        <v>24</v>
      </c>
      <c r="G8" s="95" t="s">
        <v>36</v>
      </c>
      <c r="H8" s="96">
        <v>93102.0</v>
      </c>
      <c r="I8" s="69">
        <f>IFERROR(__xludf.DUMMYFUNCTION("""COMPUTED_VALUE"""),103500.0)</f>
        <v>103500</v>
      </c>
      <c r="J8" s="69">
        <f>IFERROR(__xludf.DUMMYFUNCTION("""COMPUTED_VALUE"""),6000.0)</f>
        <v>6000</v>
      </c>
      <c r="K8" s="69">
        <f>IFERROR(__xludf.DUMMYFUNCTION("""COMPUTED_VALUE"""),9000.0)</f>
        <v>9000</v>
      </c>
      <c r="L8" s="69">
        <f>IFERROR(__xludf.DUMMYFUNCTION("""COMPUTED_VALUE"""),12000.0)</f>
        <v>12000</v>
      </c>
      <c r="M8" s="69">
        <f>IFERROR(__xludf.DUMMYFUNCTION("""COMPUTED_VALUE"""),6000.0)</f>
        <v>6000</v>
      </c>
      <c r="N8" s="69">
        <f>IFERROR(__xludf.DUMMYFUNCTION("""COMPUTED_VALUE"""),16500.0)</f>
        <v>16500</v>
      </c>
      <c r="O8" s="69">
        <f>IFERROR(__xludf.DUMMYFUNCTION("""COMPUTED_VALUE"""),4500.0)</f>
        <v>4500</v>
      </c>
      <c r="P8" s="69">
        <f>IFERROR(__xludf.DUMMYFUNCTION("""COMPUTED_VALUE"""),6000.0)</f>
        <v>6000</v>
      </c>
      <c r="Q8" s="69">
        <f>IFERROR(__xludf.DUMMYFUNCTION("""COMPUTED_VALUE"""),18000.0)</f>
        <v>18000</v>
      </c>
      <c r="R8" s="69">
        <f>IFERROR(__xludf.DUMMYFUNCTION("""COMPUTED_VALUE"""),6000.0)</f>
        <v>6000</v>
      </c>
      <c r="S8" s="69">
        <f>IFERROR(__xludf.DUMMYFUNCTION("""COMPUTED_VALUE"""),19500.0)</f>
        <v>19500</v>
      </c>
      <c r="T8" s="69">
        <f>IFERROR(__xludf.DUMMYFUNCTION("""COMPUTED_VALUE"""),0.0)</f>
        <v>0</v>
      </c>
      <c r="U8" s="71">
        <f>IFERROR(__xludf.DUMMYFUNCTION("""COMPUTED_VALUE"""),0.0)</f>
        <v>0</v>
      </c>
      <c r="V8" s="72"/>
      <c r="W8" s="73">
        <f>IFERROR(__xludf.DUMMYFUNCTION("""COMPUTED_VALUE"""),103500.0)</f>
        <v>103500</v>
      </c>
      <c r="X8" s="73">
        <f>IFERROR(__xludf.DUMMYFUNCTION("""COMPUTED_VALUE"""),28500.0)</f>
        <v>28500</v>
      </c>
    </row>
    <row r="9" ht="15.75" customHeight="1">
      <c r="A9" s="59" t="s">
        <v>23</v>
      </c>
      <c r="B9" s="52" t="s">
        <v>25</v>
      </c>
      <c r="C9" s="54" t="s">
        <v>26</v>
      </c>
      <c r="D9" s="54" t="s">
        <v>27</v>
      </c>
      <c r="E9" s="59" t="s">
        <v>49</v>
      </c>
      <c r="F9" s="94" t="s">
        <v>24</v>
      </c>
      <c r="G9" s="95" t="s">
        <v>40</v>
      </c>
      <c r="H9" s="96">
        <v>93103.0</v>
      </c>
      <c r="I9" s="69">
        <f>IFERROR(__xludf.DUMMYFUNCTION("""COMPUTED_VALUE"""),396000.0)</f>
        <v>396000</v>
      </c>
      <c r="J9" s="69">
        <f>IFERROR(__xludf.DUMMYFUNCTION("""COMPUTED_VALUE"""),18000.0)</f>
        <v>18000</v>
      </c>
      <c r="K9" s="69">
        <f>IFERROR(__xludf.DUMMYFUNCTION("""COMPUTED_VALUE"""),36000.0)</f>
        <v>36000</v>
      </c>
      <c r="L9" s="69">
        <f>IFERROR(__xludf.DUMMYFUNCTION("""COMPUTED_VALUE"""),36000.0)</f>
        <v>36000</v>
      </c>
      <c r="M9" s="69">
        <f>IFERROR(__xludf.DUMMYFUNCTION("""COMPUTED_VALUE"""),36000.0)</f>
        <v>36000</v>
      </c>
      <c r="N9" s="69">
        <f>IFERROR(__xludf.DUMMYFUNCTION("""COMPUTED_VALUE"""),72000.0)</f>
        <v>72000</v>
      </c>
      <c r="O9" s="69">
        <f>IFERROR(__xludf.DUMMYFUNCTION("""COMPUTED_VALUE"""),18000.0)</f>
        <v>18000</v>
      </c>
      <c r="P9" s="69">
        <f>IFERROR(__xludf.DUMMYFUNCTION("""COMPUTED_VALUE"""),36000.0)</f>
        <v>36000</v>
      </c>
      <c r="Q9" s="69">
        <f>IFERROR(__xludf.DUMMYFUNCTION("""COMPUTED_VALUE"""),54000.0)</f>
        <v>54000</v>
      </c>
      <c r="R9" s="69">
        <f>IFERROR(__xludf.DUMMYFUNCTION("""COMPUTED_VALUE"""),36000.0)</f>
        <v>36000</v>
      </c>
      <c r="S9" s="69">
        <f>IFERROR(__xludf.DUMMYFUNCTION("""COMPUTED_VALUE"""),54000.0)</f>
        <v>54000</v>
      </c>
      <c r="T9" s="69">
        <f>IFERROR(__xludf.DUMMYFUNCTION("""COMPUTED_VALUE"""),0.0)</f>
        <v>0</v>
      </c>
      <c r="U9" s="71">
        <f>IFERROR(__xludf.DUMMYFUNCTION("""COMPUTED_VALUE"""),0.0)</f>
        <v>0</v>
      </c>
      <c r="V9" s="72"/>
      <c r="W9" s="73">
        <f>IFERROR(__xludf.DUMMYFUNCTION("""COMPUTED_VALUE"""),396000.0)</f>
        <v>396000</v>
      </c>
      <c r="X9" s="73">
        <f>IFERROR(__xludf.DUMMYFUNCTION("""COMPUTED_VALUE"""),72000.0)</f>
        <v>72000</v>
      </c>
    </row>
    <row r="10" ht="15.75" customHeight="1">
      <c r="A10" s="59" t="s">
        <v>23</v>
      </c>
      <c r="B10" s="52" t="s">
        <v>25</v>
      </c>
      <c r="C10" s="54" t="s">
        <v>26</v>
      </c>
      <c r="D10" s="54" t="s">
        <v>27</v>
      </c>
      <c r="E10" s="59" t="s">
        <v>49</v>
      </c>
      <c r="F10" s="94" t="s">
        <v>24</v>
      </c>
      <c r="G10" s="95" t="s">
        <v>43</v>
      </c>
      <c r="H10" s="96">
        <v>93104.0</v>
      </c>
      <c r="I10" s="69">
        <f>IFERROR(__xludf.DUMMYFUNCTION("""COMPUTED_VALUE"""),289800.0)</f>
        <v>289800</v>
      </c>
      <c r="J10" s="69">
        <f>IFERROR(__xludf.DUMMYFUNCTION("""COMPUTED_VALUE"""),16800.0)</f>
        <v>16800</v>
      </c>
      <c r="K10" s="69">
        <f>IFERROR(__xludf.DUMMYFUNCTION("""COMPUTED_VALUE"""),25200.0)</f>
        <v>25200</v>
      </c>
      <c r="L10" s="69">
        <f>IFERROR(__xludf.DUMMYFUNCTION("""COMPUTED_VALUE"""),33600.0)</f>
        <v>33600</v>
      </c>
      <c r="M10" s="69">
        <f>IFERROR(__xludf.DUMMYFUNCTION("""COMPUTED_VALUE"""),16800.0)</f>
        <v>16800</v>
      </c>
      <c r="N10" s="69">
        <f>IFERROR(__xludf.DUMMYFUNCTION("""COMPUTED_VALUE"""),46200.0)</f>
        <v>46200</v>
      </c>
      <c r="O10" s="69">
        <f>IFERROR(__xludf.DUMMYFUNCTION("""COMPUTED_VALUE"""),12600.0)</f>
        <v>12600</v>
      </c>
      <c r="P10" s="69">
        <f>IFERROR(__xludf.DUMMYFUNCTION("""COMPUTED_VALUE"""),16800.0)</f>
        <v>16800</v>
      </c>
      <c r="Q10" s="69">
        <f>IFERROR(__xludf.DUMMYFUNCTION("""COMPUTED_VALUE"""),50400.0)</f>
        <v>50400</v>
      </c>
      <c r="R10" s="69">
        <f>IFERROR(__xludf.DUMMYFUNCTION("""COMPUTED_VALUE"""),16800.0)</f>
        <v>16800</v>
      </c>
      <c r="S10" s="69">
        <f>IFERROR(__xludf.DUMMYFUNCTION("""COMPUTED_VALUE"""),54600.0)</f>
        <v>54600</v>
      </c>
      <c r="T10" s="69">
        <f>IFERROR(__xludf.DUMMYFUNCTION("""COMPUTED_VALUE"""),0.0)</f>
        <v>0</v>
      </c>
      <c r="U10" s="71">
        <f>IFERROR(__xludf.DUMMYFUNCTION("""COMPUTED_VALUE"""),0.0)</f>
        <v>0</v>
      </c>
      <c r="V10" s="72"/>
      <c r="W10" s="73">
        <f>IFERROR(__xludf.DUMMYFUNCTION("""COMPUTED_VALUE"""),289800.0)</f>
        <v>289800</v>
      </c>
      <c r="X10" s="73">
        <f>IFERROR(__xludf.DUMMYFUNCTION("""COMPUTED_VALUE"""),79800.0)</f>
        <v>79800</v>
      </c>
    </row>
    <row r="11" ht="15.75" customHeight="1">
      <c r="A11" s="59" t="s">
        <v>23</v>
      </c>
      <c r="B11" s="52" t="s">
        <v>25</v>
      </c>
      <c r="C11" s="54" t="s">
        <v>26</v>
      </c>
      <c r="D11" s="54" t="s">
        <v>27</v>
      </c>
      <c r="E11" s="59" t="s">
        <v>49</v>
      </c>
      <c r="F11" s="94" t="s">
        <v>24</v>
      </c>
      <c r="G11" s="95" t="s">
        <v>48</v>
      </c>
      <c r="H11" s="96">
        <v>93105.0</v>
      </c>
      <c r="I11" s="69">
        <f>IFERROR(__xludf.DUMMYFUNCTION("""COMPUTED_VALUE"""),33000.0)</f>
        <v>33000</v>
      </c>
      <c r="J11" s="69">
        <f>IFERROR(__xludf.DUMMYFUNCTION("""COMPUTED_VALUE"""),1500.0)</f>
        <v>1500</v>
      </c>
      <c r="K11" s="69">
        <f>IFERROR(__xludf.DUMMYFUNCTION("""COMPUTED_VALUE"""),3000.0)</f>
        <v>3000</v>
      </c>
      <c r="L11" s="69">
        <f>IFERROR(__xludf.DUMMYFUNCTION("""COMPUTED_VALUE"""),3000.0)</f>
        <v>3000</v>
      </c>
      <c r="M11" s="69">
        <f>IFERROR(__xludf.DUMMYFUNCTION("""COMPUTED_VALUE"""),3000.0)</f>
        <v>3000</v>
      </c>
      <c r="N11" s="69">
        <f>IFERROR(__xludf.DUMMYFUNCTION("""COMPUTED_VALUE"""),6000.0)</f>
        <v>6000</v>
      </c>
      <c r="O11" s="69">
        <f>IFERROR(__xludf.DUMMYFUNCTION("""COMPUTED_VALUE"""),1500.0)</f>
        <v>1500</v>
      </c>
      <c r="P11" s="69">
        <f>IFERROR(__xludf.DUMMYFUNCTION("""COMPUTED_VALUE"""),3000.0)</f>
        <v>3000</v>
      </c>
      <c r="Q11" s="69">
        <f>IFERROR(__xludf.DUMMYFUNCTION("""COMPUTED_VALUE"""),4500.0)</f>
        <v>4500</v>
      </c>
      <c r="R11" s="69">
        <f>IFERROR(__xludf.DUMMYFUNCTION("""COMPUTED_VALUE"""),3000.0)</f>
        <v>3000</v>
      </c>
      <c r="S11" s="69">
        <f>IFERROR(__xludf.DUMMYFUNCTION("""COMPUTED_VALUE"""),4500.0)</f>
        <v>4500</v>
      </c>
      <c r="T11" s="69">
        <f>IFERROR(__xludf.DUMMYFUNCTION("""COMPUTED_VALUE"""),0.0)</f>
        <v>0</v>
      </c>
      <c r="U11" s="71">
        <f>IFERROR(__xludf.DUMMYFUNCTION("""COMPUTED_VALUE"""),0.0)</f>
        <v>0</v>
      </c>
      <c r="V11" s="72"/>
      <c r="W11" s="73">
        <f>IFERROR(__xludf.DUMMYFUNCTION("""COMPUTED_VALUE"""),33000.0)</f>
        <v>33000</v>
      </c>
      <c r="X11" s="73">
        <f>IFERROR(__xludf.DUMMYFUNCTION("""COMPUTED_VALUE"""),6000.0)</f>
        <v>6000</v>
      </c>
    </row>
    <row r="12" ht="15.75" customHeight="1">
      <c r="A12" s="59" t="s">
        <v>23</v>
      </c>
      <c r="B12" s="52" t="s">
        <v>25</v>
      </c>
      <c r="C12" s="54" t="s">
        <v>26</v>
      </c>
      <c r="D12" s="54" t="s">
        <v>27</v>
      </c>
      <c r="E12" s="59" t="s">
        <v>49</v>
      </c>
      <c r="F12" s="94" t="s">
        <v>24</v>
      </c>
      <c r="G12" s="95" t="s">
        <v>65</v>
      </c>
      <c r="H12" s="96">
        <v>93106.0</v>
      </c>
      <c r="I12" s="69">
        <f>IFERROR(__xludf.DUMMYFUNCTION("""COMPUTED_VALUE"""),15400.0)</f>
        <v>15400</v>
      </c>
      <c r="J12" s="69">
        <f>IFERROR(__xludf.DUMMYFUNCTION("""COMPUTED_VALUE"""),700.0)</f>
        <v>700</v>
      </c>
      <c r="K12" s="69">
        <f>IFERROR(__xludf.DUMMYFUNCTION("""COMPUTED_VALUE"""),1400.0)</f>
        <v>1400</v>
      </c>
      <c r="L12" s="69">
        <f>IFERROR(__xludf.DUMMYFUNCTION("""COMPUTED_VALUE"""),1400.0)</f>
        <v>1400</v>
      </c>
      <c r="M12" s="69">
        <f>IFERROR(__xludf.DUMMYFUNCTION("""COMPUTED_VALUE"""),1400.0)</f>
        <v>1400</v>
      </c>
      <c r="N12" s="69">
        <f>IFERROR(__xludf.DUMMYFUNCTION("""COMPUTED_VALUE"""),2800.0)</f>
        <v>2800</v>
      </c>
      <c r="O12" s="69">
        <f>IFERROR(__xludf.DUMMYFUNCTION("""COMPUTED_VALUE"""),700.0)</f>
        <v>700</v>
      </c>
      <c r="P12" s="69">
        <f>IFERROR(__xludf.DUMMYFUNCTION("""COMPUTED_VALUE"""),1400.0)</f>
        <v>1400</v>
      </c>
      <c r="Q12" s="69">
        <f>IFERROR(__xludf.DUMMYFUNCTION("""COMPUTED_VALUE"""),2100.0)</f>
        <v>2100</v>
      </c>
      <c r="R12" s="69">
        <f>IFERROR(__xludf.DUMMYFUNCTION("""COMPUTED_VALUE"""),1400.0)</f>
        <v>1400</v>
      </c>
      <c r="S12" s="69">
        <f>IFERROR(__xludf.DUMMYFUNCTION("""COMPUTED_VALUE"""),2100.0)</f>
        <v>2100</v>
      </c>
      <c r="T12" s="69">
        <f>IFERROR(__xludf.DUMMYFUNCTION("""COMPUTED_VALUE"""),0.0)</f>
        <v>0</v>
      </c>
      <c r="U12" s="71">
        <f>IFERROR(__xludf.DUMMYFUNCTION("""COMPUTED_VALUE"""),0.0)</f>
        <v>0</v>
      </c>
      <c r="V12" s="72"/>
      <c r="W12" s="73">
        <f>IFERROR(__xludf.DUMMYFUNCTION("""COMPUTED_VALUE"""),15400.0)</f>
        <v>15400</v>
      </c>
      <c r="X12" s="73">
        <f>IFERROR(__xludf.DUMMYFUNCTION("""COMPUTED_VALUE"""),2800.0)</f>
        <v>2800</v>
      </c>
    </row>
    <row r="13" ht="15.75" customHeight="1">
      <c r="A13" s="59" t="s">
        <v>23</v>
      </c>
      <c r="B13" s="52" t="s">
        <v>25</v>
      </c>
      <c r="C13" s="54" t="s">
        <v>26</v>
      </c>
      <c r="D13" s="54" t="s">
        <v>27</v>
      </c>
      <c r="E13" s="59" t="s">
        <v>49</v>
      </c>
      <c r="F13" s="76" t="s">
        <v>21</v>
      </c>
      <c r="G13" s="95" t="s">
        <v>22</v>
      </c>
      <c r="H13" s="96">
        <v>93201.0</v>
      </c>
      <c r="I13" s="63">
        <f>IFERROR(__xludf.DUMMYFUNCTION("Query({'Other input cost'!F2:U10},""select*"")"),0.0)</f>
        <v>0</v>
      </c>
      <c r="J13" s="69">
        <f>IFERROR(__xludf.DUMMYFUNCTION("""COMPUTED_VALUE"""),0.0)</f>
        <v>0</v>
      </c>
      <c r="K13" s="69">
        <f>IFERROR(__xludf.DUMMYFUNCTION("""COMPUTED_VALUE"""),0.0)</f>
        <v>0</v>
      </c>
      <c r="L13" s="69">
        <f>IFERROR(__xludf.DUMMYFUNCTION("""COMPUTED_VALUE"""),0.0)</f>
        <v>0</v>
      </c>
      <c r="M13" s="69">
        <f>IFERROR(__xludf.DUMMYFUNCTION("""COMPUTED_VALUE"""),0.0)</f>
        <v>0</v>
      </c>
      <c r="N13" s="69">
        <f>IFERROR(__xludf.DUMMYFUNCTION("""COMPUTED_VALUE"""),0.0)</f>
        <v>0</v>
      </c>
      <c r="O13" s="69">
        <f>IFERROR(__xludf.DUMMYFUNCTION("""COMPUTED_VALUE"""),0.0)</f>
        <v>0</v>
      </c>
      <c r="P13" s="69">
        <f>IFERROR(__xludf.DUMMYFUNCTION("""COMPUTED_VALUE"""),0.0)</f>
        <v>0</v>
      </c>
      <c r="Q13" s="69">
        <f>IFERROR(__xludf.DUMMYFUNCTION("""COMPUTED_VALUE"""),0.0)</f>
        <v>0</v>
      </c>
      <c r="R13" s="69">
        <f>IFERROR(__xludf.DUMMYFUNCTION("""COMPUTED_VALUE"""),0.0)</f>
        <v>0</v>
      </c>
      <c r="S13" s="69">
        <f>IFERROR(__xludf.DUMMYFUNCTION("""COMPUTED_VALUE"""),0.0)</f>
        <v>0</v>
      </c>
      <c r="T13" s="69">
        <f>IFERROR(__xludf.DUMMYFUNCTION("""COMPUTED_VALUE"""),0.0)</f>
        <v>0</v>
      </c>
      <c r="U13" s="71">
        <f>IFERROR(__xludf.DUMMYFUNCTION("""COMPUTED_VALUE"""),0.0)</f>
        <v>0</v>
      </c>
      <c r="V13" s="72"/>
      <c r="W13" s="73">
        <f>IFERROR(__xludf.DUMMYFUNCTION("""COMPUTED_VALUE"""),0.0)</f>
        <v>0</v>
      </c>
      <c r="X13" s="122"/>
    </row>
    <row r="14" ht="15.75" customHeight="1">
      <c r="A14" s="59" t="s">
        <v>23</v>
      </c>
      <c r="B14" s="52" t="s">
        <v>25</v>
      </c>
      <c r="C14" s="54" t="s">
        <v>26</v>
      </c>
      <c r="D14" s="54" t="s">
        <v>27</v>
      </c>
      <c r="E14" s="59" t="s">
        <v>49</v>
      </c>
      <c r="F14" s="94" t="s">
        <v>21</v>
      </c>
      <c r="G14" s="95" t="s">
        <v>31</v>
      </c>
      <c r="H14" s="96">
        <v>93204.0</v>
      </c>
      <c r="I14" s="69">
        <f>IFERROR(__xludf.DUMMYFUNCTION("""COMPUTED_VALUE"""),0.0)</f>
        <v>0</v>
      </c>
      <c r="J14" s="69">
        <f>IFERROR(__xludf.DUMMYFUNCTION("""COMPUTED_VALUE"""),0.0)</f>
        <v>0</v>
      </c>
      <c r="K14" s="69">
        <f>IFERROR(__xludf.DUMMYFUNCTION("""COMPUTED_VALUE"""),0.0)</f>
        <v>0</v>
      </c>
      <c r="L14" s="69">
        <f>IFERROR(__xludf.DUMMYFUNCTION("""COMPUTED_VALUE"""),0.0)</f>
        <v>0</v>
      </c>
      <c r="M14" s="69">
        <f>IFERROR(__xludf.DUMMYFUNCTION("""COMPUTED_VALUE"""),0.0)</f>
        <v>0</v>
      </c>
      <c r="N14" s="69">
        <f>IFERROR(__xludf.DUMMYFUNCTION("""COMPUTED_VALUE"""),0.0)</f>
        <v>0</v>
      </c>
      <c r="O14" s="69">
        <f>IFERROR(__xludf.DUMMYFUNCTION("""COMPUTED_VALUE"""),0.0)</f>
        <v>0</v>
      </c>
      <c r="P14" s="69">
        <f>IFERROR(__xludf.DUMMYFUNCTION("""COMPUTED_VALUE"""),0.0)</f>
        <v>0</v>
      </c>
      <c r="Q14" s="69">
        <f>IFERROR(__xludf.DUMMYFUNCTION("""COMPUTED_VALUE"""),0.0)</f>
        <v>0</v>
      </c>
      <c r="R14" s="69">
        <f>IFERROR(__xludf.DUMMYFUNCTION("""COMPUTED_VALUE"""),0.0)</f>
        <v>0</v>
      </c>
      <c r="S14" s="69">
        <f>IFERROR(__xludf.DUMMYFUNCTION("""COMPUTED_VALUE"""),0.0)</f>
        <v>0</v>
      </c>
      <c r="T14" s="69">
        <f>IFERROR(__xludf.DUMMYFUNCTION("""COMPUTED_VALUE"""),0.0)</f>
        <v>0</v>
      </c>
      <c r="U14" s="71">
        <f>IFERROR(__xludf.DUMMYFUNCTION("""COMPUTED_VALUE"""),0.0)</f>
        <v>0</v>
      </c>
      <c r="V14" s="72"/>
      <c r="W14" s="73">
        <f>IFERROR(__xludf.DUMMYFUNCTION("""COMPUTED_VALUE"""),0.0)</f>
        <v>0</v>
      </c>
      <c r="X14" s="122"/>
    </row>
    <row r="15" ht="15.75" customHeight="1">
      <c r="A15" s="59" t="s">
        <v>23</v>
      </c>
      <c r="B15" s="52" t="s">
        <v>25</v>
      </c>
      <c r="C15" s="54" t="s">
        <v>26</v>
      </c>
      <c r="D15" s="54" t="s">
        <v>27</v>
      </c>
      <c r="E15" s="59" t="s">
        <v>49</v>
      </c>
      <c r="F15" s="94" t="s">
        <v>32</v>
      </c>
      <c r="G15" s="95" t="s">
        <v>33</v>
      </c>
      <c r="H15" s="96">
        <v>93301.0</v>
      </c>
      <c r="I15" s="69">
        <f>IFERROR(__xludf.DUMMYFUNCTION("""COMPUTED_VALUE"""),0.0)</f>
        <v>0</v>
      </c>
      <c r="J15" s="69">
        <f>IFERROR(__xludf.DUMMYFUNCTION("""COMPUTED_VALUE"""),0.0)</f>
        <v>0</v>
      </c>
      <c r="K15" s="69">
        <f>IFERROR(__xludf.DUMMYFUNCTION("""COMPUTED_VALUE"""),0.0)</f>
        <v>0</v>
      </c>
      <c r="L15" s="69">
        <f>IFERROR(__xludf.DUMMYFUNCTION("""COMPUTED_VALUE"""),0.0)</f>
        <v>0</v>
      </c>
      <c r="M15" s="69">
        <f>IFERROR(__xludf.DUMMYFUNCTION("""COMPUTED_VALUE"""),0.0)</f>
        <v>0</v>
      </c>
      <c r="N15" s="69">
        <f>IFERROR(__xludf.DUMMYFUNCTION("""COMPUTED_VALUE"""),0.0)</f>
        <v>0</v>
      </c>
      <c r="O15" s="69">
        <f>IFERROR(__xludf.DUMMYFUNCTION("""COMPUTED_VALUE"""),0.0)</f>
        <v>0</v>
      </c>
      <c r="P15" s="69">
        <f>IFERROR(__xludf.DUMMYFUNCTION("""COMPUTED_VALUE"""),0.0)</f>
        <v>0</v>
      </c>
      <c r="Q15" s="69">
        <f>IFERROR(__xludf.DUMMYFUNCTION("""COMPUTED_VALUE"""),0.0)</f>
        <v>0</v>
      </c>
      <c r="R15" s="69">
        <f>IFERROR(__xludf.DUMMYFUNCTION("""COMPUTED_VALUE"""),0.0)</f>
        <v>0</v>
      </c>
      <c r="S15" s="69">
        <f>IFERROR(__xludf.DUMMYFUNCTION("""COMPUTED_VALUE"""),0.0)</f>
        <v>0</v>
      </c>
      <c r="T15" s="69">
        <f>IFERROR(__xludf.DUMMYFUNCTION("""COMPUTED_VALUE"""),0.0)</f>
        <v>0</v>
      </c>
      <c r="U15" s="71">
        <f>IFERROR(__xludf.DUMMYFUNCTION("""COMPUTED_VALUE"""),0.0)</f>
        <v>0</v>
      </c>
      <c r="V15" s="72"/>
      <c r="W15" s="73">
        <f>IFERROR(__xludf.DUMMYFUNCTION("""COMPUTED_VALUE"""),0.0)</f>
        <v>0</v>
      </c>
      <c r="X15" s="122"/>
    </row>
    <row r="16" ht="15.75" customHeight="1">
      <c r="A16" s="59" t="s">
        <v>23</v>
      </c>
      <c r="B16" s="52" t="s">
        <v>25</v>
      </c>
      <c r="C16" s="54" t="s">
        <v>26</v>
      </c>
      <c r="D16" s="54" t="s">
        <v>27</v>
      </c>
      <c r="E16" s="59" t="s">
        <v>49</v>
      </c>
      <c r="F16" s="94" t="s">
        <v>32</v>
      </c>
      <c r="G16" s="95" t="s">
        <v>34</v>
      </c>
      <c r="H16" s="96">
        <v>93302.0</v>
      </c>
      <c r="I16" s="69">
        <f>IFERROR(__xludf.DUMMYFUNCTION("""COMPUTED_VALUE"""),0.0)</f>
        <v>0</v>
      </c>
      <c r="J16" s="69">
        <f>IFERROR(__xludf.DUMMYFUNCTION("""COMPUTED_VALUE"""),0.0)</f>
        <v>0</v>
      </c>
      <c r="K16" s="69">
        <f>IFERROR(__xludf.DUMMYFUNCTION("""COMPUTED_VALUE"""),0.0)</f>
        <v>0</v>
      </c>
      <c r="L16" s="69">
        <f>IFERROR(__xludf.DUMMYFUNCTION("""COMPUTED_VALUE"""),0.0)</f>
        <v>0</v>
      </c>
      <c r="M16" s="69">
        <f>IFERROR(__xludf.DUMMYFUNCTION("""COMPUTED_VALUE"""),0.0)</f>
        <v>0</v>
      </c>
      <c r="N16" s="69">
        <f>IFERROR(__xludf.DUMMYFUNCTION("""COMPUTED_VALUE"""),0.0)</f>
        <v>0</v>
      </c>
      <c r="O16" s="69">
        <f>IFERROR(__xludf.DUMMYFUNCTION("""COMPUTED_VALUE"""),0.0)</f>
        <v>0</v>
      </c>
      <c r="P16" s="69">
        <f>IFERROR(__xludf.DUMMYFUNCTION("""COMPUTED_VALUE"""),0.0)</f>
        <v>0</v>
      </c>
      <c r="Q16" s="69">
        <f>IFERROR(__xludf.DUMMYFUNCTION("""COMPUTED_VALUE"""),0.0)</f>
        <v>0</v>
      </c>
      <c r="R16" s="69">
        <f>IFERROR(__xludf.DUMMYFUNCTION("""COMPUTED_VALUE"""),0.0)</f>
        <v>0</v>
      </c>
      <c r="S16" s="69">
        <f>IFERROR(__xludf.DUMMYFUNCTION("""COMPUTED_VALUE"""),0.0)</f>
        <v>0</v>
      </c>
      <c r="T16" s="69">
        <f>IFERROR(__xludf.DUMMYFUNCTION("""COMPUTED_VALUE"""),0.0)</f>
        <v>0</v>
      </c>
      <c r="U16" s="71">
        <f>IFERROR(__xludf.DUMMYFUNCTION("""COMPUTED_VALUE"""),0.0)</f>
        <v>0</v>
      </c>
      <c r="V16" s="72"/>
      <c r="W16" s="73">
        <f>IFERROR(__xludf.DUMMYFUNCTION("""COMPUTED_VALUE"""),0.0)</f>
        <v>0</v>
      </c>
      <c r="X16" s="122"/>
    </row>
    <row r="17" ht="15.75" customHeight="1">
      <c r="A17" s="59" t="s">
        <v>23</v>
      </c>
      <c r="B17" s="52" t="s">
        <v>25</v>
      </c>
      <c r="C17" s="54" t="s">
        <v>26</v>
      </c>
      <c r="D17" s="54" t="s">
        <v>27</v>
      </c>
      <c r="E17" s="59" t="s">
        <v>49</v>
      </c>
      <c r="F17" s="94" t="s">
        <v>32</v>
      </c>
      <c r="G17" s="95" t="s">
        <v>37</v>
      </c>
      <c r="H17" s="96">
        <v>93303.0</v>
      </c>
      <c r="I17" s="69">
        <f>IFERROR(__xludf.DUMMYFUNCTION("""COMPUTED_VALUE"""),0.0)</f>
        <v>0</v>
      </c>
      <c r="J17" s="69">
        <f>IFERROR(__xludf.DUMMYFUNCTION("""COMPUTED_VALUE"""),0.0)</f>
        <v>0</v>
      </c>
      <c r="K17" s="69">
        <f>IFERROR(__xludf.DUMMYFUNCTION("""COMPUTED_VALUE"""),0.0)</f>
        <v>0</v>
      </c>
      <c r="L17" s="69">
        <f>IFERROR(__xludf.DUMMYFUNCTION("""COMPUTED_VALUE"""),0.0)</f>
        <v>0</v>
      </c>
      <c r="M17" s="69">
        <f>IFERROR(__xludf.DUMMYFUNCTION("""COMPUTED_VALUE"""),0.0)</f>
        <v>0</v>
      </c>
      <c r="N17" s="69">
        <f>IFERROR(__xludf.DUMMYFUNCTION("""COMPUTED_VALUE"""),0.0)</f>
        <v>0</v>
      </c>
      <c r="O17" s="69">
        <f>IFERROR(__xludf.DUMMYFUNCTION("""COMPUTED_VALUE"""),0.0)</f>
        <v>0</v>
      </c>
      <c r="P17" s="69">
        <f>IFERROR(__xludf.DUMMYFUNCTION("""COMPUTED_VALUE"""),0.0)</f>
        <v>0</v>
      </c>
      <c r="Q17" s="69">
        <f>IFERROR(__xludf.DUMMYFUNCTION("""COMPUTED_VALUE"""),0.0)</f>
        <v>0</v>
      </c>
      <c r="R17" s="69">
        <f>IFERROR(__xludf.DUMMYFUNCTION("""COMPUTED_VALUE"""),0.0)</f>
        <v>0</v>
      </c>
      <c r="S17" s="69">
        <f>IFERROR(__xludf.DUMMYFUNCTION("""COMPUTED_VALUE"""),0.0)</f>
        <v>0</v>
      </c>
      <c r="T17" s="69">
        <f>IFERROR(__xludf.DUMMYFUNCTION("""COMPUTED_VALUE"""),0.0)</f>
        <v>0</v>
      </c>
      <c r="U17" s="71">
        <f>IFERROR(__xludf.DUMMYFUNCTION("""COMPUTED_VALUE"""),0.0)</f>
        <v>0</v>
      </c>
      <c r="V17" s="72"/>
      <c r="W17" s="73">
        <f>IFERROR(__xludf.DUMMYFUNCTION("""COMPUTED_VALUE"""),0.0)</f>
        <v>0</v>
      </c>
      <c r="X17" s="122"/>
    </row>
    <row r="18" ht="15.75" customHeight="1">
      <c r="A18" s="59" t="s">
        <v>23</v>
      </c>
      <c r="B18" s="52" t="s">
        <v>25</v>
      </c>
      <c r="C18" s="54" t="s">
        <v>26</v>
      </c>
      <c r="D18" s="54" t="s">
        <v>27</v>
      </c>
      <c r="E18" s="59" t="s">
        <v>49</v>
      </c>
      <c r="F18" s="132" t="s">
        <v>39</v>
      </c>
      <c r="G18" s="134" t="s">
        <v>41</v>
      </c>
      <c r="H18" s="96">
        <v>93401.0</v>
      </c>
      <c r="I18" s="69">
        <f>IFERROR(__xludf.DUMMYFUNCTION("""COMPUTED_VALUE"""),0.0)</f>
        <v>0</v>
      </c>
      <c r="J18" s="69"/>
      <c r="K18" s="69"/>
      <c r="L18" s="69"/>
      <c r="M18" s="69"/>
      <c r="N18" s="69"/>
      <c r="O18" s="69"/>
      <c r="P18" s="69"/>
      <c r="Q18" s="69"/>
      <c r="R18" s="69"/>
      <c r="S18" s="69"/>
      <c r="T18" s="69"/>
      <c r="U18" s="71"/>
      <c r="V18" s="72"/>
      <c r="W18" s="73">
        <f>IFERROR(__xludf.DUMMYFUNCTION("""COMPUTED_VALUE"""),0.0)</f>
        <v>0</v>
      </c>
      <c r="X18" s="122"/>
    </row>
    <row r="19" ht="15.75" customHeight="1">
      <c r="A19" s="59" t="s">
        <v>23</v>
      </c>
      <c r="B19" s="52" t="s">
        <v>25</v>
      </c>
      <c r="C19" s="54" t="s">
        <v>26</v>
      </c>
      <c r="D19" s="54" t="s">
        <v>27</v>
      </c>
      <c r="E19" s="59" t="s">
        <v>49</v>
      </c>
      <c r="F19" s="132" t="s">
        <v>39</v>
      </c>
      <c r="G19" s="134" t="s">
        <v>45</v>
      </c>
      <c r="H19" s="96">
        <v>93404.0</v>
      </c>
      <c r="I19" s="69">
        <f>IFERROR(__xludf.DUMMYFUNCTION("""COMPUTED_VALUE"""),0.0)</f>
        <v>0</v>
      </c>
      <c r="J19" s="69"/>
      <c r="K19" s="69"/>
      <c r="L19" s="69"/>
      <c r="M19" s="69"/>
      <c r="N19" s="69"/>
      <c r="O19" s="69"/>
      <c r="P19" s="69"/>
      <c r="Q19" s="69"/>
      <c r="R19" s="69"/>
      <c r="S19" s="69"/>
      <c r="T19" s="69"/>
      <c r="U19" s="71"/>
      <c r="V19" s="72"/>
      <c r="W19" s="73">
        <f>IFERROR(__xludf.DUMMYFUNCTION("""COMPUTED_VALUE"""),0.0)</f>
        <v>0</v>
      </c>
      <c r="X19" s="122"/>
    </row>
    <row r="20" ht="15.75" customHeight="1">
      <c r="A20" s="59" t="s">
        <v>23</v>
      </c>
      <c r="B20" s="52" t="s">
        <v>25</v>
      </c>
      <c r="C20" s="54" t="s">
        <v>26</v>
      </c>
      <c r="D20" s="54" t="s">
        <v>27</v>
      </c>
      <c r="E20" s="59" t="s">
        <v>49</v>
      </c>
      <c r="F20" s="132" t="s">
        <v>39</v>
      </c>
      <c r="G20" s="134" t="s">
        <v>47</v>
      </c>
      <c r="H20" s="96">
        <v>93405.0</v>
      </c>
      <c r="I20" s="69">
        <f>IFERROR(__xludf.DUMMYFUNCTION("""COMPUTED_VALUE"""),0.0)</f>
        <v>0</v>
      </c>
      <c r="J20" s="69"/>
      <c r="K20" s="69"/>
      <c r="L20" s="69"/>
      <c r="M20" s="69"/>
      <c r="N20" s="69"/>
      <c r="O20" s="69"/>
      <c r="P20" s="69"/>
      <c r="Q20" s="69"/>
      <c r="R20" s="69"/>
      <c r="S20" s="69"/>
      <c r="T20" s="69"/>
      <c r="U20" s="71"/>
      <c r="V20" s="72"/>
      <c r="W20" s="73">
        <f>IFERROR(__xludf.DUMMYFUNCTION("""COMPUTED_VALUE"""),0.0)</f>
        <v>0</v>
      </c>
      <c r="X20" s="122"/>
    </row>
    <row r="21" ht="15.75" customHeight="1">
      <c r="A21" s="59" t="s">
        <v>23</v>
      </c>
      <c r="B21" s="52" t="s">
        <v>25</v>
      </c>
      <c r="C21" s="54" t="s">
        <v>26</v>
      </c>
      <c r="D21" s="54" t="s">
        <v>27</v>
      </c>
      <c r="E21" s="59" t="s">
        <v>71</v>
      </c>
      <c r="F21" s="132" t="s">
        <v>50</v>
      </c>
      <c r="G21" s="134" t="s">
        <v>51</v>
      </c>
      <c r="H21" s="96">
        <v>93703.0</v>
      </c>
      <c r="I21" s="69">
        <f>IFERROR(__xludf.DUMMYFUNCTION("""COMPUTED_VALUE"""),0.0)</f>
        <v>0</v>
      </c>
      <c r="J21" s="69"/>
      <c r="K21" s="69"/>
      <c r="L21" s="69"/>
      <c r="M21" s="69"/>
      <c r="N21" s="69"/>
      <c r="O21" s="69"/>
      <c r="P21" s="69"/>
      <c r="Q21" s="69"/>
      <c r="R21" s="69"/>
      <c r="S21" s="69"/>
      <c r="T21" s="69"/>
      <c r="U21" s="71"/>
      <c r="V21" s="72"/>
      <c r="W21" s="73">
        <f>IFERROR(__xludf.DUMMYFUNCTION("""COMPUTED_VALUE"""),0.0)</f>
        <v>0</v>
      </c>
      <c r="X21" s="122"/>
    </row>
    <row r="22" ht="15.75" customHeight="1">
      <c r="A22" s="49" t="str">
        <f>IFERROR(__xludf.DUMMYFUNCTION("importrange(""https://docs.google.com/spreadsheets/d/1rGqTa7RnQr9aNVIJk6V5mKnyMT4IFvehHkmZSuZRUBU/edit?gid=569858260#"",""Fixed Asset!B12:I12"")"),"India")</f>
        <v>India</v>
      </c>
      <c r="B22" s="52" t="str">
        <f>IFERROR(__xludf.DUMMYFUNCTION("""COMPUTED_VALUE"""),"NHIPLC")</f>
        <v>NHIPLC</v>
      </c>
      <c r="C22" s="54" t="str">
        <f>IFERROR(__xludf.DUMMYFUNCTION("""COMPUTED_VALUE"""),"PDD")</f>
        <v>PDD</v>
      </c>
      <c r="D22" s="54" t="str">
        <f>IFERROR(__xludf.DUMMYFUNCTION("""COMPUTED_VALUE"""),"Medical")</f>
        <v>Medical</v>
      </c>
      <c r="E22" s="59" t="str">
        <f>IFERROR(__xludf.DUMMYFUNCTION("""COMPUTED_VALUE"""),"Fixed Assets")</f>
        <v>Fixed Assets</v>
      </c>
      <c r="F22" s="132" t="str">
        <f>IFERROR(__xludf.DUMMYFUNCTION("""COMPUTED_VALUE"""),"Fixed Assets")</f>
        <v>Fixed Assets</v>
      </c>
      <c r="G22" s="134" t="str">
        <f>IFERROR(__xludf.DUMMYFUNCTION("""COMPUTED_VALUE"""),"Laptop/ Printer")</f>
        <v>Laptop/ Printer</v>
      </c>
      <c r="H22" s="96">
        <f>IFERROR(__xludf.DUMMYFUNCTION("""COMPUTED_VALUE"""),11301.0)</f>
        <v>11301</v>
      </c>
      <c r="I22" s="63">
        <f>IFERROR(__xludf.DUMMYFUNCTION("importrange(""https://docs.google.com/spreadsheets/d/1rGqTa7RnQr9aNVIJk6V5mKnyMT4IFvehHkmZSuZRUBU/edit?gid=569858260#"",""Fixed Asset!J12:Y12"")"),0.0)</f>
        <v>0</v>
      </c>
      <c r="J22" s="69">
        <f>IFERROR(__xludf.DUMMYFUNCTION("""COMPUTED_VALUE"""),0.0)</f>
        <v>0</v>
      </c>
      <c r="K22" s="69">
        <f>IFERROR(__xludf.DUMMYFUNCTION("""COMPUTED_VALUE"""),0.0)</f>
        <v>0</v>
      </c>
      <c r="L22" s="69">
        <f>IFERROR(__xludf.DUMMYFUNCTION("""COMPUTED_VALUE"""),0.0)</f>
        <v>0</v>
      </c>
      <c r="M22" s="69">
        <f>IFERROR(__xludf.DUMMYFUNCTION("""COMPUTED_VALUE"""),0.0)</f>
        <v>0</v>
      </c>
      <c r="N22" s="69">
        <f>IFERROR(__xludf.DUMMYFUNCTION("""COMPUTED_VALUE"""),0.0)</f>
        <v>0</v>
      </c>
      <c r="O22" s="69">
        <f>IFERROR(__xludf.DUMMYFUNCTION("""COMPUTED_VALUE"""),0.0)</f>
        <v>0</v>
      </c>
      <c r="P22" s="69">
        <f>IFERROR(__xludf.DUMMYFUNCTION("""COMPUTED_VALUE"""),0.0)</f>
        <v>0</v>
      </c>
      <c r="Q22" s="69">
        <f>IFERROR(__xludf.DUMMYFUNCTION("""COMPUTED_VALUE"""),0.0)</f>
        <v>0</v>
      </c>
      <c r="R22" s="69">
        <f>IFERROR(__xludf.DUMMYFUNCTION("""COMPUTED_VALUE"""),0.0)</f>
        <v>0</v>
      </c>
      <c r="S22" s="69">
        <f>IFERROR(__xludf.DUMMYFUNCTION("""COMPUTED_VALUE"""),0.0)</f>
        <v>0</v>
      </c>
      <c r="T22" s="69">
        <f>IFERROR(__xludf.DUMMYFUNCTION("""COMPUTED_VALUE"""),0.0)</f>
        <v>0</v>
      </c>
      <c r="U22" s="71">
        <f>IFERROR(__xludf.DUMMYFUNCTION("""COMPUTED_VALUE"""),0.0)</f>
        <v>0</v>
      </c>
      <c r="V22" s="136"/>
      <c r="W22" s="73">
        <f>IFERROR(__xludf.DUMMYFUNCTION("""COMPUTED_VALUE"""),0.0)</f>
        <v>0</v>
      </c>
      <c r="X22" s="73">
        <f>IFERROR(__xludf.DUMMYFUNCTION("""COMPUTED_VALUE"""),0.0)</f>
        <v>0</v>
      </c>
    </row>
    <row r="23" ht="15.75" customHeight="1">
      <c r="A23" s="137"/>
      <c r="B23" s="137"/>
      <c r="C23" s="137"/>
      <c r="D23" s="137"/>
      <c r="E23" s="137"/>
      <c r="F23" s="138"/>
      <c r="G23" s="139" t="s">
        <v>54</v>
      </c>
      <c r="H23" s="139"/>
      <c r="I23" s="140">
        <f t="shared" ref="I23:U23" si="1">SUM(I3:I22)</f>
        <v>12797024.03</v>
      </c>
      <c r="J23" s="140">
        <f t="shared" si="1"/>
        <v>1242949.607</v>
      </c>
      <c r="K23" s="140">
        <f t="shared" si="1"/>
        <v>1285049.607</v>
      </c>
      <c r="L23" s="140">
        <f t="shared" si="1"/>
        <v>2563864.607</v>
      </c>
      <c r="M23" s="140">
        <f t="shared" si="1"/>
        <v>817732.94</v>
      </c>
      <c r="N23" s="140">
        <f t="shared" si="1"/>
        <v>934782.94</v>
      </c>
      <c r="O23" s="140">
        <f t="shared" si="1"/>
        <v>988096.69</v>
      </c>
      <c r="P23" s="140">
        <f t="shared" si="1"/>
        <v>817732.94</v>
      </c>
      <c r="Q23" s="140">
        <f t="shared" si="1"/>
        <v>925532.94</v>
      </c>
      <c r="R23" s="140">
        <f t="shared" si="1"/>
        <v>817732.94</v>
      </c>
      <c r="S23" s="140">
        <f t="shared" si="1"/>
        <v>936482.94</v>
      </c>
      <c r="T23" s="140">
        <f t="shared" si="1"/>
        <v>733532.94</v>
      </c>
      <c r="U23" s="141">
        <f t="shared" si="1"/>
        <v>733532.94</v>
      </c>
      <c r="V23" s="142">
        <v>2026.0</v>
      </c>
      <c r="W23" s="141">
        <f t="shared" ref="W23:X23" si="2">SUM(W3:W22)</f>
        <v>12797024.03</v>
      </c>
      <c r="X23" s="141">
        <f t="shared" si="2"/>
        <v>288850</v>
      </c>
      <c r="Y23" s="143">
        <f>W23-I23</f>
        <v>0</v>
      </c>
    </row>
    <row r="24" ht="15.75" customHeight="1">
      <c r="V24" s="144"/>
    </row>
    <row r="25" ht="15.75" customHeight="1">
      <c r="A25" s="145"/>
      <c r="B25" s="145"/>
      <c r="C25" s="145"/>
      <c r="D25" s="145"/>
      <c r="E25" s="145"/>
      <c r="F25" s="145"/>
      <c r="G25" s="145"/>
      <c r="H25" s="145"/>
      <c r="I25" s="146"/>
      <c r="J25" s="145"/>
      <c r="K25" s="145"/>
      <c r="L25" s="145"/>
      <c r="M25" s="145"/>
      <c r="N25" s="145"/>
      <c r="O25" s="145"/>
      <c r="P25" s="145"/>
      <c r="Q25" s="145"/>
      <c r="R25" s="145"/>
      <c r="S25" s="145"/>
      <c r="T25" s="145"/>
      <c r="U25" s="145"/>
      <c r="V25" s="72"/>
    </row>
    <row r="26" ht="15.75" customHeight="1">
      <c r="A26" s="145"/>
      <c r="B26" s="145"/>
      <c r="C26" s="145"/>
      <c r="D26" s="145"/>
      <c r="E26" s="145"/>
      <c r="F26" s="145"/>
      <c r="G26" s="145"/>
      <c r="H26" s="145"/>
      <c r="I26" s="145"/>
      <c r="J26" s="145"/>
      <c r="K26" s="145"/>
      <c r="L26" s="145"/>
      <c r="M26" s="145"/>
      <c r="N26" s="145"/>
      <c r="O26" s="145"/>
      <c r="P26" s="145"/>
      <c r="Q26" s="145"/>
      <c r="R26" s="145"/>
      <c r="S26" s="145"/>
      <c r="T26" s="145"/>
      <c r="U26" s="145"/>
      <c r="V26" s="72"/>
    </row>
    <row r="27" ht="15.75" customHeight="1">
      <c r="A27" s="145"/>
      <c r="B27" s="145"/>
      <c r="C27" s="145"/>
      <c r="D27" s="145"/>
      <c r="E27" s="145"/>
      <c r="F27" s="145"/>
      <c r="G27" s="145"/>
      <c r="H27" s="145"/>
      <c r="I27" s="145"/>
      <c r="J27" s="145"/>
      <c r="K27" s="145"/>
      <c r="L27" s="145"/>
      <c r="M27" s="145"/>
      <c r="N27" s="145"/>
      <c r="O27" s="145"/>
      <c r="P27" s="145"/>
      <c r="Q27" s="145"/>
      <c r="R27" s="145"/>
      <c r="S27" s="145"/>
      <c r="T27" s="145"/>
      <c r="U27" s="145"/>
      <c r="V27" s="72"/>
    </row>
    <row r="28" ht="15.75" customHeight="1">
      <c r="A28" s="145"/>
      <c r="B28" s="145"/>
      <c r="C28" s="145"/>
      <c r="D28" s="145"/>
      <c r="E28" s="145"/>
      <c r="F28" s="145"/>
      <c r="G28" s="145"/>
      <c r="H28" s="145"/>
      <c r="I28" s="145"/>
      <c r="J28" s="145"/>
      <c r="K28" s="145"/>
      <c r="L28" s="145"/>
      <c r="M28" s="145"/>
      <c r="N28" s="145"/>
      <c r="O28" s="145"/>
      <c r="P28" s="145"/>
      <c r="Q28" s="145"/>
      <c r="R28" s="145"/>
      <c r="S28" s="145"/>
      <c r="T28" s="145"/>
      <c r="U28" s="145"/>
      <c r="V28" s="72"/>
    </row>
    <row r="29" ht="15.75" customHeight="1">
      <c r="A29" s="145"/>
      <c r="B29" s="145"/>
      <c r="C29" s="145"/>
      <c r="D29" s="145"/>
      <c r="E29" s="145"/>
      <c r="F29" s="145"/>
      <c r="G29" s="145"/>
      <c r="H29" s="145"/>
      <c r="I29" s="145"/>
      <c r="J29" s="145"/>
      <c r="K29" s="145"/>
      <c r="L29" s="145"/>
      <c r="M29" s="145"/>
      <c r="N29" s="145"/>
      <c r="O29" s="145"/>
      <c r="P29" s="145"/>
      <c r="Q29" s="145"/>
      <c r="R29" s="145"/>
      <c r="S29" s="145"/>
      <c r="T29" s="145"/>
      <c r="U29" s="145"/>
      <c r="V29" s="72"/>
    </row>
    <row r="30" ht="15.75" customHeight="1">
      <c r="A30" s="145"/>
      <c r="B30" s="145"/>
      <c r="C30" s="145"/>
      <c r="D30" s="145"/>
      <c r="E30" s="145"/>
      <c r="F30" s="145"/>
      <c r="G30" s="145"/>
      <c r="H30" s="145"/>
      <c r="I30" s="145"/>
      <c r="J30" s="145"/>
      <c r="K30" s="145"/>
      <c r="L30" s="145"/>
      <c r="M30" s="145"/>
      <c r="N30" s="145"/>
      <c r="O30" s="145"/>
      <c r="P30" s="145"/>
      <c r="Q30" s="145"/>
      <c r="R30" s="145"/>
      <c r="S30" s="145"/>
      <c r="T30" s="145"/>
      <c r="U30" s="145"/>
      <c r="V30" s="72"/>
    </row>
    <row r="31" ht="15.75" customHeight="1">
      <c r="A31" s="145"/>
      <c r="B31" s="145"/>
      <c r="C31" s="145"/>
      <c r="D31" s="145"/>
      <c r="E31" s="145"/>
      <c r="F31" s="145"/>
      <c r="G31" s="145"/>
      <c r="H31" s="145"/>
      <c r="I31" s="145"/>
      <c r="J31" s="145"/>
      <c r="K31" s="145"/>
      <c r="L31" s="145"/>
      <c r="M31" s="145"/>
      <c r="N31" s="145"/>
      <c r="O31" s="145"/>
      <c r="P31" s="145"/>
      <c r="Q31" s="145"/>
      <c r="R31" s="145"/>
      <c r="S31" s="145"/>
      <c r="T31" s="145"/>
      <c r="U31" s="145"/>
      <c r="V31" s="72"/>
    </row>
    <row r="32" ht="15.75" customHeight="1">
      <c r="A32" s="145"/>
      <c r="B32" s="145"/>
      <c r="C32" s="145"/>
      <c r="D32" s="145"/>
      <c r="E32" s="145"/>
      <c r="F32" s="145"/>
      <c r="G32" s="145"/>
      <c r="H32" s="145"/>
      <c r="I32" s="145"/>
      <c r="J32" s="145"/>
      <c r="K32" s="145"/>
      <c r="L32" s="145"/>
      <c r="M32" s="145"/>
      <c r="N32" s="145"/>
      <c r="O32" s="145"/>
      <c r="P32" s="145"/>
      <c r="Q32" s="145"/>
      <c r="R32" s="145"/>
      <c r="S32" s="145"/>
      <c r="T32" s="145"/>
      <c r="U32" s="145"/>
      <c r="V32" s="72"/>
    </row>
    <row r="33" ht="15.75" customHeight="1">
      <c r="A33" s="145"/>
      <c r="B33" s="145"/>
      <c r="C33" s="145"/>
      <c r="D33" s="145"/>
      <c r="E33" s="145"/>
      <c r="F33" s="145"/>
      <c r="G33" s="145"/>
      <c r="H33" s="145"/>
      <c r="I33" s="145"/>
      <c r="J33" s="145"/>
      <c r="K33" s="145"/>
      <c r="L33" s="145"/>
      <c r="M33" s="145"/>
      <c r="N33" s="145"/>
      <c r="O33" s="145"/>
      <c r="P33" s="145"/>
      <c r="Q33" s="145"/>
      <c r="R33" s="145"/>
      <c r="S33" s="145"/>
      <c r="T33" s="145"/>
      <c r="U33" s="145"/>
      <c r="V33" s="72"/>
    </row>
    <row r="34" ht="15.75" customHeight="1">
      <c r="A34" s="145"/>
      <c r="B34" s="145"/>
      <c r="C34" s="145"/>
      <c r="D34" s="145"/>
      <c r="E34" s="145"/>
      <c r="F34" s="145"/>
      <c r="G34" s="145"/>
      <c r="H34" s="145"/>
      <c r="I34" s="145"/>
      <c r="J34" s="145"/>
      <c r="K34" s="145"/>
      <c r="L34" s="145"/>
      <c r="M34" s="145"/>
      <c r="N34" s="145"/>
      <c r="O34" s="145"/>
      <c r="P34" s="145"/>
      <c r="Q34" s="145"/>
      <c r="R34" s="145"/>
      <c r="S34" s="145"/>
      <c r="T34" s="145"/>
      <c r="U34" s="145"/>
      <c r="V34" s="72"/>
    </row>
    <row r="35" ht="15.75" customHeight="1">
      <c r="A35" s="145"/>
      <c r="B35" s="145"/>
      <c r="C35" s="145"/>
      <c r="D35" s="145"/>
      <c r="E35" s="145"/>
      <c r="F35" s="145"/>
      <c r="G35" s="145"/>
      <c r="H35" s="145"/>
      <c r="I35" s="145"/>
      <c r="J35" s="145"/>
      <c r="K35" s="145"/>
      <c r="L35" s="145"/>
      <c r="M35" s="145"/>
      <c r="N35" s="145"/>
      <c r="O35" s="145"/>
      <c r="P35" s="145"/>
      <c r="Q35" s="145"/>
      <c r="R35" s="145"/>
      <c r="S35" s="145"/>
      <c r="T35" s="145"/>
      <c r="U35" s="145"/>
      <c r="V35" s="72"/>
    </row>
    <row r="36" ht="15.75" customHeight="1">
      <c r="A36" s="145"/>
      <c r="B36" s="145"/>
      <c r="C36" s="145"/>
      <c r="D36" s="145"/>
      <c r="E36" s="145"/>
      <c r="F36" s="145"/>
      <c r="G36" s="145"/>
      <c r="H36" s="145"/>
      <c r="I36" s="145"/>
      <c r="J36" s="145"/>
      <c r="K36" s="145"/>
      <c r="L36" s="145"/>
      <c r="M36" s="145"/>
      <c r="N36" s="145"/>
      <c r="O36" s="145"/>
      <c r="P36" s="145"/>
      <c r="Q36" s="145"/>
      <c r="R36" s="145"/>
      <c r="S36" s="145"/>
      <c r="T36" s="145"/>
      <c r="U36" s="145"/>
      <c r="V36" s="72"/>
    </row>
    <row r="37" ht="15.75" customHeight="1">
      <c r="A37" s="145"/>
      <c r="B37" s="145"/>
      <c r="C37" s="145"/>
      <c r="D37" s="145"/>
      <c r="E37" s="145"/>
      <c r="F37" s="145"/>
      <c r="G37" s="145"/>
      <c r="H37" s="145"/>
      <c r="I37" s="145"/>
      <c r="J37" s="145"/>
      <c r="K37" s="145"/>
      <c r="L37" s="145"/>
      <c r="M37" s="145"/>
      <c r="N37" s="145"/>
      <c r="O37" s="145"/>
      <c r="P37" s="145"/>
      <c r="Q37" s="145"/>
      <c r="R37" s="145"/>
      <c r="S37" s="145"/>
      <c r="T37" s="145"/>
      <c r="U37" s="145"/>
      <c r="V37" s="72"/>
    </row>
    <row r="38" ht="15.75" customHeight="1">
      <c r="A38" s="145"/>
      <c r="B38" s="145"/>
      <c r="C38" s="145"/>
      <c r="D38" s="145"/>
      <c r="E38" s="145"/>
      <c r="F38" s="145"/>
      <c r="G38" s="145"/>
      <c r="H38" s="145"/>
      <c r="I38" s="145"/>
      <c r="J38" s="145"/>
      <c r="K38" s="145"/>
      <c r="L38" s="145"/>
      <c r="M38" s="145"/>
      <c r="N38" s="145"/>
      <c r="O38" s="145"/>
      <c r="P38" s="145"/>
      <c r="Q38" s="145"/>
      <c r="R38" s="145"/>
      <c r="S38" s="145"/>
      <c r="T38" s="145"/>
      <c r="U38" s="145"/>
      <c r="V38" s="72"/>
    </row>
    <row r="39" ht="15.75" customHeight="1">
      <c r="A39" s="145"/>
      <c r="B39" s="145"/>
      <c r="C39" s="145"/>
      <c r="D39" s="145"/>
      <c r="E39" s="145"/>
      <c r="F39" s="145"/>
      <c r="G39" s="145"/>
      <c r="H39" s="145"/>
      <c r="I39" s="145"/>
      <c r="J39" s="145"/>
      <c r="K39" s="145"/>
      <c r="L39" s="145"/>
      <c r="M39" s="145"/>
      <c r="N39" s="145"/>
      <c r="O39" s="145"/>
      <c r="P39" s="145"/>
      <c r="Q39" s="145"/>
      <c r="R39" s="145"/>
      <c r="S39" s="145"/>
      <c r="T39" s="145"/>
      <c r="U39" s="145"/>
      <c r="V39" s="72"/>
    </row>
    <row r="40" ht="15.75" customHeight="1">
      <c r="A40" s="145"/>
      <c r="B40" s="145"/>
      <c r="C40" s="145"/>
      <c r="D40" s="145"/>
      <c r="E40" s="145"/>
      <c r="F40" s="145"/>
      <c r="G40" s="145"/>
      <c r="H40" s="145"/>
      <c r="I40" s="145"/>
      <c r="J40" s="145"/>
      <c r="K40" s="145"/>
      <c r="L40" s="145"/>
      <c r="M40" s="145"/>
      <c r="N40" s="145"/>
      <c r="O40" s="145"/>
      <c r="P40" s="145"/>
      <c r="Q40" s="145"/>
      <c r="R40" s="145"/>
      <c r="S40" s="145"/>
      <c r="T40" s="145"/>
      <c r="U40" s="145"/>
      <c r="V40" s="72"/>
    </row>
    <row r="41" ht="15.75" customHeight="1">
      <c r="A41" s="145"/>
      <c r="B41" s="145"/>
      <c r="C41" s="145"/>
      <c r="D41" s="145"/>
      <c r="E41" s="145"/>
      <c r="F41" s="145"/>
      <c r="G41" s="145"/>
      <c r="H41" s="145"/>
      <c r="I41" s="145"/>
      <c r="J41" s="145"/>
      <c r="K41" s="145"/>
      <c r="L41" s="145"/>
      <c r="M41" s="145"/>
      <c r="N41" s="145"/>
      <c r="O41" s="145"/>
      <c r="P41" s="145"/>
      <c r="Q41" s="145"/>
      <c r="R41" s="145"/>
      <c r="S41" s="145"/>
      <c r="T41" s="145"/>
      <c r="U41" s="145"/>
      <c r="V41" s="72"/>
    </row>
    <row r="42" ht="15.75" customHeight="1">
      <c r="A42" s="145"/>
      <c r="B42" s="145"/>
      <c r="C42" s="145"/>
      <c r="D42" s="145"/>
      <c r="E42" s="145"/>
      <c r="F42" s="145"/>
      <c r="G42" s="145"/>
      <c r="H42" s="145"/>
      <c r="I42" s="145"/>
      <c r="J42" s="145"/>
      <c r="K42" s="145"/>
      <c r="L42" s="145"/>
      <c r="M42" s="145"/>
      <c r="N42" s="145"/>
      <c r="O42" s="145"/>
      <c r="P42" s="145"/>
      <c r="Q42" s="145"/>
      <c r="R42" s="145"/>
      <c r="S42" s="145"/>
      <c r="T42" s="145"/>
      <c r="U42" s="145"/>
      <c r="V42" s="72"/>
    </row>
    <row r="43" ht="15.75" customHeight="1">
      <c r="A43" s="145"/>
      <c r="B43" s="145"/>
      <c r="C43" s="145"/>
      <c r="D43" s="145"/>
      <c r="E43" s="145"/>
      <c r="F43" s="145"/>
      <c r="G43" s="145"/>
      <c r="H43" s="145"/>
      <c r="I43" s="145"/>
      <c r="J43" s="145"/>
      <c r="K43" s="145"/>
      <c r="L43" s="145"/>
      <c r="M43" s="145"/>
      <c r="N43" s="145"/>
      <c r="O43" s="145"/>
      <c r="P43" s="145"/>
      <c r="Q43" s="145"/>
      <c r="R43" s="145"/>
      <c r="S43" s="145"/>
      <c r="T43" s="145"/>
      <c r="U43" s="145"/>
      <c r="V43" s="72"/>
    </row>
    <row r="44" ht="15.75" customHeight="1">
      <c r="A44" s="145"/>
      <c r="B44" s="145"/>
      <c r="C44" s="145"/>
      <c r="D44" s="145"/>
      <c r="E44" s="145"/>
      <c r="F44" s="145"/>
      <c r="G44" s="145"/>
      <c r="H44" s="145"/>
      <c r="I44" s="145"/>
      <c r="J44" s="145"/>
      <c r="K44" s="145"/>
      <c r="L44" s="145"/>
      <c r="M44" s="145"/>
      <c r="N44" s="145"/>
      <c r="O44" s="145"/>
      <c r="P44" s="145"/>
      <c r="Q44" s="145"/>
      <c r="R44" s="145"/>
      <c r="S44" s="145"/>
      <c r="T44" s="145"/>
      <c r="U44" s="145"/>
      <c r="V44" s="72"/>
    </row>
    <row r="45" ht="15.75" customHeight="1">
      <c r="A45" s="145"/>
      <c r="B45" s="145"/>
      <c r="C45" s="145"/>
      <c r="D45" s="145"/>
      <c r="E45" s="145"/>
      <c r="F45" s="145"/>
      <c r="G45" s="145"/>
      <c r="H45" s="145"/>
      <c r="I45" s="145"/>
      <c r="J45" s="145"/>
      <c r="K45" s="145"/>
      <c r="L45" s="145"/>
      <c r="M45" s="145"/>
      <c r="N45" s="145"/>
      <c r="O45" s="145"/>
      <c r="P45" s="145"/>
      <c r="Q45" s="145"/>
      <c r="R45" s="145"/>
      <c r="S45" s="145"/>
      <c r="T45" s="145"/>
      <c r="U45" s="145"/>
      <c r="V45" s="72"/>
    </row>
    <row r="46" ht="15.75" customHeight="1">
      <c r="A46" s="145"/>
      <c r="B46" s="145"/>
      <c r="C46" s="145"/>
      <c r="D46" s="145"/>
      <c r="E46" s="145"/>
      <c r="F46" s="145"/>
      <c r="G46" s="145"/>
      <c r="H46" s="145"/>
      <c r="I46" s="145"/>
      <c r="J46" s="145"/>
      <c r="K46" s="145"/>
      <c r="L46" s="145"/>
      <c r="M46" s="145"/>
      <c r="N46" s="145"/>
      <c r="O46" s="145"/>
      <c r="P46" s="145"/>
      <c r="Q46" s="145"/>
      <c r="R46" s="145"/>
      <c r="S46" s="145"/>
      <c r="T46" s="145"/>
      <c r="U46" s="145"/>
      <c r="V46" s="72"/>
    </row>
    <row r="47" ht="15.75" customHeight="1">
      <c r="A47" s="145"/>
      <c r="B47" s="145"/>
      <c r="C47" s="145"/>
      <c r="D47" s="145"/>
      <c r="E47" s="145"/>
      <c r="F47" s="145"/>
      <c r="G47" s="145"/>
      <c r="H47" s="145"/>
      <c r="I47" s="145"/>
      <c r="J47" s="145"/>
      <c r="K47" s="145"/>
      <c r="L47" s="145"/>
      <c r="M47" s="145"/>
      <c r="N47" s="145"/>
      <c r="O47" s="145"/>
      <c r="P47" s="145"/>
      <c r="Q47" s="145"/>
      <c r="R47" s="145"/>
      <c r="S47" s="145"/>
      <c r="T47" s="145"/>
      <c r="U47" s="145"/>
      <c r="V47" s="72"/>
    </row>
    <row r="48" ht="15.75" customHeight="1">
      <c r="A48" s="145"/>
      <c r="B48" s="145"/>
      <c r="C48" s="145"/>
      <c r="D48" s="145"/>
      <c r="E48" s="145"/>
      <c r="F48" s="145"/>
      <c r="G48" s="145"/>
      <c r="H48" s="145"/>
      <c r="I48" s="145"/>
      <c r="J48" s="145"/>
      <c r="K48" s="145"/>
      <c r="L48" s="145"/>
      <c r="M48" s="145"/>
      <c r="N48" s="145"/>
      <c r="O48" s="145"/>
      <c r="P48" s="145"/>
      <c r="Q48" s="145"/>
      <c r="R48" s="145"/>
      <c r="S48" s="145"/>
      <c r="T48" s="145"/>
      <c r="U48" s="145"/>
      <c r="V48" s="72"/>
    </row>
    <row r="49" ht="15.75" customHeight="1">
      <c r="A49" s="145"/>
      <c r="B49" s="145"/>
      <c r="C49" s="145"/>
      <c r="D49" s="145"/>
      <c r="E49" s="145"/>
      <c r="F49" s="145"/>
      <c r="G49" s="145"/>
      <c r="H49" s="145"/>
      <c r="I49" s="145"/>
      <c r="J49" s="145"/>
      <c r="K49" s="145"/>
      <c r="L49" s="145"/>
      <c r="M49" s="145"/>
      <c r="N49" s="145"/>
      <c r="O49" s="145"/>
      <c r="P49" s="145"/>
      <c r="Q49" s="145"/>
      <c r="R49" s="145"/>
      <c r="S49" s="145"/>
      <c r="T49" s="145"/>
      <c r="U49" s="145"/>
      <c r="V49" s="72"/>
    </row>
    <row r="50" ht="15.75" customHeight="1">
      <c r="A50" s="145"/>
      <c r="B50" s="145"/>
      <c r="C50" s="145"/>
      <c r="D50" s="145"/>
      <c r="E50" s="145"/>
      <c r="F50" s="145"/>
      <c r="G50" s="145"/>
      <c r="H50" s="145"/>
      <c r="I50" s="145"/>
      <c r="J50" s="145"/>
      <c r="K50" s="145"/>
      <c r="L50" s="145"/>
      <c r="M50" s="145"/>
      <c r="N50" s="145"/>
      <c r="O50" s="145"/>
      <c r="P50" s="145"/>
      <c r="Q50" s="145"/>
      <c r="R50" s="145"/>
      <c r="S50" s="145"/>
      <c r="T50" s="145"/>
      <c r="U50" s="145"/>
      <c r="V50" s="72"/>
    </row>
    <row r="51" ht="15.75" customHeight="1">
      <c r="A51" s="145"/>
      <c r="B51" s="145"/>
      <c r="C51" s="145"/>
      <c r="D51" s="145"/>
      <c r="E51" s="145"/>
      <c r="F51" s="145"/>
      <c r="G51" s="145"/>
      <c r="H51" s="145"/>
      <c r="I51" s="145"/>
      <c r="J51" s="145"/>
      <c r="K51" s="145"/>
      <c r="L51" s="145"/>
      <c r="M51" s="145"/>
      <c r="N51" s="145"/>
      <c r="O51" s="145"/>
      <c r="P51" s="145"/>
      <c r="Q51" s="145"/>
      <c r="R51" s="145"/>
      <c r="S51" s="145"/>
      <c r="T51" s="145"/>
      <c r="U51" s="145"/>
      <c r="V51" s="72"/>
    </row>
    <row r="52" ht="15.75" customHeight="1">
      <c r="A52" s="145"/>
      <c r="B52" s="145"/>
      <c r="C52" s="145"/>
      <c r="D52" s="145"/>
      <c r="E52" s="145"/>
      <c r="F52" s="145"/>
      <c r="G52" s="145"/>
      <c r="H52" s="145"/>
      <c r="I52" s="145"/>
      <c r="J52" s="145"/>
      <c r="K52" s="145"/>
      <c r="L52" s="145"/>
      <c r="M52" s="145"/>
      <c r="N52" s="145"/>
      <c r="O52" s="145"/>
      <c r="P52" s="145"/>
      <c r="Q52" s="145"/>
      <c r="R52" s="145"/>
      <c r="S52" s="145"/>
      <c r="T52" s="145"/>
      <c r="U52" s="145"/>
      <c r="V52" s="72"/>
    </row>
    <row r="53" ht="15.75" customHeight="1">
      <c r="A53" s="145"/>
      <c r="B53" s="145"/>
      <c r="C53" s="145"/>
      <c r="D53" s="145"/>
      <c r="E53" s="145"/>
      <c r="F53" s="145"/>
      <c r="G53" s="145"/>
      <c r="H53" s="145"/>
      <c r="I53" s="145"/>
      <c r="J53" s="145"/>
      <c r="K53" s="145"/>
      <c r="L53" s="145"/>
      <c r="M53" s="145"/>
      <c r="N53" s="145"/>
      <c r="O53" s="145"/>
      <c r="P53" s="145"/>
      <c r="Q53" s="145"/>
      <c r="R53" s="145"/>
      <c r="S53" s="145"/>
      <c r="T53" s="145"/>
      <c r="U53" s="145"/>
      <c r="V53" s="72"/>
    </row>
    <row r="54" ht="15.75" customHeight="1">
      <c r="A54" s="145"/>
      <c r="B54" s="145"/>
      <c r="C54" s="145"/>
      <c r="D54" s="145"/>
      <c r="E54" s="145"/>
      <c r="F54" s="145"/>
      <c r="G54" s="145"/>
      <c r="H54" s="145"/>
      <c r="I54" s="145"/>
      <c r="J54" s="145"/>
      <c r="K54" s="145"/>
      <c r="L54" s="145"/>
      <c r="M54" s="145"/>
      <c r="N54" s="145"/>
      <c r="O54" s="145"/>
      <c r="P54" s="145"/>
      <c r="Q54" s="145"/>
      <c r="R54" s="145"/>
      <c r="S54" s="145"/>
      <c r="T54" s="145"/>
      <c r="U54" s="145"/>
      <c r="V54" s="72"/>
    </row>
    <row r="55" ht="15.75" customHeight="1">
      <c r="A55" s="145"/>
      <c r="B55" s="145"/>
      <c r="C55" s="145"/>
      <c r="D55" s="145"/>
      <c r="E55" s="145"/>
      <c r="F55" s="145"/>
      <c r="G55" s="145"/>
      <c r="H55" s="145"/>
      <c r="I55" s="145"/>
      <c r="J55" s="145"/>
      <c r="K55" s="145"/>
      <c r="L55" s="145"/>
      <c r="M55" s="145"/>
      <c r="N55" s="145"/>
      <c r="O55" s="145"/>
      <c r="P55" s="145"/>
      <c r="Q55" s="145"/>
      <c r="R55" s="145"/>
      <c r="S55" s="145"/>
      <c r="T55" s="145"/>
      <c r="U55" s="145"/>
      <c r="V55" s="72"/>
    </row>
    <row r="56" ht="15.75" customHeight="1">
      <c r="A56" s="145"/>
      <c r="B56" s="145"/>
      <c r="C56" s="145"/>
      <c r="D56" s="145"/>
      <c r="E56" s="145"/>
      <c r="F56" s="145"/>
      <c r="G56" s="145"/>
      <c r="H56" s="145"/>
      <c r="I56" s="145"/>
      <c r="J56" s="145"/>
      <c r="K56" s="145"/>
      <c r="L56" s="145"/>
      <c r="M56" s="145"/>
      <c r="N56" s="145"/>
      <c r="O56" s="145"/>
      <c r="P56" s="145"/>
      <c r="Q56" s="145"/>
      <c r="R56" s="145"/>
      <c r="S56" s="145"/>
      <c r="T56" s="145"/>
      <c r="U56" s="145"/>
      <c r="V56" s="72"/>
    </row>
    <row r="57" ht="15.75" customHeight="1">
      <c r="A57" s="145"/>
      <c r="B57" s="145"/>
      <c r="C57" s="145"/>
      <c r="D57" s="145"/>
      <c r="E57" s="145"/>
      <c r="F57" s="145"/>
      <c r="G57" s="145"/>
      <c r="H57" s="145"/>
      <c r="I57" s="145"/>
      <c r="J57" s="145"/>
      <c r="K57" s="145"/>
      <c r="L57" s="145"/>
      <c r="M57" s="145"/>
      <c r="N57" s="145"/>
      <c r="O57" s="145"/>
      <c r="P57" s="145"/>
      <c r="Q57" s="145"/>
      <c r="R57" s="145"/>
      <c r="S57" s="145"/>
      <c r="T57" s="145"/>
      <c r="U57" s="145"/>
      <c r="V57" s="72"/>
    </row>
    <row r="58" ht="15.75" customHeight="1">
      <c r="A58" s="145"/>
      <c r="B58" s="145"/>
      <c r="C58" s="145"/>
      <c r="D58" s="145"/>
      <c r="E58" s="145"/>
      <c r="F58" s="145"/>
      <c r="G58" s="145"/>
      <c r="H58" s="145"/>
      <c r="I58" s="145"/>
      <c r="J58" s="145"/>
      <c r="K58" s="145"/>
      <c r="L58" s="145"/>
      <c r="M58" s="145"/>
      <c r="N58" s="145"/>
      <c r="O58" s="145"/>
      <c r="P58" s="145"/>
      <c r="Q58" s="145"/>
      <c r="R58" s="145"/>
      <c r="S58" s="145"/>
      <c r="T58" s="145"/>
      <c r="U58" s="145"/>
      <c r="V58" s="72"/>
    </row>
    <row r="59" ht="15.75" customHeight="1">
      <c r="A59" s="145"/>
      <c r="B59" s="145"/>
      <c r="C59" s="145"/>
      <c r="D59" s="145"/>
      <c r="E59" s="145"/>
      <c r="F59" s="145"/>
      <c r="G59" s="145"/>
      <c r="H59" s="145"/>
      <c r="I59" s="145"/>
      <c r="J59" s="145"/>
      <c r="K59" s="145"/>
      <c r="L59" s="145"/>
      <c r="M59" s="145"/>
      <c r="N59" s="145"/>
      <c r="O59" s="145"/>
      <c r="P59" s="145"/>
      <c r="Q59" s="145"/>
      <c r="R59" s="145"/>
      <c r="S59" s="145"/>
      <c r="T59" s="145"/>
      <c r="U59" s="145"/>
      <c r="V59" s="72"/>
    </row>
    <row r="60" ht="15.75" customHeight="1">
      <c r="A60" s="145"/>
      <c r="B60" s="145"/>
      <c r="C60" s="145"/>
      <c r="D60" s="145"/>
      <c r="E60" s="145"/>
      <c r="F60" s="145"/>
      <c r="G60" s="145"/>
      <c r="H60" s="145"/>
      <c r="I60" s="145"/>
      <c r="J60" s="145"/>
      <c r="K60" s="145"/>
      <c r="L60" s="145"/>
      <c r="M60" s="145"/>
      <c r="N60" s="145"/>
      <c r="O60" s="145"/>
      <c r="P60" s="145"/>
      <c r="Q60" s="145"/>
      <c r="R60" s="145"/>
      <c r="S60" s="145"/>
      <c r="T60" s="145"/>
      <c r="U60" s="145"/>
      <c r="V60" s="72"/>
    </row>
    <row r="61" ht="15.75" customHeight="1">
      <c r="A61" s="145"/>
      <c r="B61" s="145"/>
      <c r="C61" s="145"/>
      <c r="D61" s="145"/>
      <c r="E61" s="145"/>
      <c r="F61" s="145"/>
      <c r="G61" s="145"/>
      <c r="H61" s="145"/>
      <c r="I61" s="145"/>
      <c r="J61" s="145"/>
      <c r="K61" s="145"/>
      <c r="L61" s="145"/>
      <c r="M61" s="145"/>
      <c r="N61" s="145"/>
      <c r="O61" s="145"/>
      <c r="P61" s="145"/>
      <c r="Q61" s="145"/>
      <c r="R61" s="145"/>
      <c r="S61" s="145"/>
      <c r="T61" s="145"/>
      <c r="U61" s="145"/>
      <c r="V61" s="72"/>
    </row>
    <row r="62" ht="15.75" customHeight="1">
      <c r="A62" s="145"/>
      <c r="B62" s="145"/>
      <c r="C62" s="145"/>
      <c r="D62" s="145"/>
      <c r="E62" s="145"/>
      <c r="F62" s="145"/>
      <c r="G62" s="145"/>
      <c r="H62" s="145"/>
      <c r="I62" s="145"/>
      <c r="J62" s="145"/>
      <c r="K62" s="145"/>
      <c r="L62" s="145"/>
      <c r="M62" s="145"/>
      <c r="N62" s="145"/>
      <c r="O62" s="145"/>
      <c r="P62" s="145"/>
      <c r="Q62" s="145"/>
      <c r="R62" s="145"/>
      <c r="S62" s="145"/>
      <c r="T62" s="145"/>
      <c r="U62" s="145"/>
      <c r="V62" s="72"/>
    </row>
    <row r="63" ht="15.75" customHeight="1">
      <c r="A63" s="145"/>
      <c r="B63" s="145"/>
      <c r="C63" s="145"/>
      <c r="D63" s="145"/>
      <c r="E63" s="145"/>
      <c r="F63" s="145"/>
      <c r="G63" s="145"/>
      <c r="H63" s="145"/>
      <c r="I63" s="145"/>
      <c r="J63" s="145"/>
      <c r="K63" s="145"/>
      <c r="L63" s="145"/>
      <c r="M63" s="145"/>
      <c r="N63" s="145"/>
      <c r="O63" s="145"/>
      <c r="P63" s="145"/>
      <c r="Q63" s="145"/>
      <c r="R63" s="145"/>
      <c r="S63" s="145"/>
      <c r="T63" s="145"/>
      <c r="U63" s="145"/>
      <c r="V63" s="72"/>
    </row>
    <row r="64" ht="15.75" customHeight="1">
      <c r="A64" s="145"/>
      <c r="B64" s="145"/>
      <c r="C64" s="145"/>
      <c r="D64" s="145"/>
      <c r="E64" s="145"/>
      <c r="F64" s="145"/>
      <c r="G64" s="145"/>
      <c r="H64" s="145"/>
      <c r="I64" s="145"/>
      <c r="J64" s="145"/>
      <c r="K64" s="145"/>
      <c r="L64" s="145"/>
      <c r="M64" s="145"/>
      <c r="N64" s="145"/>
      <c r="O64" s="145"/>
      <c r="P64" s="145"/>
      <c r="Q64" s="145"/>
      <c r="R64" s="145"/>
      <c r="S64" s="145"/>
      <c r="T64" s="145"/>
      <c r="U64" s="145"/>
      <c r="V64" s="72"/>
    </row>
    <row r="65" ht="15.75" customHeight="1">
      <c r="A65" s="145"/>
      <c r="B65" s="145"/>
      <c r="C65" s="145"/>
      <c r="D65" s="145"/>
      <c r="E65" s="145"/>
      <c r="F65" s="145"/>
      <c r="G65" s="145"/>
      <c r="H65" s="145"/>
      <c r="I65" s="145"/>
      <c r="J65" s="145"/>
      <c r="K65" s="145"/>
      <c r="L65" s="145"/>
      <c r="M65" s="145"/>
      <c r="N65" s="145"/>
      <c r="O65" s="145"/>
      <c r="P65" s="145"/>
      <c r="Q65" s="145"/>
      <c r="R65" s="145"/>
      <c r="S65" s="145"/>
      <c r="T65" s="145"/>
      <c r="U65" s="145"/>
      <c r="V65" s="72"/>
    </row>
    <row r="66" ht="15.75" customHeight="1">
      <c r="A66" s="145"/>
      <c r="B66" s="145"/>
      <c r="C66" s="145"/>
      <c r="D66" s="145"/>
      <c r="E66" s="145"/>
      <c r="F66" s="145"/>
      <c r="G66" s="145"/>
      <c r="H66" s="145"/>
      <c r="I66" s="145"/>
      <c r="J66" s="145"/>
      <c r="K66" s="145"/>
      <c r="L66" s="145"/>
      <c r="M66" s="145"/>
      <c r="N66" s="145"/>
      <c r="O66" s="145"/>
      <c r="P66" s="145"/>
      <c r="Q66" s="145"/>
      <c r="R66" s="145"/>
      <c r="S66" s="145"/>
      <c r="T66" s="145"/>
      <c r="U66" s="145"/>
      <c r="V66" s="72"/>
    </row>
    <row r="67" ht="15.75" customHeight="1">
      <c r="A67" s="145"/>
      <c r="B67" s="145"/>
      <c r="C67" s="145"/>
      <c r="D67" s="145"/>
      <c r="E67" s="145"/>
      <c r="F67" s="145"/>
      <c r="G67" s="145"/>
      <c r="H67" s="145"/>
      <c r="I67" s="145"/>
      <c r="J67" s="145"/>
      <c r="K67" s="145"/>
      <c r="L67" s="145"/>
      <c r="M67" s="145"/>
      <c r="N67" s="145"/>
      <c r="O67" s="145"/>
      <c r="P67" s="145"/>
      <c r="Q67" s="145"/>
      <c r="R67" s="145"/>
      <c r="S67" s="145"/>
      <c r="T67" s="145"/>
      <c r="U67" s="145"/>
      <c r="V67" s="72"/>
    </row>
    <row r="68" ht="15.75" customHeight="1">
      <c r="A68" s="145"/>
      <c r="B68" s="145"/>
      <c r="C68" s="145"/>
      <c r="D68" s="145"/>
      <c r="E68" s="145"/>
      <c r="F68" s="145"/>
      <c r="G68" s="145"/>
      <c r="H68" s="145"/>
      <c r="I68" s="145"/>
      <c r="J68" s="145"/>
      <c r="K68" s="145"/>
      <c r="L68" s="145"/>
      <c r="M68" s="145"/>
      <c r="N68" s="145"/>
      <c r="O68" s="145"/>
      <c r="P68" s="145"/>
      <c r="Q68" s="145"/>
      <c r="R68" s="145"/>
      <c r="S68" s="145"/>
      <c r="T68" s="145"/>
      <c r="U68" s="145"/>
      <c r="V68" s="72"/>
    </row>
    <row r="69" ht="15.75" customHeight="1">
      <c r="A69" s="145"/>
      <c r="B69" s="145"/>
      <c r="C69" s="145"/>
      <c r="D69" s="145"/>
      <c r="E69" s="145"/>
      <c r="F69" s="145"/>
      <c r="G69" s="145"/>
      <c r="H69" s="145"/>
      <c r="I69" s="145"/>
      <c r="J69" s="145"/>
      <c r="K69" s="145"/>
      <c r="L69" s="145"/>
      <c r="M69" s="145"/>
      <c r="N69" s="145"/>
      <c r="O69" s="145"/>
      <c r="P69" s="145"/>
      <c r="Q69" s="145"/>
      <c r="R69" s="145"/>
      <c r="S69" s="145"/>
      <c r="T69" s="145"/>
      <c r="U69" s="145"/>
      <c r="V69" s="72"/>
    </row>
    <row r="70" ht="15.75" customHeight="1">
      <c r="A70" s="145"/>
      <c r="B70" s="145"/>
      <c r="C70" s="145"/>
      <c r="D70" s="145"/>
      <c r="E70" s="145"/>
      <c r="F70" s="145"/>
      <c r="G70" s="145"/>
      <c r="H70" s="145"/>
      <c r="I70" s="145"/>
      <c r="J70" s="145"/>
      <c r="K70" s="145"/>
      <c r="L70" s="145"/>
      <c r="M70" s="145"/>
      <c r="N70" s="145"/>
      <c r="O70" s="145"/>
      <c r="P70" s="145"/>
      <c r="Q70" s="145"/>
      <c r="R70" s="145"/>
      <c r="S70" s="145"/>
      <c r="T70" s="145"/>
      <c r="U70" s="145"/>
      <c r="V70" s="72"/>
    </row>
    <row r="71" ht="15.75" customHeight="1">
      <c r="A71" s="145"/>
      <c r="B71" s="145"/>
      <c r="C71" s="145"/>
      <c r="D71" s="145"/>
      <c r="E71" s="145"/>
      <c r="F71" s="145"/>
      <c r="G71" s="145"/>
      <c r="H71" s="145"/>
      <c r="I71" s="145"/>
      <c r="J71" s="145"/>
      <c r="K71" s="145"/>
      <c r="L71" s="145"/>
      <c r="M71" s="145"/>
      <c r="N71" s="145"/>
      <c r="O71" s="145"/>
      <c r="P71" s="145"/>
      <c r="Q71" s="145"/>
      <c r="R71" s="145"/>
      <c r="S71" s="145"/>
      <c r="T71" s="145"/>
      <c r="U71" s="145"/>
      <c r="V71" s="72"/>
    </row>
    <row r="72" ht="15.75" customHeight="1">
      <c r="A72" s="145"/>
      <c r="B72" s="145"/>
      <c r="C72" s="145"/>
      <c r="D72" s="145"/>
      <c r="E72" s="145"/>
      <c r="F72" s="145"/>
      <c r="G72" s="145"/>
      <c r="H72" s="145"/>
      <c r="I72" s="145"/>
      <c r="J72" s="145"/>
      <c r="K72" s="145"/>
      <c r="L72" s="145"/>
      <c r="M72" s="145"/>
      <c r="N72" s="145"/>
      <c r="O72" s="145"/>
      <c r="P72" s="145"/>
      <c r="Q72" s="145"/>
      <c r="R72" s="145"/>
      <c r="S72" s="145"/>
      <c r="T72" s="145"/>
      <c r="U72" s="145"/>
      <c r="V72" s="72"/>
    </row>
    <row r="73" ht="15.75" customHeight="1">
      <c r="A73" s="145"/>
      <c r="B73" s="145"/>
      <c r="C73" s="145"/>
      <c r="D73" s="145"/>
      <c r="E73" s="145"/>
      <c r="F73" s="145"/>
      <c r="G73" s="145"/>
      <c r="H73" s="145"/>
      <c r="I73" s="145"/>
      <c r="J73" s="145"/>
      <c r="K73" s="145"/>
      <c r="L73" s="145"/>
      <c r="M73" s="145"/>
      <c r="N73" s="145"/>
      <c r="O73" s="145"/>
      <c r="P73" s="145"/>
      <c r="Q73" s="145"/>
      <c r="R73" s="145"/>
      <c r="S73" s="145"/>
      <c r="T73" s="145"/>
      <c r="U73" s="145"/>
      <c r="V73" s="72"/>
    </row>
    <row r="74" ht="15.75" customHeight="1">
      <c r="A74" s="145"/>
      <c r="B74" s="145"/>
      <c r="C74" s="145"/>
      <c r="D74" s="145"/>
      <c r="E74" s="145"/>
      <c r="F74" s="145"/>
      <c r="G74" s="145"/>
      <c r="H74" s="145"/>
      <c r="I74" s="145"/>
      <c r="J74" s="145"/>
      <c r="K74" s="145"/>
      <c r="L74" s="145"/>
      <c r="M74" s="145"/>
      <c r="N74" s="145"/>
      <c r="O74" s="145"/>
      <c r="P74" s="145"/>
      <c r="Q74" s="145"/>
      <c r="R74" s="145"/>
      <c r="S74" s="145"/>
      <c r="T74" s="145"/>
      <c r="U74" s="145"/>
      <c r="V74" s="72"/>
    </row>
    <row r="75" ht="15.75" customHeight="1">
      <c r="A75" s="145"/>
      <c r="B75" s="145"/>
      <c r="C75" s="145"/>
      <c r="D75" s="145"/>
      <c r="E75" s="145"/>
      <c r="F75" s="145"/>
      <c r="G75" s="145"/>
      <c r="H75" s="145"/>
      <c r="I75" s="145"/>
      <c r="J75" s="145"/>
      <c r="K75" s="145"/>
      <c r="L75" s="145"/>
      <c r="M75" s="145"/>
      <c r="N75" s="145"/>
      <c r="O75" s="145"/>
      <c r="P75" s="145"/>
      <c r="Q75" s="145"/>
      <c r="R75" s="145"/>
      <c r="S75" s="145"/>
      <c r="T75" s="145"/>
      <c r="U75" s="145"/>
      <c r="V75" s="72"/>
    </row>
    <row r="76" ht="15.75" customHeight="1">
      <c r="A76" s="145"/>
      <c r="B76" s="145"/>
      <c r="C76" s="145"/>
      <c r="D76" s="145"/>
      <c r="E76" s="145"/>
      <c r="F76" s="145"/>
      <c r="G76" s="145"/>
      <c r="H76" s="145"/>
      <c r="I76" s="145"/>
      <c r="J76" s="145"/>
      <c r="K76" s="145"/>
      <c r="L76" s="145"/>
      <c r="M76" s="145"/>
      <c r="N76" s="145"/>
      <c r="O76" s="145"/>
      <c r="P76" s="145"/>
      <c r="Q76" s="145"/>
      <c r="R76" s="145"/>
      <c r="S76" s="145"/>
      <c r="T76" s="145"/>
      <c r="U76" s="145"/>
      <c r="V76" s="72"/>
    </row>
    <row r="77" ht="15.75" customHeight="1">
      <c r="A77" s="145"/>
      <c r="B77" s="145"/>
      <c r="C77" s="145"/>
      <c r="D77" s="145"/>
      <c r="E77" s="145"/>
      <c r="F77" s="145"/>
      <c r="G77" s="145"/>
      <c r="H77" s="145"/>
      <c r="I77" s="145"/>
      <c r="J77" s="145"/>
      <c r="K77" s="145"/>
      <c r="L77" s="145"/>
      <c r="M77" s="145"/>
      <c r="N77" s="145"/>
      <c r="O77" s="145"/>
      <c r="P77" s="145"/>
      <c r="Q77" s="145"/>
      <c r="R77" s="145"/>
      <c r="S77" s="145"/>
      <c r="T77" s="145"/>
      <c r="U77" s="145"/>
      <c r="V77" s="72"/>
    </row>
    <row r="78" ht="15.75" customHeight="1">
      <c r="A78" s="145"/>
      <c r="B78" s="145"/>
      <c r="C78" s="145"/>
      <c r="D78" s="145"/>
      <c r="E78" s="145"/>
      <c r="F78" s="145"/>
      <c r="G78" s="145"/>
      <c r="H78" s="145"/>
      <c r="I78" s="145"/>
      <c r="J78" s="145"/>
      <c r="K78" s="145"/>
      <c r="L78" s="145"/>
      <c r="M78" s="145"/>
      <c r="N78" s="145"/>
      <c r="O78" s="145"/>
      <c r="P78" s="145"/>
      <c r="Q78" s="145"/>
      <c r="R78" s="145"/>
      <c r="S78" s="145"/>
      <c r="T78" s="145"/>
      <c r="U78" s="145"/>
      <c r="V78" s="72"/>
    </row>
    <row r="79" ht="15.75" customHeight="1">
      <c r="A79" s="145"/>
      <c r="B79" s="145"/>
      <c r="C79" s="145"/>
      <c r="D79" s="145"/>
      <c r="E79" s="145"/>
      <c r="F79" s="145"/>
      <c r="G79" s="145"/>
      <c r="H79" s="145"/>
      <c r="I79" s="145"/>
      <c r="J79" s="145"/>
      <c r="K79" s="145"/>
      <c r="L79" s="145"/>
      <c r="M79" s="145"/>
      <c r="N79" s="145"/>
      <c r="O79" s="145"/>
      <c r="P79" s="145"/>
      <c r="Q79" s="145"/>
      <c r="R79" s="145"/>
      <c r="S79" s="145"/>
      <c r="T79" s="145"/>
      <c r="U79" s="145"/>
      <c r="V79" s="72"/>
    </row>
    <row r="80" ht="15.75" customHeight="1">
      <c r="A80" s="145"/>
      <c r="B80" s="145"/>
      <c r="C80" s="145"/>
      <c r="D80" s="145"/>
      <c r="E80" s="145"/>
      <c r="F80" s="145"/>
      <c r="G80" s="145"/>
      <c r="H80" s="145"/>
      <c r="I80" s="145"/>
      <c r="J80" s="145"/>
      <c r="K80" s="145"/>
      <c r="L80" s="145"/>
      <c r="M80" s="145"/>
      <c r="N80" s="145"/>
      <c r="O80" s="145"/>
      <c r="P80" s="145"/>
      <c r="Q80" s="145"/>
      <c r="R80" s="145"/>
      <c r="S80" s="145"/>
      <c r="T80" s="145"/>
      <c r="U80" s="145"/>
      <c r="V80" s="72"/>
    </row>
    <row r="81" ht="15.75" customHeight="1">
      <c r="A81" s="145"/>
      <c r="B81" s="145"/>
      <c r="C81" s="145"/>
      <c r="D81" s="145"/>
      <c r="E81" s="145"/>
      <c r="F81" s="145"/>
      <c r="G81" s="145"/>
      <c r="H81" s="145"/>
      <c r="I81" s="145"/>
      <c r="J81" s="145"/>
      <c r="K81" s="145"/>
      <c r="L81" s="145"/>
      <c r="M81" s="145"/>
      <c r="N81" s="145"/>
      <c r="O81" s="145"/>
      <c r="P81" s="145"/>
      <c r="Q81" s="145"/>
      <c r="R81" s="145"/>
      <c r="S81" s="145"/>
      <c r="T81" s="145"/>
      <c r="U81" s="145"/>
      <c r="V81" s="72"/>
    </row>
    <row r="82" ht="15.75" customHeight="1">
      <c r="A82" s="145"/>
      <c r="B82" s="145"/>
      <c r="C82" s="145"/>
      <c r="D82" s="145"/>
      <c r="E82" s="145"/>
      <c r="F82" s="145"/>
      <c r="G82" s="145"/>
      <c r="H82" s="145"/>
      <c r="I82" s="145"/>
      <c r="J82" s="145"/>
      <c r="K82" s="145"/>
      <c r="L82" s="145"/>
      <c r="M82" s="145"/>
      <c r="N82" s="145"/>
      <c r="O82" s="145"/>
      <c r="P82" s="145"/>
      <c r="Q82" s="145"/>
      <c r="R82" s="145"/>
      <c r="S82" s="145"/>
      <c r="T82" s="145"/>
      <c r="U82" s="145"/>
      <c r="V82" s="72"/>
    </row>
    <row r="83" ht="15.75" customHeight="1">
      <c r="A83" s="145"/>
      <c r="B83" s="145"/>
      <c r="C83" s="145"/>
      <c r="D83" s="145"/>
      <c r="E83" s="145"/>
      <c r="F83" s="145"/>
      <c r="G83" s="145"/>
      <c r="H83" s="145"/>
      <c r="I83" s="145"/>
      <c r="J83" s="145"/>
      <c r="K83" s="145"/>
      <c r="L83" s="145"/>
      <c r="M83" s="145"/>
      <c r="N83" s="145"/>
      <c r="O83" s="145"/>
      <c r="P83" s="145"/>
      <c r="Q83" s="145"/>
      <c r="R83" s="145"/>
      <c r="S83" s="145"/>
      <c r="T83" s="145"/>
      <c r="U83" s="145"/>
      <c r="V83" s="72"/>
    </row>
    <row r="84" ht="15.75" customHeight="1">
      <c r="A84" s="145"/>
      <c r="B84" s="145"/>
      <c r="C84" s="145"/>
      <c r="D84" s="145"/>
      <c r="E84" s="145"/>
      <c r="F84" s="145"/>
      <c r="G84" s="145"/>
      <c r="H84" s="145"/>
      <c r="I84" s="145"/>
      <c r="J84" s="145"/>
      <c r="K84" s="145"/>
      <c r="L84" s="145"/>
      <c r="M84" s="145"/>
      <c r="N84" s="145"/>
      <c r="O84" s="145"/>
      <c r="P84" s="145"/>
      <c r="Q84" s="145"/>
      <c r="R84" s="145"/>
      <c r="S84" s="145"/>
      <c r="T84" s="145"/>
      <c r="U84" s="145"/>
      <c r="V84" s="72"/>
    </row>
    <row r="85" ht="15.75" customHeight="1">
      <c r="A85" s="145"/>
      <c r="B85" s="145"/>
      <c r="C85" s="145"/>
      <c r="D85" s="145"/>
      <c r="E85" s="145"/>
      <c r="F85" s="145"/>
      <c r="G85" s="145"/>
      <c r="H85" s="145"/>
      <c r="I85" s="145"/>
      <c r="J85" s="145"/>
      <c r="K85" s="145"/>
      <c r="L85" s="145"/>
      <c r="M85" s="145"/>
      <c r="N85" s="145"/>
      <c r="O85" s="145"/>
      <c r="P85" s="145"/>
      <c r="Q85" s="145"/>
      <c r="R85" s="145"/>
      <c r="S85" s="145"/>
      <c r="T85" s="145"/>
      <c r="U85" s="145"/>
      <c r="V85" s="72"/>
    </row>
    <row r="86" ht="15.75" customHeight="1">
      <c r="A86" s="145"/>
      <c r="B86" s="145"/>
      <c r="C86" s="145"/>
      <c r="D86" s="145"/>
      <c r="E86" s="145"/>
      <c r="F86" s="145"/>
      <c r="G86" s="145"/>
      <c r="H86" s="145"/>
      <c r="I86" s="145"/>
      <c r="J86" s="145"/>
      <c r="K86" s="145"/>
      <c r="L86" s="145"/>
      <c r="M86" s="145"/>
      <c r="N86" s="145"/>
      <c r="O86" s="145"/>
      <c r="P86" s="145"/>
      <c r="Q86" s="145"/>
      <c r="R86" s="145"/>
      <c r="S86" s="145"/>
      <c r="T86" s="145"/>
      <c r="U86" s="145"/>
      <c r="V86" s="72"/>
    </row>
    <row r="87" ht="15.75" customHeight="1">
      <c r="A87" s="145"/>
      <c r="B87" s="145"/>
      <c r="C87" s="145"/>
      <c r="D87" s="145"/>
      <c r="E87" s="145"/>
      <c r="F87" s="145"/>
      <c r="G87" s="145"/>
      <c r="H87" s="145"/>
      <c r="I87" s="145"/>
      <c r="J87" s="145"/>
      <c r="K87" s="145"/>
      <c r="L87" s="145"/>
      <c r="M87" s="145"/>
      <c r="N87" s="145"/>
      <c r="O87" s="145"/>
      <c r="P87" s="145"/>
      <c r="Q87" s="145"/>
      <c r="R87" s="145"/>
      <c r="S87" s="145"/>
      <c r="T87" s="145"/>
      <c r="U87" s="145"/>
      <c r="V87" s="72"/>
    </row>
    <row r="88" ht="15.75" customHeight="1">
      <c r="A88" s="145"/>
      <c r="B88" s="145"/>
      <c r="C88" s="145"/>
      <c r="D88" s="145"/>
      <c r="E88" s="145"/>
      <c r="F88" s="145"/>
      <c r="G88" s="145"/>
      <c r="H88" s="145"/>
      <c r="I88" s="145"/>
      <c r="J88" s="145"/>
      <c r="K88" s="145"/>
      <c r="L88" s="145"/>
      <c r="M88" s="145"/>
      <c r="N88" s="145"/>
      <c r="O88" s="145"/>
      <c r="P88" s="145"/>
      <c r="Q88" s="145"/>
      <c r="R88" s="145"/>
      <c r="S88" s="145"/>
      <c r="T88" s="145"/>
      <c r="U88" s="145"/>
      <c r="V88" s="72"/>
    </row>
    <row r="89" ht="15.75" customHeight="1">
      <c r="A89" s="145"/>
      <c r="B89" s="145"/>
      <c r="C89" s="145"/>
      <c r="D89" s="145"/>
      <c r="E89" s="145"/>
      <c r="F89" s="145"/>
      <c r="G89" s="145"/>
      <c r="H89" s="145"/>
      <c r="I89" s="145"/>
      <c r="J89" s="145"/>
      <c r="K89" s="145"/>
      <c r="L89" s="145"/>
      <c r="M89" s="145"/>
      <c r="N89" s="145"/>
      <c r="O89" s="145"/>
      <c r="P89" s="145"/>
      <c r="Q89" s="145"/>
      <c r="R89" s="145"/>
      <c r="S89" s="145"/>
      <c r="T89" s="145"/>
      <c r="U89" s="145"/>
      <c r="V89" s="72"/>
    </row>
    <row r="90" ht="15.75" customHeight="1">
      <c r="A90" s="145"/>
      <c r="B90" s="145"/>
      <c r="C90" s="145"/>
      <c r="D90" s="145"/>
      <c r="E90" s="145"/>
      <c r="F90" s="145"/>
      <c r="G90" s="145"/>
      <c r="H90" s="145"/>
      <c r="I90" s="145"/>
      <c r="J90" s="145"/>
      <c r="K90" s="145"/>
      <c r="L90" s="145"/>
      <c r="M90" s="145"/>
      <c r="N90" s="145"/>
      <c r="O90" s="145"/>
      <c r="P90" s="145"/>
      <c r="Q90" s="145"/>
      <c r="R90" s="145"/>
      <c r="S90" s="145"/>
      <c r="T90" s="145"/>
      <c r="U90" s="145"/>
      <c r="V90" s="72"/>
    </row>
    <row r="91" ht="15.75" customHeight="1">
      <c r="A91" s="145"/>
      <c r="B91" s="145"/>
      <c r="C91" s="145"/>
      <c r="D91" s="145"/>
      <c r="E91" s="145"/>
      <c r="F91" s="145"/>
      <c r="G91" s="145"/>
      <c r="H91" s="145"/>
      <c r="I91" s="145"/>
      <c r="J91" s="145"/>
      <c r="K91" s="145"/>
      <c r="L91" s="145"/>
      <c r="M91" s="145"/>
      <c r="N91" s="145"/>
      <c r="O91" s="145"/>
      <c r="P91" s="145"/>
      <c r="Q91" s="145"/>
      <c r="R91" s="145"/>
      <c r="S91" s="145"/>
      <c r="T91" s="145"/>
      <c r="U91" s="145"/>
      <c r="V91" s="72"/>
    </row>
    <row r="92" ht="15.75" customHeight="1">
      <c r="A92" s="145"/>
      <c r="B92" s="145"/>
      <c r="C92" s="145"/>
      <c r="D92" s="145"/>
      <c r="E92" s="145"/>
      <c r="F92" s="145"/>
      <c r="G92" s="145"/>
      <c r="H92" s="145"/>
      <c r="I92" s="145"/>
      <c r="J92" s="145"/>
      <c r="K92" s="145"/>
      <c r="L92" s="145"/>
      <c r="M92" s="145"/>
      <c r="N92" s="145"/>
      <c r="O92" s="145"/>
      <c r="P92" s="145"/>
      <c r="Q92" s="145"/>
      <c r="R92" s="145"/>
      <c r="S92" s="145"/>
      <c r="T92" s="145"/>
      <c r="U92" s="145"/>
      <c r="V92" s="72"/>
    </row>
    <row r="93" ht="15.75" customHeight="1">
      <c r="A93" s="145"/>
      <c r="B93" s="145"/>
      <c r="C93" s="145"/>
      <c r="D93" s="145"/>
      <c r="E93" s="145"/>
      <c r="F93" s="145"/>
      <c r="G93" s="145"/>
      <c r="H93" s="145"/>
      <c r="I93" s="145"/>
      <c r="J93" s="145"/>
      <c r="K93" s="145"/>
      <c r="L93" s="145"/>
      <c r="M93" s="145"/>
      <c r="N93" s="145"/>
      <c r="O93" s="145"/>
      <c r="P93" s="145"/>
      <c r="Q93" s="145"/>
      <c r="R93" s="145"/>
      <c r="S93" s="145"/>
      <c r="T93" s="145"/>
      <c r="U93" s="145"/>
      <c r="V93" s="72"/>
    </row>
    <row r="94" ht="15.75" customHeight="1">
      <c r="A94" s="145"/>
      <c r="B94" s="145"/>
      <c r="C94" s="145"/>
      <c r="D94" s="145"/>
      <c r="E94" s="145"/>
      <c r="F94" s="145"/>
      <c r="G94" s="145"/>
      <c r="H94" s="145"/>
      <c r="I94" s="145"/>
      <c r="J94" s="145"/>
      <c r="K94" s="145"/>
      <c r="L94" s="145"/>
      <c r="M94" s="145"/>
      <c r="N94" s="145"/>
      <c r="O94" s="145"/>
      <c r="P94" s="145"/>
      <c r="Q94" s="145"/>
      <c r="R94" s="145"/>
      <c r="S94" s="145"/>
      <c r="T94" s="145"/>
      <c r="U94" s="145"/>
      <c r="V94" s="72"/>
    </row>
    <row r="95" ht="15.75" customHeight="1">
      <c r="A95" s="145"/>
      <c r="B95" s="145"/>
      <c r="C95" s="145"/>
      <c r="D95" s="145"/>
      <c r="E95" s="145"/>
      <c r="F95" s="145"/>
      <c r="G95" s="145"/>
      <c r="H95" s="145"/>
      <c r="I95" s="145"/>
      <c r="J95" s="145"/>
      <c r="K95" s="145"/>
      <c r="L95" s="145"/>
      <c r="M95" s="145"/>
      <c r="N95" s="145"/>
      <c r="O95" s="145"/>
      <c r="P95" s="145"/>
      <c r="Q95" s="145"/>
      <c r="R95" s="145"/>
      <c r="S95" s="145"/>
      <c r="T95" s="145"/>
      <c r="U95" s="145"/>
      <c r="V95" s="72"/>
    </row>
    <row r="96" ht="15.75" customHeight="1">
      <c r="A96" s="145"/>
      <c r="B96" s="145"/>
      <c r="C96" s="145"/>
      <c r="D96" s="145"/>
      <c r="E96" s="145"/>
      <c r="F96" s="145"/>
      <c r="G96" s="145"/>
      <c r="H96" s="145"/>
      <c r="I96" s="145"/>
      <c r="J96" s="145"/>
      <c r="K96" s="145"/>
      <c r="L96" s="145"/>
      <c r="M96" s="145"/>
      <c r="N96" s="145"/>
      <c r="O96" s="145"/>
      <c r="P96" s="145"/>
      <c r="Q96" s="145"/>
      <c r="R96" s="145"/>
      <c r="S96" s="145"/>
      <c r="T96" s="145"/>
      <c r="U96" s="145"/>
      <c r="V96" s="72"/>
    </row>
    <row r="97" ht="15.75" customHeight="1">
      <c r="A97" s="145"/>
      <c r="B97" s="145"/>
      <c r="C97" s="145"/>
      <c r="D97" s="145"/>
      <c r="E97" s="145"/>
      <c r="F97" s="145"/>
      <c r="G97" s="145"/>
      <c r="H97" s="145"/>
      <c r="I97" s="145"/>
      <c r="J97" s="145"/>
      <c r="K97" s="145"/>
      <c r="L97" s="145"/>
      <c r="M97" s="145"/>
      <c r="N97" s="145"/>
      <c r="O97" s="145"/>
      <c r="P97" s="145"/>
      <c r="Q97" s="145"/>
      <c r="R97" s="145"/>
      <c r="S97" s="145"/>
      <c r="T97" s="145"/>
      <c r="U97" s="145"/>
      <c r="V97" s="72"/>
    </row>
    <row r="98" ht="15.75" customHeight="1">
      <c r="A98" s="145"/>
      <c r="B98" s="145"/>
      <c r="C98" s="145"/>
      <c r="D98" s="145"/>
      <c r="E98" s="145"/>
      <c r="F98" s="145"/>
      <c r="G98" s="145"/>
      <c r="H98" s="145"/>
      <c r="I98" s="145"/>
      <c r="J98" s="145"/>
      <c r="K98" s="145"/>
      <c r="L98" s="145"/>
      <c r="M98" s="145"/>
      <c r="N98" s="145"/>
      <c r="O98" s="145"/>
      <c r="P98" s="145"/>
      <c r="Q98" s="145"/>
      <c r="R98" s="145"/>
      <c r="S98" s="145"/>
      <c r="T98" s="145"/>
      <c r="U98" s="145"/>
      <c r="V98" s="72"/>
    </row>
    <row r="99" ht="15.75" customHeight="1">
      <c r="A99" s="145"/>
      <c r="B99" s="145"/>
      <c r="C99" s="145"/>
      <c r="D99" s="145"/>
      <c r="E99" s="145"/>
      <c r="F99" s="145"/>
      <c r="G99" s="145"/>
      <c r="H99" s="145"/>
      <c r="I99" s="145"/>
      <c r="J99" s="145"/>
      <c r="K99" s="145"/>
      <c r="L99" s="145"/>
      <c r="M99" s="145"/>
      <c r="N99" s="145"/>
      <c r="O99" s="145"/>
      <c r="P99" s="145"/>
      <c r="Q99" s="145"/>
      <c r="R99" s="145"/>
      <c r="S99" s="145"/>
      <c r="T99" s="145"/>
      <c r="U99" s="145"/>
      <c r="V99" s="72"/>
    </row>
    <row r="100" ht="15.7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72"/>
    </row>
    <row r="101" ht="15.7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72"/>
    </row>
    <row r="102" ht="15.7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72"/>
    </row>
    <row r="103" ht="15.7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72"/>
    </row>
    <row r="104" ht="15.7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72"/>
    </row>
    <row r="105" ht="15.7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72"/>
    </row>
    <row r="106" ht="15.7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72"/>
    </row>
    <row r="107" ht="15.7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72"/>
    </row>
    <row r="108" ht="15.7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72"/>
    </row>
    <row r="109" ht="15.7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72"/>
    </row>
    <row r="110" ht="15.7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72"/>
    </row>
    <row r="111" ht="15.7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72"/>
    </row>
    <row r="112" ht="15.7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72"/>
    </row>
    <row r="113" ht="15.7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72"/>
    </row>
    <row r="114" ht="15.7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72"/>
    </row>
    <row r="115" ht="15.7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72"/>
    </row>
    <row r="116" ht="15.7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72"/>
    </row>
    <row r="117" ht="15.7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72"/>
    </row>
    <row r="118" ht="15.7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72"/>
    </row>
    <row r="119" ht="15.7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72"/>
    </row>
    <row r="120" ht="15.7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72"/>
    </row>
    <row r="121" ht="15.7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72"/>
    </row>
    <row r="122" ht="15.7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72"/>
    </row>
    <row r="123" ht="15.7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72"/>
    </row>
    <row r="124" ht="15.7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72"/>
    </row>
    <row r="125" ht="15.7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72"/>
    </row>
    <row r="126" ht="15.7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72"/>
    </row>
    <row r="127" ht="15.7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72"/>
    </row>
    <row r="128" ht="15.7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72"/>
    </row>
    <row r="129" ht="15.7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72"/>
    </row>
    <row r="130" ht="15.7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72"/>
    </row>
    <row r="131" ht="15.7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72"/>
    </row>
    <row r="132" ht="15.7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72"/>
    </row>
    <row r="133" ht="15.7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72"/>
    </row>
    <row r="134" ht="15.7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72"/>
    </row>
    <row r="135" ht="15.7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72"/>
    </row>
    <row r="136" ht="15.7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72"/>
    </row>
    <row r="137" ht="15.7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72"/>
    </row>
    <row r="138" ht="15.7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72"/>
    </row>
    <row r="139" ht="15.7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72"/>
    </row>
    <row r="140" ht="15.7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72"/>
    </row>
    <row r="141" ht="15.7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72"/>
    </row>
    <row r="142" ht="15.7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72"/>
    </row>
    <row r="143" ht="15.7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72"/>
    </row>
    <row r="144" ht="15.7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72"/>
    </row>
    <row r="145" ht="15.7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72"/>
    </row>
    <row r="146" ht="15.7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72"/>
    </row>
    <row r="147" ht="15.7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72"/>
    </row>
    <row r="148" ht="15.7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72"/>
    </row>
    <row r="149" ht="15.7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72"/>
    </row>
    <row r="150" ht="15.7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72"/>
    </row>
    <row r="151" ht="15.7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72"/>
    </row>
    <row r="152" ht="15.7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72"/>
    </row>
    <row r="153" ht="15.7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72"/>
    </row>
    <row r="154" ht="15.7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72"/>
    </row>
    <row r="155" ht="15.7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72"/>
    </row>
    <row r="156" ht="15.7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72"/>
    </row>
    <row r="157" ht="15.7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72"/>
    </row>
    <row r="158" ht="15.7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72"/>
    </row>
    <row r="159" ht="15.7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72"/>
    </row>
    <row r="160" ht="15.7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72"/>
    </row>
    <row r="161" ht="15.7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72"/>
    </row>
    <row r="162" ht="15.7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72"/>
    </row>
    <row r="163" ht="15.7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72"/>
    </row>
    <row r="164" ht="15.7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72"/>
    </row>
    <row r="165" ht="15.7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72"/>
    </row>
    <row r="166" ht="15.7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72"/>
    </row>
    <row r="167" ht="15.7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72"/>
    </row>
    <row r="168" ht="15.7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72"/>
    </row>
    <row r="169" ht="15.7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72"/>
    </row>
    <row r="170" ht="15.7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72"/>
    </row>
    <row r="171" ht="15.7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72"/>
    </row>
    <row r="172" ht="15.7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72"/>
    </row>
    <row r="173" ht="15.7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72"/>
    </row>
    <row r="174" ht="15.7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72"/>
    </row>
    <row r="175" ht="15.7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72"/>
    </row>
    <row r="176" ht="15.7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72"/>
    </row>
    <row r="177" ht="15.7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72"/>
    </row>
    <row r="178" ht="15.7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72"/>
    </row>
    <row r="179" ht="15.7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72"/>
    </row>
    <row r="180" ht="15.7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72"/>
    </row>
    <row r="181" ht="15.7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72"/>
    </row>
    <row r="182" ht="15.7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72"/>
    </row>
    <row r="183" ht="15.7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72"/>
    </row>
    <row r="184" ht="15.7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72"/>
    </row>
    <row r="185" ht="15.7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72"/>
    </row>
    <row r="186" ht="15.7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72"/>
    </row>
    <row r="187" ht="15.7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72"/>
    </row>
    <row r="188" ht="15.7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72"/>
    </row>
    <row r="189" ht="15.7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72"/>
    </row>
    <row r="190" ht="15.7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72"/>
    </row>
    <row r="191" ht="15.7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72"/>
    </row>
    <row r="192" ht="15.7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72"/>
    </row>
    <row r="193" ht="15.7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72"/>
    </row>
    <row r="194" ht="15.7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72"/>
    </row>
    <row r="195" ht="15.7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72"/>
    </row>
    <row r="196" ht="15.7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72"/>
    </row>
    <row r="197" ht="15.7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72"/>
    </row>
    <row r="198" ht="15.7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72"/>
    </row>
    <row r="199" ht="15.7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72"/>
    </row>
    <row r="200" ht="15.7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72"/>
    </row>
    <row r="201" ht="15.7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72"/>
    </row>
    <row r="202" ht="15.7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72"/>
    </row>
    <row r="203" ht="15.7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72"/>
    </row>
    <row r="204" ht="15.7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72"/>
    </row>
    <row r="205" ht="15.7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72"/>
    </row>
    <row r="206" ht="15.7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72"/>
    </row>
    <row r="207" ht="15.7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72"/>
    </row>
    <row r="208" ht="15.7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72"/>
    </row>
    <row r="209" ht="15.7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72"/>
    </row>
    <row r="210" ht="15.7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72"/>
    </row>
    <row r="211" ht="15.7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72"/>
    </row>
    <row r="212" ht="15.7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72"/>
    </row>
    <row r="213" ht="15.7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72"/>
    </row>
    <row r="214" ht="15.7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72"/>
    </row>
    <row r="215" ht="15.7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72"/>
    </row>
    <row r="216" ht="15.7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72"/>
    </row>
    <row r="217" ht="15.7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72"/>
    </row>
    <row r="218" ht="15.7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72"/>
    </row>
    <row r="219" ht="15.7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72"/>
    </row>
    <row r="220" ht="15.7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72"/>
    </row>
    <row r="221" ht="15.7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72"/>
    </row>
    <row r="222" ht="15.75" customHeight="1">
      <c r="V222" s="144"/>
    </row>
    <row r="223" ht="15.75" customHeight="1">
      <c r="V223" s="14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25"/>
    <col customWidth="1" min="2" max="2" width="6.75"/>
    <col customWidth="1" min="3" max="3" width="11.5"/>
    <col customWidth="1" min="4" max="4" width="22.75"/>
    <col customWidth="1" min="5" max="5" width="27.38"/>
    <col customWidth="1" min="6" max="6" width="31.25"/>
    <col customWidth="1" min="20" max="33" width="4.13"/>
  </cols>
  <sheetData>
    <row r="1">
      <c r="A1" s="6" t="s">
        <v>0</v>
      </c>
      <c r="B1" s="2"/>
      <c r="C1" s="2"/>
      <c r="D1" s="2"/>
      <c r="E1" s="2"/>
      <c r="F1" s="3"/>
      <c r="G1" s="4" t="s">
        <v>1</v>
      </c>
      <c r="H1" s="5">
        <v>46023.0</v>
      </c>
      <c r="I1" s="5">
        <v>46054.0</v>
      </c>
      <c r="J1" s="5">
        <v>46082.0</v>
      </c>
      <c r="K1" s="5">
        <v>46113.0</v>
      </c>
      <c r="L1" s="5">
        <v>46143.0</v>
      </c>
      <c r="M1" s="5">
        <v>46174.0</v>
      </c>
      <c r="N1" s="5">
        <v>46204.0</v>
      </c>
      <c r="O1" s="5">
        <v>46235.0</v>
      </c>
      <c r="P1" s="5">
        <v>46266.0</v>
      </c>
      <c r="Q1" s="5">
        <v>46296.0</v>
      </c>
      <c r="R1" s="5">
        <v>46327.0</v>
      </c>
      <c r="S1" s="5">
        <v>46357.0</v>
      </c>
      <c r="T1" s="8"/>
      <c r="U1" s="8"/>
      <c r="V1" s="8"/>
      <c r="W1" s="8"/>
      <c r="X1" s="8"/>
      <c r="Y1" s="8"/>
      <c r="Z1" s="8"/>
      <c r="AA1" s="8"/>
      <c r="AB1" s="8"/>
      <c r="AC1" s="8"/>
      <c r="AD1" s="8"/>
      <c r="AE1" s="8"/>
      <c r="AF1" s="8"/>
      <c r="AG1" s="8"/>
    </row>
    <row r="2">
      <c r="A2" s="23" t="s">
        <v>9</v>
      </c>
      <c r="B2" s="25" t="s">
        <v>10</v>
      </c>
      <c r="C2" s="27" t="s">
        <v>11</v>
      </c>
      <c r="D2" s="27" t="s">
        <v>12</v>
      </c>
      <c r="E2" s="31" t="s">
        <v>3</v>
      </c>
      <c r="F2" s="33" t="s">
        <v>5</v>
      </c>
      <c r="G2" s="36"/>
      <c r="H2" s="39" t="s">
        <v>17</v>
      </c>
      <c r="I2" s="39" t="s">
        <v>17</v>
      </c>
      <c r="J2" s="39" t="s">
        <v>17</v>
      </c>
      <c r="K2" s="39" t="s">
        <v>17</v>
      </c>
      <c r="L2" s="39" t="s">
        <v>17</v>
      </c>
      <c r="M2" s="39" t="s">
        <v>17</v>
      </c>
      <c r="N2" s="39" t="s">
        <v>17</v>
      </c>
      <c r="O2" s="39" t="s">
        <v>17</v>
      </c>
      <c r="P2" s="39" t="s">
        <v>17</v>
      </c>
      <c r="Q2" s="39" t="s">
        <v>17</v>
      </c>
      <c r="R2" s="39" t="s">
        <v>17</v>
      </c>
      <c r="S2" s="53" t="s">
        <v>17</v>
      </c>
      <c r="T2" s="55"/>
      <c r="U2" s="55"/>
      <c r="V2" s="55"/>
      <c r="W2" s="55"/>
      <c r="X2" s="55"/>
      <c r="Y2" s="55"/>
      <c r="Z2" s="55"/>
      <c r="AA2" s="55"/>
      <c r="AB2" s="55"/>
      <c r="AC2" s="55"/>
      <c r="AD2" s="55"/>
      <c r="AE2" s="55"/>
      <c r="AF2" s="55"/>
      <c r="AG2" s="55"/>
    </row>
    <row r="3" ht="15.75" customHeight="1">
      <c r="A3" s="59" t="s">
        <v>23</v>
      </c>
      <c r="B3" s="52" t="s">
        <v>25</v>
      </c>
      <c r="C3" s="54" t="s">
        <v>26</v>
      </c>
      <c r="D3" s="54" t="s">
        <v>27</v>
      </c>
      <c r="E3" s="65" t="s">
        <v>29</v>
      </c>
      <c r="F3" s="67" t="s">
        <v>30</v>
      </c>
      <c r="G3" s="63">
        <f>IFERROR(__xludf.DUMMYFUNCTION("Importrange(""https://docs.google.com/spreadsheets/d/1rGqTa7RnQr9aNVIJk6V5mKnyMT4IFvehHkmZSuZRUBU/edit?gid=1038586758#"",""Personnel Cost!S17:AE17"")"),8394645.28)</f>
        <v>8394645.28</v>
      </c>
      <c r="H3" s="69">
        <f>IFERROR(__xludf.DUMMYFUNCTION("""COMPUTED_VALUE"""),1033616.2733333333)</f>
        <v>1033616.273</v>
      </c>
      <c r="I3" s="69">
        <f>IFERROR(__xludf.DUMMYFUNCTION("""COMPUTED_VALUE"""),1033616.2733333333)</f>
        <v>1033616.273</v>
      </c>
      <c r="J3" s="69">
        <f>IFERROR(__xludf.DUMMYFUNCTION("""COMPUTED_VALUE"""),1033616.2733333333)</f>
        <v>1033616.273</v>
      </c>
      <c r="K3" s="69">
        <f>IFERROR(__xludf.DUMMYFUNCTION("""COMPUTED_VALUE"""),588199.6066666667)</f>
        <v>588199.6067</v>
      </c>
      <c r="L3" s="69">
        <f>IFERROR(__xludf.DUMMYFUNCTION("""COMPUTED_VALUE"""),588199.6066666667)</f>
        <v>588199.6067</v>
      </c>
      <c r="M3" s="69">
        <f>IFERROR(__xludf.DUMMYFUNCTION("""COMPUTED_VALUE"""),588199.6066666667)</f>
        <v>588199.6067</v>
      </c>
      <c r="N3" s="69">
        <f>IFERROR(__xludf.DUMMYFUNCTION("""COMPUTED_VALUE"""),588199.6066666667)</f>
        <v>588199.6067</v>
      </c>
      <c r="O3" s="69">
        <f>IFERROR(__xludf.DUMMYFUNCTION("""COMPUTED_VALUE"""),588199.6066666667)</f>
        <v>588199.6067</v>
      </c>
      <c r="P3" s="69">
        <f>IFERROR(__xludf.DUMMYFUNCTION("""COMPUTED_VALUE"""),588199.6066666667)</f>
        <v>588199.6067</v>
      </c>
      <c r="Q3" s="69">
        <f>IFERROR(__xludf.DUMMYFUNCTION("""COMPUTED_VALUE"""),588199.6066666667)</f>
        <v>588199.6067</v>
      </c>
      <c r="R3" s="69">
        <f>IFERROR(__xludf.DUMMYFUNCTION("""COMPUTED_VALUE"""),588199.6066666667)</f>
        <v>588199.6067</v>
      </c>
      <c r="S3" s="71">
        <f>IFERROR(__xludf.DUMMYFUNCTION("""COMPUTED_VALUE"""),588199.6066666667)</f>
        <v>588199.6067</v>
      </c>
      <c r="T3" s="72"/>
      <c r="U3" s="72"/>
      <c r="V3" s="72"/>
      <c r="W3" s="72"/>
      <c r="X3" s="72"/>
      <c r="Y3" s="72"/>
      <c r="Z3" s="72"/>
      <c r="AA3" s="72"/>
      <c r="AB3" s="72"/>
      <c r="AC3" s="72"/>
      <c r="AD3" s="72"/>
      <c r="AE3" s="72"/>
      <c r="AF3" s="72"/>
      <c r="AG3" s="72"/>
    </row>
    <row r="4" ht="15.75" customHeight="1">
      <c r="A4" s="59" t="s">
        <v>23</v>
      </c>
      <c r="B4" s="52" t="s">
        <v>25</v>
      </c>
      <c r="C4" s="54" t="s">
        <v>26</v>
      </c>
      <c r="D4" s="54" t="s">
        <v>27</v>
      </c>
      <c r="E4" s="65" t="s">
        <v>29</v>
      </c>
      <c r="F4" s="77" t="s">
        <v>35</v>
      </c>
      <c r="G4" s="63">
        <f>IFERROR(__xludf.DUMMYFUNCTION("Importrange(""https://docs.google.com/spreadsheets/d/1rGqTa7RnQr9aNVIJk6V5mKnyMT4IFvehHkmZSuZRUBU/edit?gid=1038586758#"",""Personnel Cost!S34:AE34"")"),1458428.75)</f>
        <v>1458428.75</v>
      </c>
      <c r="H4" s="69">
        <f>IFERROR(__xludf.DUMMYFUNCTION("""COMPUTED_VALUE"""),0.0)</f>
        <v>0</v>
      </c>
      <c r="I4" s="69">
        <f>IFERROR(__xludf.DUMMYFUNCTION("""COMPUTED_VALUE"""),0.0)</f>
        <v>0</v>
      </c>
      <c r="J4" s="69">
        <f>IFERROR(__xludf.DUMMYFUNCTION("""COMPUTED_VALUE"""),1256915.0)</f>
        <v>1256915</v>
      </c>
      <c r="K4" s="69">
        <f>IFERROR(__xludf.DUMMYFUNCTION("""COMPUTED_VALUE"""),0.0)</f>
        <v>0</v>
      </c>
      <c r="L4" s="69">
        <f>IFERROR(__xludf.DUMMYFUNCTION("""COMPUTED_VALUE"""),0.0)</f>
        <v>0</v>
      </c>
      <c r="M4" s="69">
        <f>IFERROR(__xludf.DUMMYFUNCTION("""COMPUTED_VALUE"""),201513.75)</f>
        <v>201513.75</v>
      </c>
      <c r="N4" s="69">
        <f>IFERROR(__xludf.DUMMYFUNCTION("""COMPUTED_VALUE"""),0.0)</f>
        <v>0</v>
      </c>
      <c r="O4" s="69">
        <f>IFERROR(__xludf.DUMMYFUNCTION("""COMPUTED_VALUE"""),0.0)</f>
        <v>0</v>
      </c>
      <c r="P4" s="69">
        <f>IFERROR(__xludf.DUMMYFUNCTION("""COMPUTED_VALUE"""),0.0)</f>
        <v>0</v>
      </c>
      <c r="Q4" s="69">
        <f>IFERROR(__xludf.DUMMYFUNCTION("""COMPUTED_VALUE"""),0.0)</f>
        <v>0</v>
      </c>
      <c r="R4" s="69">
        <f>IFERROR(__xludf.DUMMYFUNCTION("""COMPUTED_VALUE"""),0.0)</f>
        <v>0</v>
      </c>
      <c r="S4" s="71">
        <f>IFERROR(__xludf.DUMMYFUNCTION("""COMPUTED_VALUE"""),0.0)</f>
        <v>0</v>
      </c>
      <c r="T4" s="72"/>
      <c r="U4" s="72"/>
      <c r="V4" s="72"/>
      <c r="W4" s="72"/>
      <c r="X4" s="72"/>
      <c r="Y4" s="72"/>
      <c r="Z4" s="72"/>
      <c r="AA4" s="72"/>
      <c r="AB4" s="72"/>
      <c r="AC4" s="72"/>
      <c r="AD4" s="72"/>
      <c r="AE4" s="72"/>
      <c r="AF4" s="72"/>
      <c r="AG4" s="72"/>
    </row>
    <row r="5" ht="15.75" customHeight="1">
      <c r="A5" s="59" t="s">
        <v>23</v>
      </c>
      <c r="B5" s="52" t="s">
        <v>25</v>
      </c>
      <c r="C5" s="54" t="s">
        <v>26</v>
      </c>
      <c r="D5" s="54" t="s">
        <v>27</v>
      </c>
      <c r="E5" s="65" t="s">
        <v>29</v>
      </c>
      <c r="F5" s="77" t="s">
        <v>38</v>
      </c>
      <c r="G5" s="63">
        <f>IFERROR(__xludf.DUMMYFUNCTION("Importrange(""https://docs.google.com/spreadsheets/d/1rGqTa7RnQr9aNVIJk6V5mKnyMT4IFvehHkmZSuZRUBU/edit?gid=1038586758#"",""Personnel Cost!S21:AE21"")"),0.0)</f>
        <v>0</v>
      </c>
      <c r="H5" s="69">
        <f>IFERROR(__xludf.DUMMYFUNCTION("""COMPUTED_VALUE"""),0.0)</f>
        <v>0</v>
      </c>
      <c r="I5" s="69">
        <f>IFERROR(__xludf.DUMMYFUNCTION("""COMPUTED_VALUE"""),0.0)</f>
        <v>0</v>
      </c>
      <c r="J5" s="69">
        <f>IFERROR(__xludf.DUMMYFUNCTION("""COMPUTED_VALUE"""),0.0)</f>
        <v>0</v>
      </c>
      <c r="K5" s="69">
        <f>IFERROR(__xludf.DUMMYFUNCTION("""COMPUTED_VALUE"""),0.0)</f>
        <v>0</v>
      </c>
      <c r="L5" s="69">
        <f>IFERROR(__xludf.DUMMYFUNCTION("""COMPUTED_VALUE"""),0.0)</f>
        <v>0</v>
      </c>
      <c r="M5" s="69">
        <f>IFERROR(__xludf.DUMMYFUNCTION("""COMPUTED_VALUE"""),0.0)</f>
        <v>0</v>
      </c>
      <c r="N5" s="69">
        <f>IFERROR(__xludf.DUMMYFUNCTION("""COMPUTED_VALUE"""),0.0)</f>
        <v>0</v>
      </c>
      <c r="O5" s="69">
        <f>IFERROR(__xludf.DUMMYFUNCTION("""COMPUTED_VALUE"""),0.0)</f>
        <v>0</v>
      </c>
      <c r="P5" s="69">
        <f>IFERROR(__xludf.DUMMYFUNCTION("""COMPUTED_VALUE"""),0.0)</f>
        <v>0</v>
      </c>
      <c r="Q5" s="69">
        <f>IFERROR(__xludf.DUMMYFUNCTION("""COMPUTED_VALUE"""),0.0)</f>
        <v>0</v>
      </c>
      <c r="R5" s="69">
        <f>IFERROR(__xludf.DUMMYFUNCTION("""COMPUTED_VALUE"""),0.0)</f>
        <v>0</v>
      </c>
      <c r="S5" s="71">
        <f>IFERROR(__xludf.DUMMYFUNCTION("""COMPUTED_VALUE"""),0.0)</f>
        <v>0</v>
      </c>
      <c r="T5" s="72"/>
      <c r="U5" s="72"/>
      <c r="V5" s="72"/>
      <c r="W5" s="72"/>
      <c r="X5" s="72"/>
      <c r="Y5" s="72"/>
      <c r="Z5" s="72"/>
      <c r="AA5" s="72"/>
      <c r="AB5" s="72"/>
      <c r="AC5" s="72"/>
      <c r="AD5" s="72"/>
      <c r="AE5" s="72"/>
      <c r="AF5" s="72"/>
      <c r="AG5" s="72"/>
    </row>
    <row r="6" ht="15.75" customHeight="1">
      <c r="A6" s="59" t="s">
        <v>23</v>
      </c>
      <c r="B6" s="52" t="s">
        <v>25</v>
      </c>
      <c r="C6" s="54" t="s">
        <v>26</v>
      </c>
      <c r="D6" s="54" t="s">
        <v>27</v>
      </c>
      <c r="E6" s="65" t="s">
        <v>29</v>
      </c>
      <c r="F6" s="77" t="s">
        <v>44</v>
      </c>
      <c r="G6" s="63">
        <f>IFERROR(__xludf.DUMMYFUNCTION("importrange(""https://docs.google.com/spreadsheets/d/1rGqTa7RnQr9aNVIJk6V5mKnyMT4IFvehHkmZSuZRUBU/edit?gid=24099429#"",""EHA!S9:AE9"")"),1743999.9999999998)</f>
        <v>1744000</v>
      </c>
      <c r="H6" s="69">
        <f>IFERROR(__xludf.DUMMYFUNCTION("""COMPUTED_VALUE"""),145333.33333333334)</f>
        <v>145333.3333</v>
      </c>
      <c r="I6" s="69">
        <f>IFERROR(__xludf.DUMMYFUNCTION("""COMPUTED_VALUE"""),145333.33333333334)</f>
        <v>145333.3333</v>
      </c>
      <c r="J6" s="69">
        <f>IFERROR(__xludf.DUMMYFUNCTION("""COMPUTED_VALUE"""),145333.33333333334)</f>
        <v>145333.3333</v>
      </c>
      <c r="K6" s="69">
        <f>IFERROR(__xludf.DUMMYFUNCTION("""COMPUTED_VALUE"""),145333.33333333334)</f>
        <v>145333.3333</v>
      </c>
      <c r="L6" s="69">
        <f>IFERROR(__xludf.DUMMYFUNCTION("""COMPUTED_VALUE"""),145333.33333333334)</f>
        <v>145333.3333</v>
      </c>
      <c r="M6" s="69">
        <f>IFERROR(__xludf.DUMMYFUNCTION("""COMPUTED_VALUE"""),145333.33333333334)</f>
        <v>145333.3333</v>
      </c>
      <c r="N6" s="69">
        <f>IFERROR(__xludf.DUMMYFUNCTION("""COMPUTED_VALUE"""),145333.33333333334)</f>
        <v>145333.3333</v>
      </c>
      <c r="O6" s="69">
        <f>IFERROR(__xludf.DUMMYFUNCTION("""COMPUTED_VALUE"""),145333.33333333334)</f>
        <v>145333.3333</v>
      </c>
      <c r="P6" s="69">
        <f>IFERROR(__xludf.DUMMYFUNCTION("""COMPUTED_VALUE"""),145333.33333333334)</f>
        <v>145333.3333</v>
      </c>
      <c r="Q6" s="69">
        <f>IFERROR(__xludf.DUMMYFUNCTION("""COMPUTED_VALUE"""),145333.33333333334)</f>
        <v>145333.3333</v>
      </c>
      <c r="R6" s="69">
        <f>IFERROR(__xludf.DUMMYFUNCTION("""COMPUTED_VALUE"""),145333.33333333334)</f>
        <v>145333.3333</v>
      </c>
      <c r="S6" s="71">
        <f>IFERROR(__xludf.DUMMYFUNCTION("""COMPUTED_VALUE"""),145333.33333333334)</f>
        <v>145333.3333</v>
      </c>
      <c r="T6" s="72"/>
      <c r="U6" s="72"/>
      <c r="V6" s="72"/>
      <c r="W6" s="72"/>
      <c r="X6" s="72"/>
      <c r="Y6" s="72"/>
      <c r="Z6" s="72"/>
      <c r="AA6" s="72"/>
      <c r="AB6" s="72"/>
      <c r="AC6" s="72"/>
      <c r="AD6" s="72"/>
      <c r="AE6" s="72"/>
      <c r="AF6" s="72"/>
      <c r="AG6" s="72"/>
    </row>
    <row r="7" ht="15.75" customHeight="1">
      <c r="A7" s="59" t="s">
        <v>23</v>
      </c>
      <c r="B7" s="52" t="s">
        <v>25</v>
      </c>
      <c r="C7" s="54" t="s">
        <v>26</v>
      </c>
      <c r="D7" s="54" t="s">
        <v>27</v>
      </c>
      <c r="E7" s="63" t="str">
        <f>IFERROR(__xludf.DUMMYFUNCTION("Query('Travel Input'!B133:P142,""Select*"")")," 22.Program Immersion ")</f>
        <v>22.Program Immersion</v>
      </c>
      <c r="F7" s="94" t="str">
        <f>IFERROR(__xludf.DUMMYFUNCTION("""COMPUTED_VALUE"""),"Travel &amp; Lodging Expenses")</f>
        <v>Travel &amp; Lodging Expenses</v>
      </c>
      <c r="G7" s="97">
        <f>IFERROR(__xludf.DUMMYFUNCTION("""COMPUTED_VALUE"""),0.0)</f>
        <v>0</v>
      </c>
      <c r="H7" s="69">
        <f>IFERROR(__xludf.DUMMYFUNCTION("""COMPUTED_VALUE"""),0.0)</f>
        <v>0</v>
      </c>
      <c r="I7" s="69">
        <f>IFERROR(__xludf.DUMMYFUNCTION("""COMPUTED_VALUE"""),0.0)</f>
        <v>0</v>
      </c>
      <c r="J7" s="69">
        <f>IFERROR(__xludf.DUMMYFUNCTION("""COMPUTED_VALUE"""),0.0)</f>
        <v>0</v>
      </c>
      <c r="K7" s="69">
        <f>IFERROR(__xludf.DUMMYFUNCTION("""COMPUTED_VALUE"""),0.0)</f>
        <v>0</v>
      </c>
      <c r="L7" s="69">
        <f>IFERROR(__xludf.DUMMYFUNCTION("""COMPUTED_VALUE"""),0.0)</f>
        <v>0</v>
      </c>
      <c r="M7" s="69">
        <f>IFERROR(__xludf.DUMMYFUNCTION("""COMPUTED_VALUE"""),0.0)</f>
        <v>0</v>
      </c>
      <c r="N7" s="69">
        <f>IFERROR(__xludf.DUMMYFUNCTION("""COMPUTED_VALUE"""),0.0)</f>
        <v>0</v>
      </c>
      <c r="O7" s="69">
        <f>IFERROR(__xludf.DUMMYFUNCTION("""COMPUTED_VALUE"""),0.0)</f>
        <v>0</v>
      </c>
      <c r="P7" s="69">
        <f>IFERROR(__xludf.DUMMYFUNCTION("""COMPUTED_VALUE"""),0.0)</f>
        <v>0</v>
      </c>
      <c r="Q7" s="69">
        <f>IFERROR(__xludf.DUMMYFUNCTION("""COMPUTED_VALUE"""),0.0)</f>
        <v>0</v>
      </c>
      <c r="R7" s="69">
        <f>IFERROR(__xludf.DUMMYFUNCTION("""COMPUTED_VALUE"""),0.0)</f>
        <v>0</v>
      </c>
      <c r="S7" s="71">
        <f>IFERROR(__xludf.DUMMYFUNCTION("""COMPUTED_VALUE"""),0.0)</f>
        <v>0</v>
      </c>
      <c r="T7" s="72"/>
      <c r="U7" s="72"/>
      <c r="V7" s="72"/>
      <c r="W7" s="72"/>
      <c r="X7" s="72"/>
      <c r="Y7" s="72"/>
      <c r="Z7" s="72"/>
      <c r="AA7" s="72"/>
      <c r="AB7" s="72"/>
      <c r="AC7" s="72"/>
      <c r="AD7" s="72"/>
      <c r="AE7" s="72"/>
      <c r="AF7" s="72"/>
      <c r="AG7" s="72"/>
    </row>
    <row r="8" ht="15.75" customHeight="1">
      <c r="A8" s="59" t="s">
        <v>23</v>
      </c>
      <c r="B8" s="52" t="s">
        <v>25</v>
      </c>
      <c r="C8" s="54" t="s">
        <v>26</v>
      </c>
      <c r="D8" s="54" t="s">
        <v>27</v>
      </c>
      <c r="E8" s="59" t="str">
        <f>IFERROR(__xludf.DUMMYFUNCTION("""COMPUTED_VALUE"""),"3-Needs finding.Testing and prototyping")</f>
        <v>3-Needs finding.Testing and prototyping</v>
      </c>
      <c r="F8" s="94" t="str">
        <f>IFERROR(__xludf.DUMMYFUNCTION("""COMPUTED_VALUE"""),"Travel &amp; Lodging Expenses")</f>
        <v>Travel &amp; Lodging Expenses</v>
      </c>
      <c r="G8" s="97">
        <f>IFERROR(__xludf.DUMMYFUNCTION("""COMPUTED_VALUE"""),168400.0)</f>
        <v>168400</v>
      </c>
      <c r="H8" s="69">
        <f>IFERROR(__xludf.DUMMYFUNCTION("""COMPUTED_VALUE"""),0.0)</f>
        <v>0</v>
      </c>
      <c r="I8" s="69">
        <f>IFERROR(__xludf.DUMMYFUNCTION("""COMPUTED_VALUE"""),0.0)</f>
        <v>0</v>
      </c>
      <c r="J8" s="69">
        <f>IFERROR(__xludf.DUMMYFUNCTION("""COMPUTED_VALUE"""),0.0)</f>
        <v>0</v>
      </c>
      <c r="K8" s="69">
        <f>IFERROR(__xludf.DUMMYFUNCTION("""COMPUTED_VALUE"""),42100.0)</f>
        <v>42100</v>
      </c>
      <c r="L8" s="69">
        <f>IFERROR(__xludf.DUMMYFUNCTION("""COMPUTED_VALUE"""),0.0)</f>
        <v>0</v>
      </c>
      <c r="M8" s="69">
        <f>IFERROR(__xludf.DUMMYFUNCTION("""COMPUTED_VALUE"""),0.0)</f>
        <v>0</v>
      </c>
      <c r="N8" s="69">
        <f>IFERROR(__xludf.DUMMYFUNCTION("""COMPUTED_VALUE"""),42100.0)</f>
        <v>42100</v>
      </c>
      <c r="O8" s="69">
        <f>IFERROR(__xludf.DUMMYFUNCTION("""COMPUTED_VALUE"""),0.0)</f>
        <v>0</v>
      </c>
      <c r="P8" s="69">
        <f>IFERROR(__xludf.DUMMYFUNCTION("""COMPUTED_VALUE"""),84200.0)</f>
        <v>84200</v>
      </c>
      <c r="Q8" s="69">
        <f>IFERROR(__xludf.DUMMYFUNCTION("""COMPUTED_VALUE"""),0.0)</f>
        <v>0</v>
      </c>
      <c r="R8" s="69">
        <f>IFERROR(__xludf.DUMMYFUNCTION("""COMPUTED_VALUE"""),0.0)</f>
        <v>0</v>
      </c>
      <c r="S8" s="71">
        <f>IFERROR(__xludf.DUMMYFUNCTION("""COMPUTED_VALUE"""),0.0)</f>
        <v>0</v>
      </c>
      <c r="T8" s="72"/>
      <c r="U8" s="72"/>
      <c r="V8" s="72"/>
      <c r="W8" s="72"/>
      <c r="X8" s="72"/>
      <c r="Y8" s="72"/>
      <c r="Z8" s="72"/>
      <c r="AA8" s="72"/>
      <c r="AB8" s="72"/>
      <c r="AC8" s="72"/>
      <c r="AD8" s="72"/>
      <c r="AE8" s="72"/>
      <c r="AF8" s="72"/>
      <c r="AG8" s="72"/>
    </row>
    <row r="9" ht="15.75" customHeight="1">
      <c r="A9" s="59" t="s">
        <v>23</v>
      </c>
      <c r="B9" s="52" t="s">
        <v>25</v>
      </c>
      <c r="C9" s="54" t="s">
        <v>26</v>
      </c>
      <c r="D9" s="54" t="s">
        <v>27</v>
      </c>
      <c r="E9" s="59" t="str">
        <f>IFERROR(__xludf.DUMMYFUNCTION("""COMPUTED_VALUE"""),"22.Program Immersion")</f>
        <v>22.Program Immersion</v>
      </c>
      <c r="F9" s="94" t="str">
        <f>IFERROR(__xludf.DUMMYFUNCTION("""COMPUTED_VALUE"""),"Travel &amp; Lodging Expenses")</f>
        <v>Travel &amp; Lodging Expenses</v>
      </c>
      <c r="G9" s="97">
        <f>IFERROR(__xludf.DUMMYFUNCTION("""COMPUTED_VALUE"""),384000.0)</f>
        <v>384000</v>
      </c>
      <c r="H9" s="69">
        <f>IFERROR(__xludf.DUMMYFUNCTION("""COMPUTED_VALUE"""),0.0)</f>
        <v>0</v>
      </c>
      <c r="I9" s="69">
        <f>IFERROR(__xludf.DUMMYFUNCTION("""COMPUTED_VALUE"""),0.0)</f>
        <v>0</v>
      </c>
      <c r="J9" s="69">
        <f>IFERROR(__xludf.DUMMYFUNCTION("""COMPUTED_VALUE"""),0.0)</f>
        <v>0</v>
      </c>
      <c r="K9" s="69">
        <f>IFERROR(__xludf.DUMMYFUNCTION("""COMPUTED_VALUE"""),0.0)</f>
        <v>0</v>
      </c>
      <c r="L9" s="69">
        <f>IFERROR(__xludf.DUMMYFUNCTION("""COMPUTED_VALUE"""),84200.0)</f>
        <v>84200</v>
      </c>
      <c r="M9" s="69">
        <f>IFERROR(__xludf.DUMMYFUNCTION("""COMPUTED_VALUE"""),0.0)</f>
        <v>0</v>
      </c>
      <c r="N9" s="69">
        <f>IFERROR(__xludf.DUMMYFUNCTION("""COMPUTED_VALUE"""),0.0)</f>
        <v>0</v>
      </c>
      <c r="O9" s="69">
        <f>IFERROR(__xludf.DUMMYFUNCTION("""COMPUTED_VALUE"""),149900.0)</f>
        <v>149900</v>
      </c>
      <c r="P9" s="69">
        <f>IFERROR(__xludf.DUMMYFUNCTION("""COMPUTED_VALUE"""),0.0)</f>
        <v>0</v>
      </c>
      <c r="Q9" s="69">
        <f>IFERROR(__xludf.DUMMYFUNCTION("""COMPUTED_VALUE"""),149900.0)</f>
        <v>149900</v>
      </c>
      <c r="R9" s="69">
        <f>IFERROR(__xludf.DUMMYFUNCTION("""COMPUTED_VALUE"""),0.0)</f>
        <v>0</v>
      </c>
      <c r="S9" s="71">
        <f>IFERROR(__xludf.DUMMYFUNCTION("""COMPUTED_VALUE"""),0.0)</f>
        <v>0</v>
      </c>
      <c r="T9" s="72"/>
      <c r="U9" s="72"/>
      <c r="V9" s="72"/>
      <c r="W9" s="72"/>
      <c r="X9" s="72"/>
      <c r="Y9" s="72"/>
      <c r="Z9" s="72"/>
      <c r="AA9" s="72"/>
      <c r="AB9" s="72"/>
      <c r="AC9" s="72"/>
      <c r="AD9" s="72"/>
      <c r="AE9" s="72"/>
      <c r="AF9" s="72"/>
      <c r="AG9" s="72"/>
    </row>
    <row r="10" ht="15.75" customHeight="1">
      <c r="A10" s="59" t="s">
        <v>23</v>
      </c>
      <c r="B10" s="52" t="s">
        <v>25</v>
      </c>
      <c r="C10" s="54" t="s">
        <v>26</v>
      </c>
      <c r="D10" s="54" t="s">
        <v>27</v>
      </c>
      <c r="E10" s="59" t="str">
        <f>IFERROR(__xludf.DUMMYFUNCTION("""COMPUTED_VALUE"""),"10.4-Medical Officer training
")</f>
        <v>10.4-Medical Officer training
</v>
      </c>
      <c r="F10" s="94" t="str">
        <f>IFERROR(__xludf.DUMMYFUNCTION("""COMPUTED_VALUE"""),"Travel &amp; Lodging Expenses")</f>
        <v>Travel &amp; Lodging Expenses</v>
      </c>
      <c r="G10" s="97">
        <f>IFERROR(__xludf.DUMMYFUNCTION("""COMPUTED_VALUE"""),126300.0)</f>
        <v>126300</v>
      </c>
      <c r="H10" s="69">
        <f>IFERROR(__xludf.DUMMYFUNCTION("""COMPUTED_VALUE"""),0.0)</f>
        <v>0</v>
      </c>
      <c r="I10" s="69">
        <f>IFERROR(__xludf.DUMMYFUNCTION("""COMPUTED_VALUE"""),0.0)</f>
        <v>0</v>
      </c>
      <c r="J10" s="69">
        <f>IFERROR(__xludf.DUMMYFUNCTION("""COMPUTED_VALUE"""),42100.0)</f>
        <v>42100</v>
      </c>
      <c r="K10" s="69">
        <f>IFERROR(__xludf.DUMMYFUNCTION("""COMPUTED_VALUE"""),42100.0)</f>
        <v>42100</v>
      </c>
      <c r="L10" s="69">
        <f>IFERROR(__xludf.DUMMYFUNCTION("""COMPUTED_VALUE"""),0.0)</f>
        <v>0</v>
      </c>
      <c r="M10" s="69">
        <f>IFERROR(__xludf.DUMMYFUNCTION("""COMPUTED_VALUE"""),0.0)</f>
        <v>0</v>
      </c>
      <c r="N10" s="69">
        <f>IFERROR(__xludf.DUMMYFUNCTION("""COMPUTED_VALUE"""),42100.0)</f>
        <v>42100</v>
      </c>
      <c r="O10" s="69">
        <f>IFERROR(__xludf.DUMMYFUNCTION("""COMPUTED_VALUE"""),0.0)</f>
        <v>0</v>
      </c>
      <c r="P10" s="69">
        <f>IFERROR(__xludf.DUMMYFUNCTION("""COMPUTED_VALUE"""),0.0)</f>
        <v>0</v>
      </c>
      <c r="Q10" s="69">
        <f>IFERROR(__xludf.DUMMYFUNCTION("""COMPUTED_VALUE"""),0.0)</f>
        <v>0</v>
      </c>
      <c r="R10" s="69">
        <f>IFERROR(__xludf.DUMMYFUNCTION("""COMPUTED_VALUE"""),0.0)</f>
        <v>0</v>
      </c>
      <c r="S10" s="71">
        <f>IFERROR(__xludf.DUMMYFUNCTION("""COMPUTED_VALUE"""),0.0)</f>
        <v>0</v>
      </c>
      <c r="T10" s="72"/>
      <c r="U10" s="72"/>
      <c r="V10" s="72"/>
      <c r="W10" s="72"/>
      <c r="X10" s="72"/>
      <c r="Y10" s="72"/>
      <c r="Z10" s="72"/>
      <c r="AA10" s="72"/>
      <c r="AB10" s="72"/>
      <c r="AC10" s="72"/>
      <c r="AD10" s="72"/>
      <c r="AE10" s="72"/>
      <c r="AF10" s="72"/>
      <c r="AG10" s="72"/>
    </row>
    <row r="11" ht="15.75" customHeight="1">
      <c r="A11" s="59" t="s">
        <v>23</v>
      </c>
      <c r="B11" s="52" t="s">
        <v>25</v>
      </c>
      <c r="C11" s="54" t="s">
        <v>26</v>
      </c>
      <c r="D11" s="54" t="s">
        <v>27</v>
      </c>
      <c r="E11" s="59" t="str">
        <f>IFERROR(__xludf.DUMMYFUNCTION("""COMPUTED_VALUE"""),"11.Country Support")</f>
        <v>11.Country Support</v>
      </c>
      <c r="F11" s="94" t="str">
        <f>IFERROR(__xludf.DUMMYFUNCTION("""COMPUTED_VALUE"""),"Travel &amp; Lodging Expenses")</f>
        <v>Travel &amp; Lodging Expenses</v>
      </c>
      <c r="G11" s="97">
        <f>IFERROR(__xludf.DUMMYFUNCTION("""COMPUTED_VALUE"""),0.0)</f>
        <v>0</v>
      </c>
      <c r="H11" s="69">
        <f>IFERROR(__xludf.DUMMYFUNCTION("""COMPUTED_VALUE"""),0.0)</f>
        <v>0</v>
      </c>
      <c r="I11" s="69">
        <f>IFERROR(__xludf.DUMMYFUNCTION("""COMPUTED_VALUE"""),0.0)</f>
        <v>0</v>
      </c>
      <c r="J11" s="69">
        <f>IFERROR(__xludf.DUMMYFUNCTION("""COMPUTED_VALUE"""),0.0)</f>
        <v>0</v>
      </c>
      <c r="K11" s="69">
        <f>IFERROR(__xludf.DUMMYFUNCTION("""COMPUTED_VALUE"""),0.0)</f>
        <v>0</v>
      </c>
      <c r="L11" s="69">
        <f>IFERROR(__xludf.DUMMYFUNCTION("""COMPUTED_VALUE"""),0.0)</f>
        <v>0</v>
      </c>
      <c r="M11" s="69">
        <f>IFERROR(__xludf.DUMMYFUNCTION("""COMPUTED_VALUE"""),0.0)</f>
        <v>0</v>
      </c>
      <c r="N11" s="69">
        <f>IFERROR(__xludf.DUMMYFUNCTION("""COMPUTED_VALUE"""),0.0)</f>
        <v>0</v>
      </c>
      <c r="O11" s="69">
        <f>IFERROR(__xludf.DUMMYFUNCTION("""COMPUTED_VALUE"""),0.0)</f>
        <v>0</v>
      </c>
      <c r="P11" s="69">
        <f>IFERROR(__xludf.DUMMYFUNCTION("""COMPUTED_VALUE"""),0.0)</f>
        <v>0</v>
      </c>
      <c r="Q11" s="69">
        <f>IFERROR(__xludf.DUMMYFUNCTION("""COMPUTED_VALUE"""),0.0)</f>
        <v>0</v>
      </c>
      <c r="R11" s="69">
        <f>IFERROR(__xludf.DUMMYFUNCTION("""COMPUTED_VALUE"""),0.0)</f>
        <v>0</v>
      </c>
      <c r="S11" s="71">
        <f>IFERROR(__xludf.DUMMYFUNCTION("""COMPUTED_VALUE"""),0.0)</f>
        <v>0</v>
      </c>
      <c r="T11" s="72"/>
      <c r="U11" s="72"/>
      <c r="V11" s="72"/>
      <c r="W11" s="72"/>
      <c r="X11" s="72"/>
      <c r="Y11" s="72"/>
      <c r="Z11" s="72"/>
      <c r="AA11" s="72"/>
      <c r="AB11" s="72"/>
      <c r="AC11" s="72"/>
      <c r="AD11" s="72"/>
      <c r="AE11" s="72"/>
      <c r="AF11" s="72"/>
      <c r="AG11" s="72"/>
    </row>
    <row r="12" ht="15.75" customHeight="1">
      <c r="A12" s="59" t="s">
        <v>23</v>
      </c>
      <c r="B12" s="52" t="s">
        <v>25</v>
      </c>
      <c r="C12" s="54" t="s">
        <v>26</v>
      </c>
      <c r="D12" s="54" t="s">
        <v>27</v>
      </c>
      <c r="E12" s="59" t="str">
        <f>IFERROR(__xludf.DUMMYFUNCTION("""COMPUTED_VALUE"""),"4. Remote Engagement Service")</f>
        <v>4. Remote Engagement Service</v>
      </c>
      <c r="F12" s="94" t="str">
        <f>IFERROR(__xludf.DUMMYFUNCTION("""COMPUTED_VALUE"""),"Travel &amp; Lodging Expenses")</f>
        <v>Travel &amp; Lodging Expenses</v>
      </c>
      <c r="G12" s="97">
        <f>IFERROR(__xludf.DUMMYFUNCTION("""COMPUTED_VALUE"""),0.0)</f>
        <v>0</v>
      </c>
      <c r="H12" s="69">
        <f>IFERROR(__xludf.DUMMYFUNCTION("""COMPUTED_VALUE"""),0.0)</f>
        <v>0</v>
      </c>
      <c r="I12" s="69">
        <f>IFERROR(__xludf.DUMMYFUNCTION("""COMPUTED_VALUE"""),0.0)</f>
        <v>0</v>
      </c>
      <c r="J12" s="69">
        <f>IFERROR(__xludf.DUMMYFUNCTION("""COMPUTED_VALUE"""),0.0)</f>
        <v>0</v>
      </c>
      <c r="K12" s="69">
        <f>IFERROR(__xludf.DUMMYFUNCTION("""COMPUTED_VALUE"""),0.0)</f>
        <v>0</v>
      </c>
      <c r="L12" s="69">
        <f>IFERROR(__xludf.DUMMYFUNCTION("""COMPUTED_VALUE"""),0.0)</f>
        <v>0</v>
      </c>
      <c r="M12" s="69">
        <f>IFERROR(__xludf.DUMMYFUNCTION("""COMPUTED_VALUE"""),0.0)</f>
        <v>0</v>
      </c>
      <c r="N12" s="69">
        <f>IFERROR(__xludf.DUMMYFUNCTION("""COMPUTED_VALUE"""),0.0)</f>
        <v>0</v>
      </c>
      <c r="O12" s="69">
        <f>IFERROR(__xludf.DUMMYFUNCTION("""COMPUTED_VALUE"""),0.0)</f>
        <v>0</v>
      </c>
      <c r="P12" s="69">
        <f>IFERROR(__xludf.DUMMYFUNCTION("""COMPUTED_VALUE"""),0.0)</f>
        <v>0</v>
      </c>
      <c r="Q12" s="69">
        <f>IFERROR(__xludf.DUMMYFUNCTION("""COMPUTED_VALUE"""),0.0)</f>
        <v>0</v>
      </c>
      <c r="R12" s="69">
        <f>IFERROR(__xludf.DUMMYFUNCTION("""COMPUTED_VALUE"""),0.0)</f>
        <v>0</v>
      </c>
      <c r="S12" s="71">
        <f>IFERROR(__xludf.DUMMYFUNCTION("""COMPUTED_VALUE"""),0.0)</f>
        <v>0</v>
      </c>
      <c r="T12" s="72"/>
      <c r="U12" s="72"/>
      <c r="V12" s="72"/>
      <c r="W12" s="72"/>
      <c r="X12" s="72"/>
      <c r="Y12" s="72"/>
      <c r="Z12" s="72"/>
      <c r="AA12" s="72"/>
      <c r="AB12" s="72"/>
      <c r="AC12" s="72"/>
      <c r="AD12" s="72"/>
      <c r="AE12" s="72"/>
      <c r="AF12" s="72"/>
      <c r="AG12" s="72"/>
    </row>
    <row r="13" ht="15.75" customHeight="1">
      <c r="A13" s="59" t="s">
        <v>23</v>
      </c>
      <c r="B13" s="52" t="s">
        <v>25</v>
      </c>
      <c r="C13" s="54" t="s">
        <v>26</v>
      </c>
      <c r="D13" s="54" t="s">
        <v>27</v>
      </c>
      <c r="E13" s="59" t="str">
        <f>IFERROR(__xludf.DUMMYFUNCTION("""COMPUTED_VALUE"""),"7.1-RMM-Advocacy")</f>
        <v>7.1-RMM-Advocacy</v>
      </c>
      <c r="F13" s="94" t="str">
        <f>IFERROR(__xludf.DUMMYFUNCTION("""COMPUTED_VALUE"""),"Travel &amp; Lodging Expenses")</f>
        <v>Travel &amp; Lodging Expenses</v>
      </c>
      <c r="G13" s="97">
        <f>IFERROR(__xludf.DUMMYFUNCTION("""COMPUTED_VALUE"""),84200.0)</f>
        <v>84200</v>
      </c>
      <c r="H13" s="69">
        <f>IFERROR(__xludf.DUMMYFUNCTION("""COMPUTED_VALUE"""),0.0)</f>
        <v>0</v>
      </c>
      <c r="I13" s="69">
        <f>IFERROR(__xludf.DUMMYFUNCTION("""COMPUTED_VALUE"""),0.0)</f>
        <v>0</v>
      </c>
      <c r="J13" s="69">
        <f>IFERROR(__xludf.DUMMYFUNCTION("""COMPUTED_VALUE"""),0.0)</f>
        <v>0</v>
      </c>
      <c r="K13" s="69">
        <f>IFERROR(__xludf.DUMMYFUNCTION("""COMPUTED_VALUE"""),0.0)</f>
        <v>0</v>
      </c>
      <c r="L13" s="69">
        <f>IFERROR(__xludf.DUMMYFUNCTION("""COMPUTED_VALUE"""),42100.0)</f>
        <v>42100</v>
      </c>
      <c r="M13" s="69">
        <f>IFERROR(__xludf.DUMMYFUNCTION("""COMPUTED_VALUE"""),0.0)</f>
        <v>0</v>
      </c>
      <c r="N13" s="69">
        <f>IFERROR(__xludf.DUMMYFUNCTION("""COMPUTED_VALUE"""),0.0)</f>
        <v>0</v>
      </c>
      <c r="O13" s="69">
        <f>IFERROR(__xludf.DUMMYFUNCTION("""COMPUTED_VALUE"""),42100.0)</f>
        <v>42100</v>
      </c>
      <c r="P13" s="69">
        <f>IFERROR(__xludf.DUMMYFUNCTION("""COMPUTED_VALUE"""),0.0)</f>
        <v>0</v>
      </c>
      <c r="Q13" s="69">
        <f>IFERROR(__xludf.DUMMYFUNCTION("""COMPUTED_VALUE"""),0.0)</f>
        <v>0</v>
      </c>
      <c r="R13" s="69">
        <f>IFERROR(__xludf.DUMMYFUNCTION("""COMPUTED_VALUE"""),0.0)</f>
        <v>0</v>
      </c>
      <c r="S13" s="71">
        <f>IFERROR(__xludf.DUMMYFUNCTION("""COMPUTED_VALUE"""),0.0)</f>
        <v>0</v>
      </c>
      <c r="T13" s="72"/>
      <c r="U13" s="72"/>
      <c r="V13" s="72"/>
      <c r="W13" s="72"/>
      <c r="X13" s="72"/>
      <c r="Y13" s="72"/>
      <c r="Z13" s="72"/>
      <c r="AA13" s="72"/>
      <c r="AB13" s="72"/>
      <c r="AC13" s="72"/>
      <c r="AD13" s="72"/>
      <c r="AE13" s="72"/>
      <c r="AF13" s="72"/>
      <c r="AG13" s="72"/>
    </row>
    <row r="14" ht="15.75" customHeight="1">
      <c r="A14" s="59" t="s">
        <v>23</v>
      </c>
      <c r="B14" s="52" t="s">
        <v>25</v>
      </c>
      <c r="C14" s="54" t="s">
        <v>26</v>
      </c>
      <c r="D14" s="54" t="s">
        <v>27</v>
      </c>
      <c r="E14" s="59" t="str">
        <f>IFERROR(__xludf.DUMMYFUNCTION("""COMPUTED_VALUE"""),"10.2-Non-bundled ToTs-Master Trainers")</f>
        <v>10.2-Non-bundled ToTs-Master Trainers</v>
      </c>
      <c r="F14" s="94" t="str">
        <f>IFERROR(__xludf.DUMMYFUNCTION("""COMPUTED_VALUE"""),"Travel &amp; Lodging Expenses")</f>
        <v>Travel &amp; Lodging Expenses</v>
      </c>
      <c r="G14" s="97">
        <f>IFERROR(__xludf.DUMMYFUNCTION("""COMPUTED_VALUE"""),148200.0)</f>
        <v>148200</v>
      </c>
      <c r="H14" s="69">
        <f>IFERROR(__xludf.DUMMYFUNCTION("""COMPUTED_VALUE"""),0.0)</f>
        <v>0</v>
      </c>
      <c r="I14" s="69">
        <f>IFERROR(__xludf.DUMMYFUNCTION("""COMPUTED_VALUE"""),42100.0)</f>
        <v>42100</v>
      </c>
      <c r="J14" s="69">
        <f>IFERROR(__xludf.DUMMYFUNCTION("""COMPUTED_VALUE"""),0.0)</f>
        <v>0</v>
      </c>
      <c r="K14" s="69">
        <f>IFERROR(__xludf.DUMMYFUNCTION("""COMPUTED_VALUE"""),0.0)</f>
        <v>0</v>
      </c>
      <c r="L14" s="69">
        <f>IFERROR(__xludf.DUMMYFUNCTION("""COMPUTED_VALUE"""),0.0)</f>
        <v>0</v>
      </c>
      <c r="M14" s="69">
        <f>IFERROR(__xludf.DUMMYFUNCTION("""COMPUTED_VALUE"""),53050.0)</f>
        <v>53050</v>
      </c>
      <c r="N14" s="69">
        <f>IFERROR(__xludf.DUMMYFUNCTION("""COMPUTED_VALUE"""),0.0)</f>
        <v>0</v>
      </c>
      <c r="O14" s="69">
        <f>IFERROR(__xludf.DUMMYFUNCTION("""COMPUTED_VALUE"""),0.0)</f>
        <v>0</v>
      </c>
      <c r="P14" s="69">
        <f>IFERROR(__xludf.DUMMYFUNCTION("""COMPUTED_VALUE"""),0.0)</f>
        <v>0</v>
      </c>
      <c r="Q14" s="69">
        <f>IFERROR(__xludf.DUMMYFUNCTION("""COMPUTED_VALUE"""),53050.0)</f>
        <v>53050</v>
      </c>
      <c r="R14" s="69">
        <f>IFERROR(__xludf.DUMMYFUNCTION("""COMPUTED_VALUE"""),0.0)</f>
        <v>0</v>
      </c>
      <c r="S14" s="71">
        <f>IFERROR(__xludf.DUMMYFUNCTION("""COMPUTED_VALUE"""),0.0)</f>
        <v>0</v>
      </c>
      <c r="T14" s="72"/>
      <c r="U14" s="72"/>
      <c r="V14" s="72"/>
      <c r="W14" s="72"/>
      <c r="X14" s="72"/>
      <c r="Y14" s="72"/>
      <c r="Z14" s="72"/>
      <c r="AA14" s="72"/>
      <c r="AB14" s="72"/>
      <c r="AC14" s="72"/>
      <c r="AD14" s="72"/>
      <c r="AE14" s="72"/>
      <c r="AF14" s="72"/>
      <c r="AG14" s="72"/>
    </row>
    <row r="15" ht="15.75" customHeight="1">
      <c r="A15" s="59" t="s">
        <v>23</v>
      </c>
      <c r="B15" s="52" t="s">
        <v>25</v>
      </c>
      <c r="C15" s="54" t="s">
        <v>26</v>
      </c>
      <c r="D15" s="54" t="s">
        <v>27</v>
      </c>
      <c r="E15" s="59" t="str">
        <f>IFERROR(__xludf.DUMMYFUNCTION("""COMPUTED_VALUE"""),"3-Needs finding.Testing and prototyping")</f>
        <v>3-Needs finding.Testing and prototyping</v>
      </c>
      <c r="F15" s="94" t="str">
        <f>IFERROR(__xludf.DUMMYFUNCTION("""COMPUTED_VALUE"""),"Travel &amp; Lodging Expenses")</f>
        <v>Travel &amp; Lodging Expenses</v>
      </c>
      <c r="G15" s="97">
        <f>IFERROR(__xludf.DUMMYFUNCTION("""COMPUTED_VALUE"""),288850.0)</f>
        <v>288850</v>
      </c>
      <c r="H15" s="69">
        <f>IFERROR(__xludf.DUMMYFUNCTION("""COMPUTED_VALUE"""),64000.0)</f>
        <v>64000</v>
      </c>
      <c r="I15" s="69">
        <f>IFERROR(__xludf.DUMMYFUNCTION("""COMPUTED_VALUE"""),64000.0)</f>
        <v>64000</v>
      </c>
      <c r="J15" s="69">
        <f>IFERROR(__xludf.DUMMYFUNCTION("""COMPUTED_VALUE"""),85900.0)</f>
        <v>85900</v>
      </c>
      <c r="K15" s="69">
        <f>IFERROR(__xludf.DUMMYFUNCTION("""COMPUTED_VALUE"""),0.0)</f>
        <v>0</v>
      </c>
      <c r="L15" s="69">
        <f>IFERROR(__xludf.DUMMYFUNCTION("""COMPUTED_VALUE"""),74950.0)</f>
        <v>74950</v>
      </c>
      <c r="M15" s="69">
        <f>IFERROR(__xludf.DUMMYFUNCTION("""COMPUTED_VALUE"""),0.0)</f>
        <v>0</v>
      </c>
      <c r="N15" s="69">
        <f>IFERROR(__xludf.DUMMYFUNCTION("""COMPUTED_VALUE"""),0.0)</f>
        <v>0</v>
      </c>
      <c r="O15" s="69">
        <f>IFERROR(__xludf.DUMMYFUNCTION("""COMPUTED_VALUE"""),0.0)</f>
        <v>0</v>
      </c>
      <c r="P15" s="69">
        <f>IFERROR(__xludf.DUMMYFUNCTION("""COMPUTED_VALUE"""),0.0)</f>
        <v>0</v>
      </c>
      <c r="Q15" s="69">
        <f>IFERROR(__xludf.DUMMYFUNCTION("""COMPUTED_VALUE"""),0.0)</f>
        <v>0</v>
      </c>
      <c r="R15" s="69">
        <f>IFERROR(__xludf.DUMMYFUNCTION("""COMPUTED_VALUE"""),0.0)</f>
        <v>0</v>
      </c>
      <c r="S15" s="71">
        <f>IFERROR(__xludf.DUMMYFUNCTION("""COMPUTED_VALUE"""),0.0)</f>
        <v>0</v>
      </c>
      <c r="T15" s="72"/>
      <c r="U15" s="72"/>
      <c r="V15" s="72"/>
      <c r="W15" s="72"/>
      <c r="X15" s="72"/>
      <c r="Y15" s="72"/>
      <c r="Z15" s="72"/>
      <c r="AA15" s="72"/>
      <c r="AB15" s="72"/>
      <c r="AC15" s="72"/>
      <c r="AD15" s="72"/>
      <c r="AE15" s="72"/>
      <c r="AF15" s="72"/>
      <c r="AG15" s="72"/>
    </row>
    <row r="16" ht="15.75" customHeight="1">
      <c r="A16" s="59" t="s">
        <v>23</v>
      </c>
      <c r="B16" s="52" t="s">
        <v>25</v>
      </c>
      <c r="C16" s="54" t="s">
        <v>26</v>
      </c>
      <c r="D16" s="54" t="s">
        <v>27</v>
      </c>
      <c r="E16" s="59"/>
      <c r="F16" s="94" t="str">
        <f>IFERROR(__xludf.DUMMYFUNCTION("""COMPUTED_VALUE"""),"Travel &amp; Lodging Expenses")</f>
        <v>Travel &amp; Lodging Expenses</v>
      </c>
      <c r="G16" s="97">
        <f>IFERROR(__xludf.DUMMYFUNCTION("""COMPUTED_VALUE"""),0.0)</f>
        <v>0</v>
      </c>
      <c r="H16" s="69">
        <f>IFERROR(__xludf.DUMMYFUNCTION("""COMPUTED_VALUE"""),0.0)</f>
        <v>0</v>
      </c>
      <c r="I16" s="69">
        <f>IFERROR(__xludf.DUMMYFUNCTION("""COMPUTED_VALUE"""),0.0)</f>
        <v>0</v>
      </c>
      <c r="J16" s="69">
        <f>IFERROR(__xludf.DUMMYFUNCTION("""COMPUTED_VALUE"""),0.0)</f>
        <v>0</v>
      </c>
      <c r="K16" s="69">
        <f>IFERROR(__xludf.DUMMYFUNCTION("""COMPUTED_VALUE"""),0.0)</f>
        <v>0</v>
      </c>
      <c r="L16" s="69">
        <f>IFERROR(__xludf.DUMMYFUNCTION("""COMPUTED_VALUE"""),0.0)</f>
        <v>0</v>
      </c>
      <c r="M16" s="69">
        <f>IFERROR(__xludf.DUMMYFUNCTION("""COMPUTED_VALUE"""),0.0)</f>
        <v>0</v>
      </c>
      <c r="N16" s="69">
        <f>IFERROR(__xludf.DUMMYFUNCTION("""COMPUTED_VALUE"""),0.0)</f>
        <v>0</v>
      </c>
      <c r="O16" s="69">
        <f>IFERROR(__xludf.DUMMYFUNCTION("""COMPUTED_VALUE"""),0.0)</f>
        <v>0</v>
      </c>
      <c r="P16" s="69">
        <f>IFERROR(__xludf.DUMMYFUNCTION("""COMPUTED_VALUE"""),0.0)</f>
        <v>0</v>
      </c>
      <c r="Q16" s="69">
        <f>IFERROR(__xludf.DUMMYFUNCTION("""COMPUTED_VALUE"""),0.0)</f>
        <v>0</v>
      </c>
      <c r="R16" s="69">
        <f>IFERROR(__xludf.DUMMYFUNCTION("""COMPUTED_VALUE"""),0.0)</f>
        <v>0</v>
      </c>
      <c r="S16" s="71">
        <f>IFERROR(__xludf.DUMMYFUNCTION("""COMPUTED_VALUE"""),0.0)</f>
        <v>0</v>
      </c>
      <c r="T16" s="72"/>
      <c r="U16" s="72"/>
      <c r="V16" s="72"/>
      <c r="W16" s="72"/>
      <c r="X16" s="72"/>
      <c r="Y16" s="72"/>
      <c r="Z16" s="72"/>
      <c r="AA16" s="72"/>
      <c r="AB16" s="72"/>
      <c r="AC16" s="72"/>
      <c r="AD16" s="72"/>
      <c r="AE16" s="72"/>
      <c r="AF16" s="72"/>
      <c r="AG16" s="72"/>
    </row>
    <row r="17" ht="15.75" customHeight="1">
      <c r="A17" s="59" t="s">
        <v>23</v>
      </c>
      <c r="B17" s="52" t="s">
        <v>25</v>
      </c>
      <c r="C17" s="54" t="s">
        <v>26</v>
      </c>
      <c r="D17" s="54" t="s">
        <v>27</v>
      </c>
      <c r="E17" s="63" t="str">
        <f>IFERROR(__xludf.DUMMYFUNCTION("Query({'Other input cost'!B2:C10},""select*"")")," 1-Framework designing and Content creation ")</f>
        <v>1-Framework designing and Content creation</v>
      </c>
      <c r="F17" s="76" t="str">
        <f>IFERROR(__xludf.DUMMYFUNCTION("""COMPUTED_VALUE"""),"Supplies &amp; Printing Costs")</f>
        <v>Supplies &amp; Printing Costs</v>
      </c>
      <c r="G17" s="63">
        <f>IFERROR(__xludf.DUMMYFUNCTION("Query({'Other input cost'!F2:X10},""select*"")"),0.0)</f>
        <v>0</v>
      </c>
      <c r="H17" s="69">
        <f>IFERROR(__xludf.DUMMYFUNCTION("""COMPUTED_VALUE"""),0.0)</f>
        <v>0</v>
      </c>
      <c r="I17" s="69">
        <f>IFERROR(__xludf.DUMMYFUNCTION("""COMPUTED_VALUE"""),0.0)</f>
        <v>0</v>
      </c>
      <c r="J17" s="69">
        <f>IFERROR(__xludf.DUMMYFUNCTION("""COMPUTED_VALUE"""),0.0)</f>
        <v>0</v>
      </c>
      <c r="K17" s="69">
        <f>IFERROR(__xludf.DUMMYFUNCTION("""COMPUTED_VALUE"""),0.0)</f>
        <v>0</v>
      </c>
      <c r="L17" s="69">
        <f>IFERROR(__xludf.DUMMYFUNCTION("""COMPUTED_VALUE"""),0.0)</f>
        <v>0</v>
      </c>
      <c r="M17" s="69">
        <f>IFERROR(__xludf.DUMMYFUNCTION("""COMPUTED_VALUE"""),0.0)</f>
        <v>0</v>
      </c>
      <c r="N17" s="69">
        <f>IFERROR(__xludf.DUMMYFUNCTION("""COMPUTED_VALUE"""),0.0)</f>
        <v>0</v>
      </c>
      <c r="O17" s="69">
        <f>IFERROR(__xludf.DUMMYFUNCTION("""COMPUTED_VALUE"""),0.0)</f>
        <v>0</v>
      </c>
      <c r="P17" s="69">
        <f>IFERROR(__xludf.DUMMYFUNCTION("""COMPUTED_VALUE"""),0.0)</f>
        <v>0</v>
      </c>
      <c r="Q17" s="69">
        <f>IFERROR(__xludf.DUMMYFUNCTION("""COMPUTED_VALUE"""),0.0)</f>
        <v>0</v>
      </c>
      <c r="R17" s="69">
        <f>IFERROR(__xludf.DUMMYFUNCTION("""COMPUTED_VALUE"""),0.0)</f>
        <v>0</v>
      </c>
      <c r="S17" s="71">
        <f>IFERROR(__xludf.DUMMYFUNCTION("""COMPUTED_VALUE"""),0.0)</f>
        <v>0</v>
      </c>
      <c r="T17" s="72"/>
      <c r="U17" s="135">
        <f>IFERROR(__xludf.DUMMYFUNCTION("""COMPUTED_VALUE"""),0.0)</f>
        <v>0</v>
      </c>
      <c r="V17" s="72"/>
      <c r="W17" s="72"/>
      <c r="X17" s="72"/>
      <c r="Y17" s="72"/>
      <c r="Z17" s="72"/>
      <c r="AA17" s="72"/>
      <c r="AB17" s="72"/>
      <c r="AC17" s="72"/>
      <c r="AD17" s="72"/>
      <c r="AE17" s="72"/>
      <c r="AF17" s="72"/>
      <c r="AG17" s="72"/>
    </row>
    <row r="18" ht="15.75" customHeight="1">
      <c r="A18" s="59" t="s">
        <v>23</v>
      </c>
      <c r="B18" s="52" t="s">
        <v>25</v>
      </c>
      <c r="C18" s="54" t="s">
        <v>26</v>
      </c>
      <c r="D18" s="54" t="s">
        <v>27</v>
      </c>
      <c r="E18" s="59" t="str">
        <f>IFERROR(__xludf.DUMMYFUNCTION("""COMPUTED_VALUE"""),"1-Framework designing and Content creation")</f>
        <v>1-Framework designing and Content creation</v>
      </c>
      <c r="F18" s="94" t="str">
        <f>IFERROR(__xludf.DUMMYFUNCTION("""COMPUTED_VALUE"""),"Supplies &amp; Printing Costs")</f>
        <v>Supplies &amp; Printing Costs</v>
      </c>
      <c r="G18" s="69">
        <f>IFERROR(__xludf.DUMMYFUNCTION("""COMPUTED_VALUE"""),0.0)</f>
        <v>0</v>
      </c>
      <c r="H18" s="69">
        <f>IFERROR(__xludf.DUMMYFUNCTION("""COMPUTED_VALUE"""),0.0)</f>
        <v>0</v>
      </c>
      <c r="I18" s="69">
        <f>IFERROR(__xludf.DUMMYFUNCTION("""COMPUTED_VALUE"""),0.0)</f>
        <v>0</v>
      </c>
      <c r="J18" s="69">
        <f>IFERROR(__xludf.DUMMYFUNCTION("""COMPUTED_VALUE"""),0.0)</f>
        <v>0</v>
      </c>
      <c r="K18" s="69">
        <f>IFERROR(__xludf.DUMMYFUNCTION("""COMPUTED_VALUE"""),0.0)</f>
        <v>0</v>
      </c>
      <c r="L18" s="69">
        <f>IFERROR(__xludf.DUMMYFUNCTION("""COMPUTED_VALUE"""),0.0)</f>
        <v>0</v>
      </c>
      <c r="M18" s="69">
        <f>IFERROR(__xludf.DUMMYFUNCTION("""COMPUTED_VALUE"""),0.0)</f>
        <v>0</v>
      </c>
      <c r="N18" s="69">
        <f>IFERROR(__xludf.DUMMYFUNCTION("""COMPUTED_VALUE"""),0.0)</f>
        <v>0</v>
      </c>
      <c r="O18" s="69">
        <f>IFERROR(__xludf.DUMMYFUNCTION("""COMPUTED_VALUE"""),0.0)</f>
        <v>0</v>
      </c>
      <c r="P18" s="69">
        <f>IFERROR(__xludf.DUMMYFUNCTION("""COMPUTED_VALUE"""),0.0)</f>
        <v>0</v>
      </c>
      <c r="Q18" s="69">
        <f>IFERROR(__xludf.DUMMYFUNCTION("""COMPUTED_VALUE"""),0.0)</f>
        <v>0</v>
      </c>
      <c r="R18" s="69">
        <f>IFERROR(__xludf.DUMMYFUNCTION("""COMPUTED_VALUE"""),0.0)</f>
        <v>0</v>
      </c>
      <c r="S18" s="71">
        <f>IFERROR(__xludf.DUMMYFUNCTION("""COMPUTED_VALUE"""),0.0)</f>
        <v>0</v>
      </c>
      <c r="T18" s="72"/>
      <c r="U18" s="135">
        <f>IFERROR(__xludf.DUMMYFUNCTION("""COMPUTED_VALUE"""),0.0)</f>
        <v>0</v>
      </c>
      <c r="V18" s="72"/>
      <c r="W18" s="72"/>
      <c r="X18" s="72"/>
      <c r="Y18" s="72"/>
      <c r="Z18" s="72"/>
      <c r="AA18" s="72"/>
      <c r="AB18" s="72"/>
      <c r="AC18" s="72"/>
      <c r="AD18" s="72"/>
      <c r="AE18" s="72"/>
      <c r="AF18" s="72"/>
      <c r="AG18" s="72"/>
    </row>
    <row r="19" ht="15.75" customHeight="1">
      <c r="A19" s="59" t="s">
        <v>23</v>
      </c>
      <c r="B19" s="52" t="s">
        <v>25</v>
      </c>
      <c r="C19" s="54" t="s">
        <v>26</v>
      </c>
      <c r="D19" s="54" t="s">
        <v>27</v>
      </c>
      <c r="E19" s="59" t="str">
        <f>IFERROR(__xludf.DUMMYFUNCTION("""COMPUTED_VALUE"""),"1-Framework designing and Content creation")</f>
        <v>1-Framework designing and Content creation</v>
      </c>
      <c r="F19" s="94" t="str">
        <f>IFERROR(__xludf.DUMMYFUNCTION("""COMPUTED_VALUE"""),"Communication Cost")</f>
        <v>Communication Cost</v>
      </c>
      <c r="G19" s="69">
        <f>IFERROR(__xludf.DUMMYFUNCTION("""COMPUTED_VALUE"""),0.0)</f>
        <v>0</v>
      </c>
      <c r="H19" s="69">
        <f>IFERROR(__xludf.DUMMYFUNCTION("""COMPUTED_VALUE"""),0.0)</f>
        <v>0</v>
      </c>
      <c r="I19" s="69">
        <f>IFERROR(__xludf.DUMMYFUNCTION("""COMPUTED_VALUE"""),0.0)</f>
        <v>0</v>
      </c>
      <c r="J19" s="69">
        <f>IFERROR(__xludf.DUMMYFUNCTION("""COMPUTED_VALUE"""),0.0)</f>
        <v>0</v>
      </c>
      <c r="K19" s="69">
        <f>IFERROR(__xludf.DUMMYFUNCTION("""COMPUTED_VALUE"""),0.0)</f>
        <v>0</v>
      </c>
      <c r="L19" s="69">
        <f>IFERROR(__xludf.DUMMYFUNCTION("""COMPUTED_VALUE"""),0.0)</f>
        <v>0</v>
      </c>
      <c r="M19" s="69">
        <f>IFERROR(__xludf.DUMMYFUNCTION("""COMPUTED_VALUE"""),0.0)</f>
        <v>0</v>
      </c>
      <c r="N19" s="69">
        <f>IFERROR(__xludf.DUMMYFUNCTION("""COMPUTED_VALUE"""),0.0)</f>
        <v>0</v>
      </c>
      <c r="O19" s="69">
        <f>IFERROR(__xludf.DUMMYFUNCTION("""COMPUTED_VALUE"""),0.0)</f>
        <v>0</v>
      </c>
      <c r="P19" s="69">
        <f>IFERROR(__xludf.DUMMYFUNCTION("""COMPUTED_VALUE"""),0.0)</f>
        <v>0</v>
      </c>
      <c r="Q19" s="69">
        <f>IFERROR(__xludf.DUMMYFUNCTION("""COMPUTED_VALUE"""),0.0)</f>
        <v>0</v>
      </c>
      <c r="R19" s="69">
        <f>IFERROR(__xludf.DUMMYFUNCTION("""COMPUTED_VALUE"""),0.0)</f>
        <v>0</v>
      </c>
      <c r="S19" s="71">
        <f>IFERROR(__xludf.DUMMYFUNCTION("""COMPUTED_VALUE"""),0.0)</f>
        <v>0</v>
      </c>
      <c r="T19" s="72"/>
      <c r="U19" s="135">
        <f>IFERROR(__xludf.DUMMYFUNCTION("""COMPUTED_VALUE"""),0.0)</f>
        <v>0</v>
      </c>
      <c r="V19" s="72"/>
      <c r="W19" s="72"/>
      <c r="X19" s="72"/>
      <c r="Y19" s="72"/>
      <c r="Z19" s="72"/>
      <c r="AA19" s="72"/>
      <c r="AB19" s="72"/>
      <c r="AC19" s="72"/>
      <c r="AD19" s="72"/>
      <c r="AE19" s="72"/>
      <c r="AF19" s="72"/>
      <c r="AG19" s="72"/>
    </row>
    <row r="20" ht="15.75" customHeight="1">
      <c r="A20" s="59" t="s">
        <v>23</v>
      </c>
      <c r="B20" s="52" t="s">
        <v>25</v>
      </c>
      <c r="C20" s="54" t="s">
        <v>26</v>
      </c>
      <c r="D20" s="54" t="s">
        <v>27</v>
      </c>
      <c r="E20" s="59" t="str">
        <f>IFERROR(__xludf.DUMMYFUNCTION("""COMPUTED_VALUE"""),"1-Framework designing and Content creation")</f>
        <v>1-Framework designing and Content creation</v>
      </c>
      <c r="F20" s="94" t="str">
        <f>IFERROR(__xludf.DUMMYFUNCTION("""COMPUTED_VALUE"""),"Communication Cost")</f>
        <v>Communication Cost</v>
      </c>
      <c r="G20" s="69">
        <f>IFERROR(__xludf.DUMMYFUNCTION("""COMPUTED_VALUE"""),0.0)</f>
        <v>0</v>
      </c>
      <c r="H20" s="69">
        <f>IFERROR(__xludf.DUMMYFUNCTION("""COMPUTED_VALUE"""),0.0)</f>
        <v>0</v>
      </c>
      <c r="I20" s="69">
        <f>IFERROR(__xludf.DUMMYFUNCTION("""COMPUTED_VALUE"""),0.0)</f>
        <v>0</v>
      </c>
      <c r="J20" s="69">
        <f>IFERROR(__xludf.DUMMYFUNCTION("""COMPUTED_VALUE"""),0.0)</f>
        <v>0</v>
      </c>
      <c r="K20" s="69">
        <f>IFERROR(__xludf.DUMMYFUNCTION("""COMPUTED_VALUE"""),0.0)</f>
        <v>0</v>
      </c>
      <c r="L20" s="69">
        <f>IFERROR(__xludf.DUMMYFUNCTION("""COMPUTED_VALUE"""),0.0)</f>
        <v>0</v>
      </c>
      <c r="M20" s="69">
        <f>IFERROR(__xludf.DUMMYFUNCTION("""COMPUTED_VALUE"""),0.0)</f>
        <v>0</v>
      </c>
      <c r="N20" s="69">
        <f>IFERROR(__xludf.DUMMYFUNCTION("""COMPUTED_VALUE"""),0.0)</f>
        <v>0</v>
      </c>
      <c r="O20" s="69">
        <f>IFERROR(__xludf.DUMMYFUNCTION("""COMPUTED_VALUE"""),0.0)</f>
        <v>0</v>
      </c>
      <c r="P20" s="69">
        <f>IFERROR(__xludf.DUMMYFUNCTION("""COMPUTED_VALUE"""),0.0)</f>
        <v>0</v>
      </c>
      <c r="Q20" s="69">
        <f>IFERROR(__xludf.DUMMYFUNCTION("""COMPUTED_VALUE"""),0.0)</f>
        <v>0</v>
      </c>
      <c r="R20" s="69">
        <f>IFERROR(__xludf.DUMMYFUNCTION("""COMPUTED_VALUE"""),0.0)</f>
        <v>0</v>
      </c>
      <c r="S20" s="71">
        <f>IFERROR(__xludf.DUMMYFUNCTION("""COMPUTED_VALUE"""),0.0)</f>
        <v>0</v>
      </c>
      <c r="T20" s="72"/>
      <c r="U20" s="135">
        <f>IFERROR(__xludf.DUMMYFUNCTION("""COMPUTED_VALUE"""),0.0)</f>
        <v>0</v>
      </c>
      <c r="V20" s="72"/>
      <c r="W20" s="72"/>
      <c r="X20" s="72"/>
      <c r="Y20" s="72"/>
      <c r="Z20" s="72"/>
      <c r="AA20" s="72"/>
      <c r="AB20" s="72"/>
      <c r="AC20" s="72"/>
      <c r="AD20" s="72"/>
      <c r="AE20" s="72"/>
      <c r="AF20" s="72"/>
      <c r="AG20" s="72"/>
    </row>
    <row r="21" ht="15.75" customHeight="1">
      <c r="A21" s="59" t="s">
        <v>23</v>
      </c>
      <c r="B21" s="52" t="s">
        <v>25</v>
      </c>
      <c r="C21" s="54" t="s">
        <v>26</v>
      </c>
      <c r="D21" s="54" t="s">
        <v>27</v>
      </c>
      <c r="E21" s="59" t="str">
        <f>IFERROR(__xludf.DUMMYFUNCTION("""COMPUTED_VALUE"""),"1-Framework designing and Content creation")</f>
        <v>1-Framework designing and Content creation</v>
      </c>
      <c r="F21" s="94" t="str">
        <f>IFERROR(__xludf.DUMMYFUNCTION("""COMPUTED_VALUE"""),"Communication Cost")</f>
        <v>Communication Cost</v>
      </c>
      <c r="G21" s="69">
        <f>IFERROR(__xludf.DUMMYFUNCTION("""COMPUTED_VALUE"""),0.0)</f>
        <v>0</v>
      </c>
      <c r="H21" s="69">
        <f>IFERROR(__xludf.DUMMYFUNCTION("""COMPUTED_VALUE"""),0.0)</f>
        <v>0</v>
      </c>
      <c r="I21" s="69">
        <f>IFERROR(__xludf.DUMMYFUNCTION("""COMPUTED_VALUE"""),0.0)</f>
        <v>0</v>
      </c>
      <c r="J21" s="69">
        <f>IFERROR(__xludf.DUMMYFUNCTION("""COMPUTED_VALUE"""),0.0)</f>
        <v>0</v>
      </c>
      <c r="K21" s="69">
        <f>IFERROR(__xludf.DUMMYFUNCTION("""COMPUTED_VALUE"""),0.0)</f>
        <v>0</v>
      </c>
      <c r="L21" s="69">
        <f>IFERROR(__xludf.DUMMYFUNCTION("""COMPUTED_VALUE"""),0.0)</f>
        <v>0</v>
      </c>
      <c r="M21" s="69">
        <f>IFERROR(__xludf.DUMMYFUNCTION("""COMPUTED_VALUE"""),0.0)</f>
        <v>0</v>
      </c>
      <c r="N21" s="69">
        <f>IFERROR(__xludf.DUMMYFUNCTION("""COMPUTED_VALUE"""),0.0)</f>
        <v>0</v>
      </c>
      <c r="O21" s="69">
        <f>IFERROR(__xludf.DUMMYFUNCTION("""COMPUTED_VALUE"""),0.0)</f>
        <v>0</v>
      </c>
      <c r="P21" s="69">
        <f>IFERROR(__xludf.DUMMYFUNCTION("""COMPUTED_VALUE"""),0.0)</f>
        <v>0</v>
      </c>
      <c r="Q21" s="69">
        <f>IFERROR(__xludf.DUMMYFUNCTION("""COMPUTED_VALUE"""),0.0)</f>
        <v>0</v>
      </c>
      <c r="R21" s="69">
        <f>IFERROR(__xludf.DUMMYFUNCTION("""COMPUTED_VALUE"""),0.0)</f>
        <v>0</v>
      </c>
      <c r="S21" s="71">
        <f>IFERROR(__xludf.DUMMYFUNCTION("""COMPUTED_VALUE"""),0.0)</f>
        <v>0</v>
      </c>
      <c r="T21" s="72"/>
      <c r="U21" s="135">
        <f>IFERROR(__xludf.DUMMYFUNCTION("""COMPUTED_VALUE"""),0.0)</f>
        <v>0</v>
      </c>
      <c r="V21" s="72"/>
      <c r="W21" s="72"/>
      <c r="X21" s="72"/>
      <c r="Y21" s="72"/>
      <c r="Z21" s="72"/>
      <c r="AA21" s="72"/>
      <c r="AB21" s="72"/>
      <c r="AC21" s="72"/>
      <c r="AD21" s="72"/>
      <c r="AE21" s="72"/>
      <c r="AF21" s="72"/>
      <c r="AG21" s="72"/>
    </row>
    <row r="22" ht="15.75" customHeight="1">
      <c r="A22" s="59" t="s">
        <v>23</v>
      </c>
      <c r="B22" s="52" t="s">
        <v>25</v>
      </c>
      <c r="C22" s="54" t="s">
        <v>26</v>
      </c>
      <c r="D22" s="54" t="s">
        <v>27</v>
      </c>
      <c r="E22" s="59" t="str">
        <f>IFERROR(__xludf.DUMMYFUNCTION("""COMPUTED_VALUE"""),"1-Framework designing and Content creation")</f>
        <v>1-Framework designing and Content creation</v>
      </c>
      <c r="F22" s="132" t="str">
        <f>IFERROR(__xludf.DUMMYFUNCTION("""COMPUTED_VALUE"""),"Office Expenses")</f>
        <v>Office Expenses</v>
      </c>
      <c r="G22" s="69">
        <f>IFERROR(__xludf.DUMMYFUNCTION("""COMPUTED_VALUE"""),0.0)</f>
        <v>0</v>
      </c>
      <c r="H22" s="69"/>
      <c r="I22" s="69"/>
      <c r="J22" s="69"/>
      <c r="K22" s="69"/>
      <c r="L22" s="69"/>
      <c r="M22" s="69"/>
      <c r="N22" s="69"/>
      <c r="O22" s="69"/>
      <c r="P22" s="69"/>
      <c r="Q22" s="69"/>
      <c r="R22" s="69"/>
      <c r="S22" s="71"/>
      <c r="T22" s="72"/>
      <c r="U22" s="135">
        <f>IFERROR(__xludf.DUMMYFUNCTION("""COMPUTED_VALUE"""),0.0)</f>
        <v>0</v>
      </c>
      <c r="V22" s="72"/>
      <c r="W22" s="72"/>
      <c r="X22" s="72"/>
      <c r="Y22" s="72"/>
      <c r="Z22" s="72"/>
      <c r="AA22" s="72"/>
      <c r="AB22" s="72"/>
      <c r="AC22" s="72"/>
      <c r="AD22" s="72"/>
      <c r="AE22" s="72"/>
      <c r="AF22" s="72"/>
      <c r="AG22" s="72"/>
    </row>
    <row r="23" ht="15.75" customHeight="1">
      <c r="A23" s="59" t="s">
        <v>23</v>
      </c>
      <c r="B23" s="52" t="s">
        <v>25</v>
      </c>
      <c r="C23" s="54" t="s">
        <v>26</v>
      </c>
      <c r="D23" s="54" t="s">
        <v>27</v>
      </c>
      <c r="E23" s="59" t="str">
        <f>IFERROR(__xludf.DUMMYFUNCTION("""COMPUTED_VALUE"""),"1-Framework designing and Content creation")</f>
        <v>1-Framework designing and Content creation</v>
      </c>
      <c r="F23" s="132" t="str">
        <f>IFERROR(__xludf.DUMMYFUNCTION("""COMPUTED_VALUE"""),"Office Expenses")</f>
        <v>Office Expenses</v>
      </c>
      <c r="G23" s="69">
        <f>IFERROR(__xludf.DUMMYFUNCTION("""COMPUTED_VALUE"""),0.0)</f>
        <v>0</v>
      </c>
      <c r="H23" s="69"/>
      <c r="I23" s="69"/>
      <c r="J23" s="69"/>
      <c r="K23" s="69"/>
      <c r="L23" s="69"/>
      <c r="M23" s="69"/>
      <c r="N23" s="69"/>
      <c r="O23" s="69"/>
      <c r="P23" s="69"/>
      <c r="Q23" s="69"/>
      <c r="R23" s="69"/>
      <c r="S23" s="71"/>
      <c r="T23" s="72"/>
      <c r="U23" s="135">
        <f>IFERROR(__xludf.DUMMYFUNCTION("""COMPUTED_VALUE"""),0.0)</f>
        <v>0</v>
      </c>
      <c r="V23" s="72"/>
      <c r="W23" s="72"/>
      <c r="X23" s="72"/>
      <c r="Y23" s="72"/>
      <c r="Z23" s="72"/>
      <c r="AA23" s="72"/>
      <c r="AB23" s="72"/>
      <c r="AC23" s="72"/>
      <c r="AD23" s="72"/>
      <c r="AE23" s="72"/>
      <c r="AF23" s="72"/>
      <c r="AG23" s="72"/>
    </row>
    <row r="24" ht="15.75" customHeight="1">
      <c r="A24" s="59" t="s">
        <v>23</v>
      </c>
      <c r="B24" s="52" t="s">
        <v>25</v>
      </c>
      <c r="C24" s="54" t="s">
        <v>26</v>
      </c>
      <c r="D24" s="54" t="s">
        <v>27</v>
      </c>
      <c r="E24" s="59" t="str">
        <f>IFERROR(__xludf.DUMMYFUNCTION("""COMPUTED_VALUE"""),"1-Framework designing and Content creation")</f>
        <v>1-Framework designing and Content creation</v>
      </c>
      <c r="F24" s="132" t="str">
        <f>IFERROR(__xludf.DUMMYFUNCTION("""COMPUTED_VALUE"""),"Office Expenses")</f>
        <v>Office Expenses</v>
      </c>
      <c r="G24" s="69">
        <f>IFERROR(__xludf.DUMMYFUNCTION("""COMPUTED_VALUE"""),0.0)</f>
        <v>0</v>
      </c>
      <c r="H24" s="69"/>
      <c r="I24" s="69"/>
      <c r="J24" s="69"/>
      <c r="K24" s="69"/>
      <c r="L24" s="69"/>
      <c r="M24" s="69"/>
      <c r="N24" s="69"/>
      <c r="O24" s="69"/>
      <c r="P24" s="69"/>
      <c r="Q24" s="69"/>
      <c r="R24" s="69"/>
      <c r="S24" s="71"/>
      <c r="T24" s="72"/>
      <c r="U24" s="135">
        <f>IFERROR(__xludf.DUMMYFUNCTION("""COMPUTED_VALUE"""),0.0)</f>
        <v>0</v>
      </c>
      <c r="V24" s="72"/>
      <c r="W24" s="72"/>
      <c r="X24" s="72"/>
      <c r="Y24" s="72"/>
      <c r="Z24" s="72"/>
      <c r="AA24" s="72"/>
      <c r="AB24" s="72"/>
      <c r="AC24" s="72"/>
      <c r="AD24" s="72"/>
      <c r="AE24" s="72"/>
      <c r="AF24" s="72"/>
      <c r="AG24" s="72"/>
    </row>
    <row r="25" ht="15.75" customHeight="1">
      <c r="A25" s="59" t="s">
        <v>23</v>
      </c>
      <c r="B25" s="52" t="s">
        <v>25</v>
      </c>
      <c r="C25" s="54" t="s">
        <v>26</v>
      </c>
      <c r="D25" s="54" t="s">
        <v>27</v>
      </c>
      <c r="E25" s="132" t="str">
        <f>IFERROR(__xludf.DUMMYFUNCTION("""COMPUTED_VALUE"""),"1-Framework designing and Content creation")</f>
        <v>1-Framework designing and Content creation</v>
      </c>
      <c r="F25" s="132" t="str">
        <f>IFERROR(__xludf.DUMMYFUNCTION("""COMPUTED_VALUE"""),"Professional &amp; Consultancy Charges")</f>
        <v>Professional &amp; Consultancy Charges</v>
      </c>
      <c r="G25" s="97">
        <f>IFERROR(__xludf.DUMMYFUNCTION("""COMPUTED_VALUE"""),0.0)</f>
        <v>0</v>
      </c>
      <c r="H25" s="69"/>
      <c r="I25" s="69"/>
      <c r="J25" s="69"/>
      <c r="K25" s="69"/>
      <c r="L25" s="69"/>
      <c r="M25" s="69"/>
      <c r="N25" s="69"/>
      <c r="O25" s="69"/>
      <c r="P25" s="69"/>
      <c r="Q25" s="69"/>
      <c r="R25" s="69"/>
      <c r="S25" s="71"/>
      <c r="T25" s="72"/>
      <c r="U25" s="135">
        <f>IFERROR(__xludf.DUMMYFUNCTION("""COMPUTED_VALUE"""),0.0)</f>
        <v>0</v>
      </c>
      <c r="V25" s="72"/>
      <c r="W25" s="72"/>
      <c r="X25" s="72"/>
      <c r="Y25" s="72"/>
      <c r="Z25" s="72"/>
      <c r="AA25" s="72"/>
      <c r="AB25" s="72"/>
      <c r="AC25" s="72"/>
      <c r="AD25" s="72"/>
      <c r="AE25" s="72"/>
      <c r="AF25" s="72"/>
      <c r="AG25" s="72"/>
    </row>
    <row r="26" ht="15.75" customHeight="1">
      <c r="A26" s="59" t="s">
        <v>23</v>
      </c>
      <c r="B26" s="52" t="s">
        <v>25</v>
      </c>
      <c r="C26" s="54" t="s">
        <v>26</v>
      </c>
      <c r="D26" s="54" t="s">
        <v>27</v>
      </c>
      <c r="E26" s="132" t="s">
        <v>20</v>
      </c>
      <c r="F26" s="158" t="s">
        <v>73</v>
      </c>
      <c r="G26" s="63"/>
      <c r="H26" s="69"/>
      <c r="I26" s="69"/>
      <c r="J26" s="69"/>
      <c r="K26" s="69"/>
      <c r="L26" s="69"/>
      <c r="M26" s="69"/>
      <c r="N26" s="69"/>
      <c r="O26" s="69"/>
      <c r="P26" s="69"/>
      <c r="Q26" s="69"/>
      <c r="R26" s="69"/>
      <c r="S26" s="71"/>
      <c r="T26" s="136"/>
      <c r="U26" s="136"/>
      <c r="V26" s="136"/>
      <c r="W26" s="136"/>
      <c r="X26" s="136"/>
      <c r="Y26" s="136"/>
      <c r="Z26" s="136"/>
      <c r="AA26" s="136"/>
      <c r="AB26" s="136"/>
      <c r="AC26" s="136"/>
      <c r="AD26" s="136"/>
      <c r="AE26" s="136"/>
      <c r="AF26" s="136"/>
      <c r="AG26" s="136"/>
    </row>
    <row r="27" ht="15.75" customHeight="1">
      <c r="A27" s="137"/>
      <c r="B27" s="137"/>
      <c r="C27" s="137"/>
      <c r="D27" s="137"/>
      <c r="E27" s="139" t="s">
        <v>54</v>
      </c>
      <c r="F27" s="138"/>
      <c r="G27" s="140">
        <f t="shared" ref="G27:S27" si="1">SUM(G3:G26)</f>
        <v>12797024.03</v>
      </c>
      <c r="H27" s="140">
        <f t="shared" si="1"/>
        <v>1242949.607</v>
      </c>
      <c r="I27" s="140">
        <f t="shared" si="1"/>
        <v>1285049.607</v>
      </c>
      <c r="J27" s="140">
        <f t="shared" si="1"/>
        <v>2563864.607</v>
      </c>
      <c r="K27" s="140">
        <f t="shared" si="1"/>
        <v>817732.94</v>
      </c>
      <c r="L27" s="140">
        <f t="shared" si="1"/>
        <v>934782.94</v>
      </c>
      <c r="M27" s="140">
        <f t="shared" si="1"/>
        <v>988096.69</v>
      </c>
      <c r="N27" s="140">
        <f t="shared" si="1"/>
        <v>817732.94</v>
      </c>
      <c r="O27" s="140">
        <f t="shared" si="1"/>
        <v>925532.94</v>
      </c>
      <c r="P27" s="140">
        <f t="shared" si="1"/>
        <v>817732.94</v>
      </c>
      <c r="Q27" s="140">
        <f t="shared" si="1"/>
        <v>936482.94</v>
      </c>
      <c r="R27" s="140">
        <f t="shared" si="1"/>
        <v>733532.94</v>
      </c>
      <c r="S27" s="141">
        <f t="shared" si="1"/>
        <v>733532.94</v>
      </c>
      <c r="T27" s="161"/>
      <c r="U27" s="161"/>
      <c r="V27" s="161"/>
      <c r="W27" s="161"/>
      <c r="X27" s="161"/>
      <c r="Y27" s="161"/>
      <c r="Z27" s="161"/>
      <c r="AA27" s="161"/>
      <c r="AB27" s="161"/>
      <c r="AC27" s="161"/>
      <c r="AD27" s="161"/>
      <c r="AE27" s="161"/>
      <c r="AF27" s="161"/>
      <c r="AG27" s="161"/>
    </row>
    <row r="28" ht="15.75" customHeight="1">
      <c r="T28" s="144"/>
      <c r="U28" s="144"/>
      <c r="V28" s="144"/>
      <c r="W28" s="144"/>
      <c r="X28" s="144"/>
      <c r="Y28" s="144"/>
      <c r="Z28" s="144"/>
      <c r="AA28" s="144"/>
      <c r="AB28" s="144"/>
      <c r="AC28" s="144"/>
      <c r="AD28" s="144"/>
      <c r="AE28" s="144"/>
      <c r="AF28" s="144"/>
      <c r="AG28" s="144"/>
    </row>
    <row r="29" ht="15.75" customHeight="1">
      <c r="T29" s="144"/>
      <c r="U29" s="144"/>
      <c r="V29" s="144"/>
      <c r="W29" s="144"/>
      <c r="X29" s="144"/>
      <c r="Y29" s="144"/>
      <c r="Z29" s="144"/>
      <c r="AA29" s="144"/>
      <c r="AB29" s="144"/>
      <c r="AC29" s="144"/>
      <c r="AD29" s="144"/>
      <c r="AE29" s="144"/>
      <c r="AF29" s="144"/>
      <c r="AG29" s="144"/>
    </row>
    <row r="30" ht="15.75" customHeight="1">
      <c r="A30" s="145"/>
      <c r="B30" s="145"/>
      <c r="C30" s="145"/>
      <c r="D30" s="145"/>
      <c r="E30" s="145"/>
      <c r="F30" s="145"/>
      <c r="G30" s="145"/>
      <c r="H30" s="145"/>
      <c r="I30" s="145"/>
      <c r="J30" s="145"/>
      <c r="K30" s="145"/>
      <c r="L30" s="145"/>
      <c r="M30" s="145"/>
      <c r="N30" s="145"/>
      <c r="O30" s="145"/>
      <c r="P30" s="145"/>
      <c r="Q30" s="145"/>
      <c r="R30" s="145"/>
      <c r="S30" s="145"/>
      <c r="T30" s="72"/>
      <c r="U30" s="72"/>
      <c r="V30" s="72"/>
      <c r="W30" s="72"/>
      <c r="X30" s="72"/>
      <c r="Y30" s="72"/>
      <c r="Z30" s="72"/>
      <c r="AA30" s="72"/>
      <c r="AB30" s="72"/>
      <c r="AC30" s="72"/>
      <c r="AD30" s="72"/>
      <c r="AE30" s="72"/>
      <c r="AF30" s="72"/>
      <c r="AG30" s="72"/>
    </row>
    <row r="31" ht="15.75" customHeight="1">
      <c r="A31" s="145"/>
      <c r="B31" s="145"/>
      <c r="C31" s="145"/>
      <c r="D31" s="145"/>
      <c r="E31" s="145"/>
      <c r="F31" s="145"/>
      <c r="G31" s="145"/>
      <c r="H31" s="145"/>
      <c r="I31" s="145"/>
      <c r="J31" s="145"/>
      <c r="K31" s="145"/>
      <c r="L31" s="145"/>
      <c r="M31" s="145"/>
      <c r="N31" s="145"/>
      <c r="O31" s="145"/>
      <c r="P31" s="145"/>
      <c r="Q31" s="145"/>
      <c r="R31" s="145"/>
      <c r="S31" s="145"/>
      <c r="T31" s="72"/>
      <c r="U31" s="72"/>
      <c r="V31" s="72"/>
      <c r="W31" s="72"/>
      <c r="X31" s="72"/>
      <c r="Y31" s="72"/>
      <c r="Z31" s="72"/>
      <c r="AA31" s="72"/>
      <c r="AB31" s="72"/>
      <c r="AC31" s="72"/>
      <c r="AD31" s="72"/>
      <c r="AE31" s="72"/>
      <c r="AF31" s="72"/>
      <c r="AG31" s="72"/>
    </row>
    <row r="32" ht="15.75" customHeight="1">
      <c r="A32" s="145"/>
      <c r="B32" s="145"/>
      <c r="C32" s="145"/>
      <c r="D32" s="145"/>
      <c r="E32" s="145"/>
      <c r="F32" s="145"/>
      <c r="G32" s="145"/>
      <c r="H32" s="145"/>
      <c r="I32" s="145"/>
      <c r="J32" s="145"/>
      <c r="K32" s="145"/>
      <c r="L32" s="145"/>
      <c r="M32" s="145"/>
      <c r="N32" s="145"/>
      <c r="O32" s="145"/>
      <c r="P32" s="145"/>
      <c r="Q32" s="145"/>
      <c r="R32" s="145"/>
      <c r="S32" s="145"/>
      <c r="T32" s="72"/>
      <c r="U32" s="72"/>
      <c r="V32" s="72"/>
      <c r="W32" s="72"/>
      <c r="X32" s="72"/>
      <c r="Y32" s="72"/>
      <c r="Z32" s="72"/>
      <c r="AA32" s="72"/>
      <c r="AB32" s="72"/>
      <c r="AC32" s="72"/>
      <c r="AD32" s="72"/>
      <c r="AE32" s="72"/>
      <c r="AF32" s="72"/>
      <c r="AG32" s="72"/>
    </row>
    <row r="33" ht="15.75" customHeight="1">
      <c r="A33" s="145"/>
      <c r="B33" s="145"/>
      <c r="C33" s="145"/>
      <c r="D33" s="145"/>
      <c r="E33" s="145"/>
      <c r="F33" s="145"/>
      <c r="G33" s="145"/>
      <c r="H33" s="145"/>
      <c r="I33" s="145"/>
      <c r="J33" s="145"/>
      <c r="K33" s="145"/>
      <c r="L33" s="145"/>
      <c r="M33" s="145"/>
      <c r="N33" s="145"/>
      <c r="O33" s="145"/>
      <c r="P33" s="145"/>
      <c r="Q33" s="145"/>
      <c r="R33" s="145"/>
      <c r="S33" s="145"/>
      <c r="T33" s="72"/>
      <c r="U33" s="72"/>
      <c r="V33" s="72"/>
      <c r="W33" s="72"/>
      <c r="X33" s="72"/>
      <c r="Y33" s="72"/>
      <c r="Z33" s="72"/>
      <c r="AA33" s="72"/>
      <c r="AB33" s="72"/>
      <c r="AC33" s="72"/>
      <c r="AD33" s="72"/>
      <c r="AE33" s="72"/>
      <c r="AF33" s="72"/>
      <c r="AG33" s="72"/>
    </row>
    <row r="34" ht="15.75" customHeight="1">
      <c r="A34" s="145"/>
      <c r="B34" s="145"/>
      <c r="C34" s="145"/>
      <c r="D34" s="145"/>
      <c r="E34" s="145"/>
      <c r="F34" s="145"/>
      <c r="G34" s="145"/>
      <c r="H34" s="145"/>
      <c r="I34" s="145"/>
      <c r="J34" s="145"/>
      <c r="K34" s="145"/>
      <c r="L34" s="145"/>
      <c r="M34" s="145"/>
      <c r="N34" s="145"/>
      <c r="O34" s="145"/>
      <c r="P34" s="145"/>
      <c r="Q34" s="145"/>
      <c r="R34" s="145"/>
      <c r="S34" s="145"/>
      <c r="T34" s="72"/>
      <c r="U34" s="72"/>
      <c r="V34" s="72"/>
      <c r="W34" s="72"/>
      <c r="X34" s="72"/>
      <c r="Y34" s="72"/>
      <c r="Z34" s="72"/>
      <c r="AA34" s="72"/>
      <c r="AB34" s="72"/>
      <c r="AC34" s="72"/>
      <c r="AD34" s="72"/>
      <c r="AE34" s="72"/>
      <c r="AF34" s="72"/>
      <c r="AG34" s="72"/>
    </row>
    <row r="35" ht="15.75" customHeight="1">
      <c r="A35" s="145"/>
      <c r="B35" s="145"/>
      <c r="C35" s="145"/>
      <c r="D35" s="145"/>
      <c r="E35" s="145"/>
      <c r="F35" s="145"/>
      <c r="G35" s="145"/>
      <c r="H35" s="145"/>
      <c r="I35" s="145"/>
      <c r="J35" s="145"/>
      <c r="K35" s="145"/>
      <c r="L35" s="145"/>
      <c r="M35" s="145"/>
      <c r="N35" s="145"/>
      <c r="O35" s="145"/>
      <c r="P35" s="145"/>
      <c r="Q35" s="145"/>
      <c r="R35" s="145"/>
      <c r="S35" s="145"/>
      <c r="T35" s="72"/>
      <c r="U35" s="72"/>
      <c r="V35" s="72"/>
      <c r="W35" s="72"/>
      <c r="X35" s="72"/>
      <c r="Y35" s="72"/>
      <c r="Z35" s="72"/>
      <c r="AA35" s="72"/>
      <c r="AB35" s="72"/>
      <c r="AC35" s="72"/>
      <c r="AD35" s="72"/>
      <c r="AE35" s="72"/>
      <c r="AF35" s="72"/>
      <c r="AG35" s="72"/>
    </row>
    <row r="36" ht="15.75" customHeight="1">
      <c r="A36" s="145"/>
      <c r="B36" s="145"/>
      <c r="C36" s="145"/>
      <c r="D36" s="145"/>
      <c r="E36" s="145"/>
      <c r="F36" s="145"/>
      <c r="G36" s="145"/>
      <c r="H36" s="145"/>
      <c r="I36" s="145"/>
      <c r="J36" s="145"/>
      <c r="K36" s="145"/>
      <c r="L36" s="145"/>
      <c r="M36" s="145"/>
      <c r="N36" s="145"/>
      <c r="O36" s="145"/>
      <c r="P36" s="145"/>
      <c r="Q36" s="145"/>
      <c r="R36" s="145"/>
      <c r="S36" s="145"/>
      <c r="T36" s="72"/>
      <c r="U36" s="72"/>
      <c r="V36" s="72"/>
      <c r="W36" s="72"/>
      <c r="X36" s="72"/>
      <c r="Y36" s="72"/>
      <c r="Z36" s="72"/>
      <c r="AA36" s="72"/>
      <c r="AB36" s="72"/>
      <c r="AC36" s="72"/>
      <c r="AD36" s="72"/>
      <c r="AE36" s="72"/>
      <c r="AF36" s="72"/>
      <c r="AG36" s="72"/>
    </row>
    <row r="37" ht="15.75" customHeight="1">
      <c r="A37" s="145"/>
      <c r="B37" s="145"/>
      <c r="C37" s="145"/>
      <c r="D37" s="145"/>
      <c r="E37" s="145"/>
      <c r="F37" s="145"/>
      <c r="G37" s="145"/>
      <c r="H37" s="145"/>
      <c r="I37" s="145"/>
      <c r="J37" s="145"/>
      <c r="K37" s="145"/>
      <c r="L37" s="145"/>
      <c r="M37" s="145"/>
      <c r="N37" s="145"/>
      <c r="O37" s="145"/>
      <c r="P37" s="145"/>
      <c r="Q37" s="145"/>
      <c r="R37" s="145"/>
      <c r="S37" s="145"/>
      <c r="T37" s="72"/>
      <c r="U37" s="72"/>
      <c r="V37" s="72"/>
      <c r="W37" s="72"/>
      <c r="X37" s="72"/>
      <c r="Y37" s="72"/>
      <c r="Z37" s="72"/>
      <c r="AA37" s="72"/>
      <c r="AB37" s="72"/>
      <c r="AC37" s="72"/>
      <c r="AD37" s="72"/>
      <c r="AE37" s="72"/>
      <c r="AF37" s="72"/>
      <c r="AG37" s="72"/>
    </row>
    <row r="38" ht="15.75" customHeight="1">
      <c r="A38" s="145"/>
      <c r="B38" s="145"/>
      <c r="C38" s="145"/>
      <c r="D38" s="145"/>
      <c r="E38" s="145"/>
      <c r="F38" s="145"/>
      <c r="G38" s="145"/>
      <c r="H38" s="145"/>
      <c r="I38" s="145"/>
      <c r="J38" s="145"/>
      <c r="K38" s="145"/>
      <c r="L38" s="145"/>
      <c r="M38" s="145"/>
      <c r="N38" s="145"/>
      <c r="O38" s="145"/>
      <c r="P38" s="145"/>
      <c r="Q38" s="145"/>
      <c r="R38" s="145"/>
      <c r="S38" s="145"/>
      <c r="T38" s="72"/>
      <c r="U38" s="72"/>
      <c r="V38" s="72"/>
      <c r="W38" s="72"/>
      <c r="X38" s="72"/>
      <c r="Y38" s="72"/>
      <c r="Z38" s="72"/>
      <c r="AA38" s="72"/>
      <c r="AB38" s="72"/>
      <c r="AC38" s="72"/>
      <c r="AD38" s="72"/>
      <c r="AE38" s="72"/>
      <c r="AF38" s="72"/>
      <c r="AG38" s="72"/>
    </row>
    <row r="39" ht="15.75" customHeight="1">
      <c r="A39" s="145"/>
      <c r="B39" s="145"/>
      <c r="C39" s="145"/>
      <c r="D39" s="145"/>
      <c r="E39" s="145"/>
      <c r="F39" s="145"/>
      <c r="G39" s="145"/>
      <c r="H39" s="145"/>
      <c r="I39" s="145"/>
      <c r="J39" s="145"/>
      <c r="K39" s="145"/>
      <c r="L39" s="145"/>
      <c r="M39" s="145"/>
      <c r="N39" s="145"/>
      <c r="O39" s="145"/>
      <c r="P39" s="145"/>
      <c r="Q39" s="145"/>
      <c r="R39" s="145"/>
      <c r="S39" s="145"/>
      <c r="T39" s="72"/>
      <c r="U39" s="72"/>
      <c r="V39" s="72"/>
      <c r="W39" s="72"/>
      <c r="X39" s="72"/>
      <c r="Y39" s="72"/>
      <c r="Z39" s="72"/>
      <c r="AA39" s="72"/>
      <c r="AB39" s="72"/>
      <c r="AC39" s="72"/>
      <c r="AD39" s="72"/>
      <c r="AE39" s="72"/>
      <c r="AF39" s="72"/>
      <c r="AG39" s="72"/>
    </row>
    <row r="40" ht="15.75" customHeight="1">
      <c r="A40" s="145"/>
      <c r="B40" s="145"/>
      <c r="C40" s="145"/>
      <c r="D40" s="145"/>
      <c r="E40" s="145"/>
      <c r="F40" s="145"/>
      <c r="G40" s="145"/>
      <c r="H40" s="145"/>
      <c r="I40" s="145"/>
      <c r="J40" s="145"/>
      <c r="K40" s="145"/>
      <c r="L40" s="145"/>
      <c r="M40" s="145"/>
      <c r="N40" s="145"/>
      <c r="O40" s="145"/>
      <c r="P40" s="145"/>
      <c r="Q40" s="145"/>
      <c r="R40" s="145"/>
      <c r="S40" s="145"/>
      <c r="T40" s="72"/>
      <c r="U40" s="72"/>
      <c r="V40" s="72"/>
      <c r="W40" s="72"/>
      <c r="X40" s="72"/>
      <c r="Y40" s="72"/>
      <c r="Z40" s="72"/>
      <c r="AA40" s="72"/>
      <c r="AB40" s="72"/>
      <c r="AC40" s="72"/>
      <c r="AD40" s="72"/>
      <c r="AE40" s="72"/>
      <c r="AF40" s="72"/>
      <c r="AG40" s="72"/>
    </row>
    <row r="41" ht="15.75" customHeight="1">
      <c r="A41" s="145"/>
      <c r="B41" s="145"/>
      <c r="C41" s="145"/>
      <c r="D41" s="145"/>
      <c r="E41" s="145"/>
      <c r="F41" s="145"/>
      <c r="G41" s="145"/>
      <c r="H41" s="145"/>
      <c r="I41" s="145"/>
      <c r="J41" s="145"/>
      <c r="K41" s="145"/>
      <c r="L41" s="145"/>
      <c r="M41" s="145"/>
      <c r="N41" s="145"/>
      <c r="O41" s="145"/>
      <c r="P41" s="145"/>
      <c r="Q41" s="145"/>
      <c r="R41" s="145"/>
      <c r="S41" s="145"/>
      <c r="T41" s="72"/>
      <c r="U41" s="72"/>
      <c r="V41" s="72"/>
      <c r="W41" s="72"/>
      <c r="X41" s="72"/>
      <c r="Y41" s="72"/>
      <c r="Z41" s="72"/>
      <c r="AA41" s="72"/>
      <c r="AB41" s="72"/>
      <c r="AC41" s="72"/>
      <c r="AD41" s="72"/>
      <c r="AE41" s="72"/>
      <c r="AF41" s="72"/>
      <c r="AG41" s="72"/>
    </row>
    <row r="42" ht="15.75" customHeight="1">
      <c r="A42" s="145"/>
      <c r="B42" s="145"/>
      <c r="C42" s="145"/>
      <c r="D42" s="145"/>
      <c r="E42" s="145"/>
      <c r="F42" s="145"/>
      <c r="G42" s="145"/>
      <c r="H42" s="145"/>
      <c r="I42" s="145"/>
      <c r="J42" s="145"/>
      <c r="K42" s="145"/>
      <c r="L42" s="145"/>
      <c r="M42" s="145"/>
      <c r="N42" s="145"/>
      <c r="O42" s="145"/>
      <c r="P42" s="145"/>
      <c r="Q42" s="145"/>
      <c r="R42" s="145"/>
      <c r="S42" s="145"/>
      <c r="T42" s="72"/>
      <c r="U42" s="72"/>
      <c r="V42" s="72"/>
      <c r="W42" s="72"/>
      <c r="X42" s="72"/>
      <c r="Y42" s="72"/>
      <c r="Z42" s="72"/>
      <c r="AA42" s="72"/>
      <c r="AB42" s="72"/>
      <c r="AC42" s="72"/>
      <c r="AD42" s="72"/>
      <c r="AE42" s="72"/>
      <c r="AF42" s="72"/>
      <c r="AG42" s="72"/>
    </row>
    <row r="43" ht="15.75" customHeight="1">
      <c r="A43" s="145"/>
      <c r="B43" s="145"/>
      <c r="C43" s="145"/>
      <c r="D43" s="145"/>
      <c r="E43" s="145"/>
      <c r="F43" s="145"/>
      <c r="G43" s="145"/>
      <c r="H43" s="145"/>
      <c r="I43" s="145"/>
      <c r="J43" s="145"/>
      <c r="K43" s="145"/>
      <c r="L43" s="145"/>
      <c r="M43" s="145"/>
      <c r="N43" s="145"/>
      <c r="O43" s="145"/>
      <c r="P43" s="145"/>
      <c r="Q43" s="145"/>
      <c r="R43" s="145"/>
      <c r="S43" s="145"/>
      <c r="T43" s="72"/>
      <c r="U43" s="72"/>
      <c r="V43" s="72"/>
      <c r="W43" s="72"/>
      <c r="X43" s="72"/>
      <c r="Y43" s="72"/>
      <c r="Z43" s="72"/>
      <c r="AA43" s="72"/>
      <c r="AB43" s="72"/>
      <c r="AC43" s="72"/>
      <c r="AD43" s="72"/>
      <c r="AE43" s="72"/>
      <c r="AF43" s="72"/>
      <c r="AG43" s="72"/>
    </row>
    <row r="44" ht="15.75" customHeight="1">
      <c r="A44" s="145"/>
      <c r="B44" s="145"/>
      <c r="C44" s="145"/>
      <c r="D44" s="145"/>
      <c r="E44" s="145"/>
      <c r="F44" s="145"/>
      <c r="G44" s="145"/>
      <c r="H44" s="145"/>
      <c r="I44" s="145"/>
      <c r="J44" s="145"/>
      <c r="K44" s="145"/>
      <c r="L44" s="145"/>
      <c r="M44" s="145"/>
      <c r="N44" s="145"/>
      <c r="O44" s="145"/>
      <c r="P44" s="145"/>
      <c r="Q44" s="145"/>
      <c r="R44" s="145"/>
      <c r="S44" s="145"/>
      <c r="T44" s="72"/>
      <c r="U44" s="72"/>
      <c r="V44" s="72"/>
      <c r="W44" s="72"/>
      <c r="X44" s="72"/>
      <c r="Y44" s="72"/>
      <c r="Z44" s="72"/>
      <c r="AA44" s="72"/>
      <c r="AB44" s="72"/>
      <c r="AC44" s="72"/>
      <c r="AD44" s="72"/>
      <c r="AE44" s="72"/>
      <c r="AF44" s="72"/>
      <c r="AG44" s="72"/>
    </row>
    <row r="45" ht="15.75" customHeight="1">
      <c r="A45" s="145"/>
      <c r="B45" s="145"/>
      <c r="C45" s="145"/>
      <c r="D45" s="145"/>
      <c r="E45" s="145"/>
      <c r="F45" s="145"/>
      <c r="G45" s="145"/>
      <c r="H45" s="145"/>
      <c r="I45" s="145"/>
      <c r="J45" s="145"/>
      <c r="K45" s="145"/>
      <c r="L45" s="145"/>
      <c r="M45" s="145"/>
      <c r="N45" s="145"/>
      <c r="O45" s="145"/>
      <c r="P45" s="145"/>
      <c r="Q45" s="145"/>
      <c r="R45" s="145"/>
      <c r="S45" s="145"/>
      <c r="T45" s="72"/>
      <c r="U45" s="72"/>
      <c r="V45" s="72"/>
      <c r="W45" s="72"/>
      <c r="X45" s="72"/>
      <c r="Y45" s="72"/>
      <c r="Z45" s="72"/>
      <c r="AA45" s="72"/>
      <c r="AB45" s="72"/>
      <c r="AC45" s="72"/>
      <c r="AD45" s="72"/>
      <c r="AE45" s="72"/>
      <c r="AF45" s="72"/>
      <c r="AG45" s="72"/>
    </row>
    <row r="46" ht="15.75" customHeight="1">
      <c r="A46" s="145"/>
      <c r="B46" s="145"/>
      <c r="C46" s="145"/>
      <c r="D46" s="145"/>
      <c r="E46" s="145"/>
      <c r="F46" s="145"/>
      <c r="G46" s="145"/>
      <c r="H46" s="145"/>
      <c r="I46" s="145"/>
      <c r="J46" s="145"/>
      <c r="K46" s="145"/>
      <c r="L46" s="145"/>
      <c r="M46" s="145"/>
      <c r="N46" s="145"/>
      <c r="O46" s="145"/>
      <c r="P46" s="145"/>
      <c r="Q46" s="145"/>
      <c r="R46" s="145"/>
      <c r="S46" s="145"/>
      <c r="T46" s="72"/>
      <c r="U46" s="72"/>
      <c r="V46" s="72"/>
      <c r="W46" s="72"/>
      <c r="X46" s="72"/>
      <c r="Y46" s="72"/>
      <c r="Z46" s="72"/>
      <c r="AA46" s="72"/>
      <c r="AB46" s="72"/>
      <c r="AC46" s="72"/>
      <c r="AD46" s="72"/>
      <c r="AE46" s="72"/>
      <c r="AF46" s="72"/>
      <c r="AG46" s="72"/>
    </row>
    <row r="47" ht="15.75" customHeight="1">
      <c r="A47" s="145"/>
      <c r="B47" s="145"/>
      <c r="C47" s="145"/>
      <c r="D47" s="145"/>
      <c r="E47" s="145"/>
      <c r="F47" s="145"/>
      <c r="G47" s="145"/>
      <c r="H47" s="145"/>
      <c r="I47" s="145"/>
      <c r="J47" s="145"/>
      <c r="K47" s="145"/>
      <c r="L47" s="145"/>
      <c r="M47" s="145"/>
      <c r="N47" s="145"/>
      <c r="O47" s="145"/>
      <c r="P47" s="145"/>
      <c r="Q47" s="145"/>
      <c r="R47" s="145"/>
      <c r="S47" s="145"/>
      <c r="T47" s="72"/>
      <c r="U47" s="72"/>
      <c r="V47" s="72"/>
      <c r="W47" s="72"/>
      <c r="X47" s="72"/>
      <c r="Y47" s="72"/>
      <c r="Z47" s="72"/>
      <c r="AA47" s="72"/>
      <c r="AB47" s="72"/>
      <c r="AC47" s="72"/>
      <c r="AD47" s="72"/>
      <c r="AE47" s="72"/>
      <c r="AF47" s="72"/>
      <c r="AG47" s="72"/>
    </row>
    <row r="48" ht="15.75" customHeight="1">
      <c r="A48" s="145"/>
      <c r="B48" s="145"/>
      <c r="C48" s="145"/>
      <c r="D48" s="145"/>
      <c r="E48" s="145"/>
      <c r="F48" s="145"/>
      <c r="G48" s="145"/>
      <c r="H48" s="145"/>
      <c r="I48" s="145"/>
      <c r="J48" s="145"/>
      <c r="K48" s="145"/>
      <c r="L48" s="145"/>
      <c r="M48" s="145"/>
      <c r="N48" s="145"/>
      <c r="O48" s="145"/>
      <c r="P48" s="145"/>
      <c r="Q48" s="145"/>
      <c r="R48" s="145"/>
      <c r="S48" s="145"/>
      <c r="T48" s="72"/>
      <c r="U48" s="72"/>
      <c r="V48" s="72"/>
      <c r="W48" s="72"/>
      <c r="X48" s="72"/>
      <c r="Y48" s="72"/>
      <c r="Z48" s="72"/>
      <c r="AA48" s="72"/>
      <c r="AB48" s="72"/>
      <c r="AC48" s="72"/>
      <c r="AD48" s="72"/>
      <c r="AE48" s="72"/>
      <c r="AF48" s="72"/>
      <c r="AG48" s="72"/>
    </row>
    <row r="49" ht="15.75" customHeight="1">
      <c r="A49" s="145"/>
      <c r="B49" s="145"/>
      <c r="C49" s="145"/>
      <c r="D49" s="145"/>
      <c r="E49" s="145"/>
      <c r="F49" s="145"/>
      <c r="G49" s="145"/>
      <c r="H49" s="145"/>
      <c r="I49" s="145"/>
      <c r="J49" s="145"/>
      <c r="K49" s="145"/>
      <c r="L49" s="145"/>
      <c r="M49" s="145"/>
      <c r="N49" s="145"/>
      <c r="O49" s="145"/>
      <c r="P49" s="145"/>
      <c r="Q49" s="145"/>
      <c r="R49" s="145"/>
      <c r="S49" s="145"/>
      <c r="T49" s="72"/>
      <c r="U49" s="72"/>
      <c r="V49" s="72"/>
      <c r="W49" s="72"/>
      <c r="X49" s="72"/>
      <c r="Y49" s="72"/>
      <c r="Z49" s="72"/>
      <c r="AA49" s="72"/>
      <c r="AB49" s="72"/>
      <c r="AC49" s="72"/>
      <c r="AD49" s="72"/>
      <c r="AE49" s="72"/>
      <c r="AF49" s="72"/>
      <c r="AG49" s="72"/>
    </row>
    <row r="50" ht="15.75" customHeight="1">
      <c r="A50" s="145"/>
      <c r="B50" s="145"/>
      <c r="C50" s="145"/>
      <c r="D50" s="145"/>
      <c r="E50" s="145"/>
      <c r="F50" s="145"/>
      <c r="G50" s="145"/>
      <c r="H50" s="145"/>
      <c r="I50" s="145"/>
      <c r="J50" s="145"/>
      <c r="K50" s="145"/>
      <c r="L50" s="145"/>
      <c r="M50" s="145"/>
      <c r="N50" s="145"/>
      <c r="O50" s="145"/>
      <c r="P50" s="145"/>
      <c r="Q50" s="145"/>
      <c r="R50" s="145"/>
      <c r="S50" s="145"/>
      <c r="T50" s="72"/>
      <c r="U50" s="72"/>
      <c r="V50" s="72"/>
      <c r="W50" s="72"/>
      <c r="X50" s="72"/>
      <c r="Y50" s="72"/>
      <c r="Z50" s="72"/>
      <c r="AA50" s="72"/>
      <c r="AB50" s="72"/>
      <c r="AC50" s="72"/>
      <c r="AD50" s="72"/>
      <c r="AE50" s="72"/>
      <c r="AF50" s="72"/>
      <c r="AG50" s="72"/>
    </row>
    <row r="51" ht="15.75" customHeight="1">
      <c r="A51" s="145"/>
      <c r="B51" s="145"/>
      <c r="C51" s="145"/>
      <c r="D51" s="145"/>
      <c r="E51" s="145"/>
      <c r="F51" s="145"/>
      <c r="G51" s="145"/>
      <c r="H51" s="145"/>
      <c r="I51" s="145"/>
      <c r="J51" s="145"/>
      <c r="K51" s="145"/>
      <c r="L51" s="145"/>
      <c r="M51" s="145"/>
      <c r="N51" s="145"/>
      <c r="O51" s="145"/>
      <c r="P51" s="145"/>
      <c r="Q51" s="145"/>
      <c r="R51" s="145"/>
      <c r="S51" s="145"/>
      <c r="T51" s="72"/>
      <c r="U51" s="72"/>
      <c r="V51" s="72"/>
      <c r="W51" s="72"/>
      <c r="X51" s="72"/>
      <c r="Y51" s="72"/>
      <c r="Z51" s="72"/>
      <c r="AA51" s="72"/>
      <c r="AB51" s="72"/>
      <c r="AC51" s="72"/>
      <c r="AD51" s="72"/>
      <c r="AE51" s="72"/>
      <c r="AF51" s="72"/>
      <c r="AG51" s="72"/>
    </row>
    <row r="52" ht="15.75" customHeight="1">
      <c r="A52" s="145"/>
      <c r="B52" s="145"/>
      <c r="C52" s="145"/>
      <c r="D52" s="145"/>
      <c r="E52" s="145"/>
      <c r="F52" s="145"/>
      <c r="G52" s="145"/>
      <c r="H52" s="145"/>
      <c r="I52" s="145"/>
      <c r="J52" s="145"/>
      <c r="K52" s="145"/>
      <c r="L52" s="145"/>
      <c r="M52" s="145"/>
      <c r="N52" s="145"/>
      <c r="O52" s="145"/>
      <c r="P52" s="145"/>
      <c r="Q52" s="145"/>
      <c r="R52" s="145"/>
      <c r="S52" s="145"/>
      <c r="T52" s="72"/>
      <c r="U52" s="72"/>
      <c r="V52" s="72"/>
      <c r="W52" s="72"/>
      <c r="X52" s="72"/>
      <c r="Y52" s="72"/>
      <c r="Z52" s="72"/>
      <c r="AA52" s="72"/>
      <c r="AB52" s="72"/>
      <c r="AC52" s="72"/>
      <c r="AD52" s="72"/>
      <c r="AE52" s="72"/>
      <c r="AF52" s="72"/>
      <c r="AG52" s="72"/>
    </row>
    <row r="53" ht="15.75" customHeight="1">
      <c r="A53" s="145"/>
      <c r="B53" s="145"/>
      <c r="C53" s="145"/>
      <c r="D53" s="145"/>
      <c r="E53" s="145"/>
      <c r="F53" s="145"/>
      <c r="G53" s="145"/>
      <c r="H53" s="145"/>
      <c r="I53" s="145"/>
      <c r="J53" s="145"/>
      <c r="K53" s="145"/>
      <c r="L53" s="145"/>
      <c r="M53" s="145"/>
      <c r="N53" s="145"/>
      <c r="O53" s="145"/>
      <c r="P53" s="145"/>
      <c r="Q53" s="145"/>
      <c r="R53" s="145"/>
      <c r="S53" s="145"/>
      <c r="T53" s="72"/>
      <c r="U53" s="72"/>
      <c r="V53" s="72"/>
      <c r="W53" s="72"/>
      <c r="X53" s="72"/>
      <c r="Y53" s="72"/>
      <c r="Z53" s="72"/>
      <c r="AA53" s="72"/>
      <c r="AB53" s="72"/>
      <c r="AC53" s="72"/>
      <c r="AD53" s="72"/>
      <c r="AE53" s="72"/>
      <c r="AF53" s="72"/>
      <c r="AG53" s="72"/>
    </row>
    <row r="54" ht="15.75" customHeight="1">
      <c r="A54" s="145"/>
      <c r="B54" s="145"/>
      <c r="C54" s="145"/>
      <c r="D54" s="145"/>
      <c r="E54" s="145"/>
      <c r="F54" s="145"/>
      <c r="G54" s="145"/>
      <c r="H54" s="145"/>
      <c r="I54" s="145"/>
      <c r="J54" s="145"/>
      <c r="K54" s="145"/>
      <c r="L54" s="145"/>
      <c r="M54" s="145"/>
      <c r="N54" s="145"/>
      <c r="O54" s="145"/>
      <c r="P54" s="145"/>
      <c r="Q54" s="145"/>
      <c r="R54" s="145"/>
      <c r="S54" s="145"/>
      <c r="T54" s="72"/>
      <c r="U54" s="72"/>
      <c r="V54" s="72"/>
      <c r="W54" s="72"/>
      <c r="X54" s="72"/>
      <c r="Y54" s="72"/>
      <c r="Z54" s="72"/>
      <c r="AA54" s="72"/>
      <c r="AB54" s="72"/>
      <c r="AC54" s="72"/>
      <c r="AD54" s="72"/>
      <c r="AE54" s="72"/>
      <c r="AF54" s="72"/>
      <c r="AG54" s="72"/>
    </row>
    <row r="55" ht="15.75" customHeight="1">
      <c r="A55" s="145"/>
      <c r="B55" s="145"/>
      <c r="C55" s="145"/>
      <c r="D55" s="145"/>
      <c r="E55" s="145"/>
      <c r="F55" s="145"/>
      <c r="G55" s="145"/>
      <c r="H55" s="145"/>
      <c r="I55" s="145"/>
      <c r="J55" s="145"/>
      <c r="K55" s="145"/>
      <c r="L55" s="145"/>
      <c r="M55" s="145"/>
      <c r="N55" s="145"/>
      <c r="O55" s="145"/>
      <c r="P55" s="145"/>
      <c r="Q55" s="145"/>
      <c r="R55" s="145"/>
      <c r="S55" s="145"/>
      <c r="T55" s="72"/>
      <c r="U55" s="72"/>
      <c r="V55" s="72"/>
      <c r="W55" s="72"/>
      <c r="X55" s="72"/>
      <c r="Y55" s="72"/>
      <c r="Z55" s="72"/>
      <c r="AA55" s="72"/>
      <c r="AB55" s="72"/>
      <c r="AC55" s="72"/>
      <c r="AD55" s="72"/>
      <c r="AE55" s="72"/>
      <c r="AF55" s="72"/>
      <c r="AG55" s="72"/>
    </row>
    <row r="56" ht="15.75" customHeight="1">
      <c r="A56" s="145"/>
      <c r="B56" s="145"/>
      <c r="C56" s="145"/>
      <c r="D56" s="145"/>
      <c r="E56" s="145"/>
      <c r="F56" s="145"/>
      <c r="G56" s="145"/>
      <c r="H56" s="145"/>
      <c r="I56" s="145"/>
      <c r="J56" s="145"/>
      <c r="K56" s="145"/>
      <c r="L56" s="145"/>
      <c r="M56" s="145"/>
      <c r="N56" s="145"/>
      <c r="O56" s="145"/>
      <c r="P56" s="145"/>
      <c r="Q56" s="145"/>
      <c r="R56" s="145"/>
      <c r="S56" s="145"/>
      <c r="T56" s="72"/>
      <c r="U56" s="72"/>
      <c r="V56" s="72"/>
      <c r="W56" s="72"/>
      <c r="X56" s="72"/>
      <c r="Y56" s="72"/>
      <c r="Z56" s="72"/>
      <c r="AA56" s="72"/>
      <c r="AB56" s="72"/>
      <c r="AC56" s="72"/>
      <c r="AD56" s="72"/>
      <c r="AE56" s="72"/>
      <c r="AF56" s="72"/>
      <c r="AG56" s="72"/>
    </row>
    <row r="57" ht="15.75" customHeight="1">
      <c r="A57" s="145"/>
      <c r="B57" s="145"/>
      <c r="C57" s="145"/>
      <c r="D57" s="145"/>
      <c r="E57" s="145"/>
      <c r="F57" s="145"/>
      <c r="G57" s="145"/>
      <c r="H57" s="145"/>
      <c r="I57" s="145"/>
      <c r="J57" s="145"/>
      <c r="K57" s="145"/>
      <c r="L57" s="145"/>
      <c r="M57" s="145"/>
      <c r="N57" s="145"/>
      <c r="O57" s="145"/>
      <c r="P57" s="145"/>
      <c r="Q57" s="145"/>
      <c r="R57" s="145"/>
      <c r="S57" s="145"/>
      <c r="T57" s="72"/>
      <c r="U57" s="72"/>
      <c r="V57" s="72"/>
      <c r="W57" s="72"/>
      <c r="X57" s="72"/>
      <c r="Y57" s="72"/>
      <c r="Z57" s="72"/>
      <c r="AA57" s="72"/>
      <c r="AB57" s="72"/>
      <c r="AC57" s="72"/>
      <c r="AD57" s="72"/>
      <c r="AE57" s="72"/>
      <c r="AF57" s="72"/>
      <c r="AG57" s="72"/>
    </row>
    <row r="58" ht="15.75" customHeight="1">
      <c r="A58" s="145"/>
      <c r="B58" s="145"/>
      <c r="C58" s="145"/>
      <c r="D58" s="145"/>
      <c r="E58" s="145"/>
      <c r="F58" s="145"/>
      <c r="G58" s="145"/>
      <c r="H58" s="145"/>
      <c r="I58" s="145"/>
      <c r="J58" s="145"/>
      <c r="K58" s="145"/>
      <c r="L58" s="145"/>
      <c r="M58" s="145"/>
      <c r="N58" s="145"/>
      <c r="O58" s="145"/>
      <c r="P58" s="145"/>
      <c r="Q58" s="145"/>
      <c r="R58" s="145"/>
      <c r="S58" s="145"/>
      <c r="T58" s="72"/>
      <c r="U58" s="72"/>
      <c r="V58" s="72"/>
      <c r="W58" s="72"/>
      <c r="X58" s="72"/>
      <c r="Y58" s="72"/>
      <c r="Z58" s="72"/>
      <c r="AA58" s="72"/>
      <c r="AB58" s="72"/>
      <c r="AC58" s="72"/>
      <c r="AD58" s="72"/>
      <c r="AE58" s="72"/>
      <c r="AF58" s="72"/>
      <c r="AG58" s="72"/>
    </row>
    <row r="59" ht="15.75" customHeight="1">
      <c r="A59" s="145"/>
      <c r="B59" s="145"/>
      <c r="C59" s="145"/>
      <c r="D59" s="145"/>
      <c r="E59" s="145"/>
      <c r="F59" s="145"/>
      <c r="G59" s="145"/>
      <c r="H59" s="145"/>
      <c r="I59" s="145"/>
      <c r="J59" s="145"/>
      <c r="K59" s="145"/>
      <c r="L59" s="145"/>
      <c r="M59" s="145"/>
      <c r="N59" s="145"/>
      <c r="O59" s="145"/>
      <c r="P59" s="145"/>
      <c r="Q59" s="145"/>
      <c r="R59" s="145"/>
      <c r="S59" s="145"/>
      <c r="T59" s="72"/>
      <c r="U59" s="72"/>
      <c r="V59" s="72"/>
      <c r="W59" s="72"/>
      <c r="X59" s="72"/>
      <c r="Y59" s="72"/>
      <c r="Z59" s="72"/>
      <c r="AA59" s="72"/>
      <c r="AB59" s="72"/>
      <c r="AC59" s="72"/>
      <c r="AD59" s="72"/>
      <c r="AE59" s="72"/>
      <c r="AF59" s="72"/>
      <c r="AG59" s="72"/>
    </row>
    <row r="60" ht="15.75" customHeight="1">
      <c r="A60" s="145"/>
      <c r="B60" s="145"/>
      <c r="C60" s="145"/>
      <c r="D60" s="145"/>
      <c r="E60" s="145"/>
      <c r="F60" s="145"/>
      <c r="G60" s="145"/>
      <c r="H60" s="145"/>
      <c r="I60" s="145"/>
      <c r="J60" s="145"/>
      <c r="K60" s="145"/>
      <c r="L60" s="145"/>
      <c r="M60" s="145"/>
      <c r="N60" s="145"/>
      <c r="O60" s="145"/>
      <c r="P60" s="145"/>
      <c r="Q60" s="145"/>
      <c r="R60" s="145"/>
      <c r="S60" s="145"/>
      <c r="T60" s="72"/>
      <c r="U60" s="72"/>
      <c r="V60" s="72"/>
      <c r="W60" s="72"/>
      <c r="X60" s="72"/>
      <c r="Y60" s="72"/>
      <c r="Z60" s="72"/>
      <c r="AA60" s="72"/>
      <c r="AB60" s="72"/>
      <c r="AC60" s="72"/>
      <c r="AD60" s="72"/>
      <c r="AE60" s="72"/>
      <c r="AF60" s="72"/>
      <c r="AG60" s="72"/>
    </row>
    <row r="61" ht="15.75" customHeight="1">
      <c r="A61" s="145"/>
      <c r="B61" s="145"/>
      <c r="C61" s="145"/>
      <c r="D61" s="145"/>
      <c r="E61" s="145"/>
      <c r="F61" s="145"/>
      <c r="G61" s="145"/>
      <c r="H61" s="145"/>
      <c r="I61" s="145"/>
      <c r="J61" s="145"/>
      <c r="K61" s="145"/>
      <c r="L61" s="145"/>
      <c r="M61" s="145"/>
      <c r="N61" s="145"/>
      <c r="O61" s="145"/>
      <c r="P61" s="145"/>
      <c r="Q61" s="145"/>
      <c r="R61" s="145"/>
      <c r="S61" s="145"/>
      <c r="T61" s="72"/>
      <c r="U61" s="72"/>
      <c r="V61" s="72"/>
      <c r="W61" s="72"/>
      <c r="X61" s="72"/>
      <c r="Y61" s="72"/>
      <c r="Z61" s="72"/>
      <c r="AA61" s="72"/>
      <c r="AB61" s="72"/>
      <c r="AC61" s="72"/>
      <c r="AD61" s="72"/>
      <c r="AE61" s="72"/>
      <c r="AF61" s="72"/>
      <c r="AG61" s="72"/>
    </row>
    <row r="62" ht="15.75" customHeight="1">
      <c r="A62" s="145"/>
      <c r="B62" s="145"/>
      <c r="C62" s="145"/>
      <c r="D62" s="145"/>
      <c r="E62" s="145"/>
      <c r="F62" s="145"/>
      <c r="G62" s="145"/>
      <c r="H62" s="145"/>
      <c r="I62" s="145"/>
      <c r="J62" s="145"/>
      <c r="K62" s="145"/>
      <c r="L62" s="145"/>
      <c r="M62" s="145"/>
      <c r="N62" s="145"/>
      <c r="O62" s="145"/>
      <c r="P62" s="145"/>
      <c r="Q62" s="145"/>
      <c r="R62" s="145"/>
      <c r="S62" s="145"/>
      <c r="T62" s="72"/>
      <c r="U62" s="72"/>
      <c r="V62" s="72"/>
      <c r="W62" s="72"/>
      <c r="X62" s="72"/>
      <c r="Y62" s="72"/>
      <c r="Z62" s="72"/>
      <c r="AA62" s="72"/>
      <c r="AB62" s="72"/>
      <c r="AC62" s="72"/>
      <c r="AD62" s="72"/>
      <c r="AE62" s="72"/>
      <c r="AF62" s="72"/>
      <c r="AG62" s="72"/>
    </row>
    <row r="63" ht="15.75" customHeight="1">
      <c r="A63" s="145"/>
      <c r="B63" s="145"/>
      <c r="C63" s="145"/>
      <c r="D63" s="145"/>
      <c r="E63" s="145"/>
      <c r="F63" s="145"/>
      <c r="G63" s="145"/>
      <c r="H63" s="145"/>
      <c r="I63" s="145"/>
      <c r="J63" s="145"/>
      <c r="K63" s="145"/>
      <c r="L63" s="145"/>
      <c r="M63" s="145"/>
      <c r="N63" s="145"/>
      <c r="O63" s="145"/>
      <c r="P63" s="145"/>
      <c r="Q63" s="145"/>
      <c r="R63" s="145"/>
      <c r="S63" s="145"/>
      <c r="T63" s="72"/>
      <c r="U63" s="72"/>
      <c r="V63" s="72"/>
      <c r="W63" s="72"/>
      <c r="X63" s="72"/>
      <c r="Y63" s="72"/>
      <c r="Z63" s="72"/>
      <c r="AA63" s="72"/>
      <c r="AB63" s="72"/>
      <c r="AC63" s="72"/>
      <c r="AD63" s="72"/>
      <c r="AE63" s="72"/>
      <c r="AF63" s="72"/>
      <c r="AG63" s="72"/>
    </row>
    <row r="64" ht="15.75" customHeight="1">
      <c r="A64" s="145"/>
      <c r="B64" s="145"/>
      <c r="C64" s="145"/>
      <c r="D64" s="145"/>
      <c r="E64" s="145"/>
      <c r="F64" s="145"/>
      <c r="G64" s="145"/>
      <c r="H64" s="145"/>
      <c r="I64" s="145"/>
      <c r="J64" s="145"/>
      <c r="K64" s="145"/>
      <c r="L64" s="145"/>
      <c r="M64" s="145"/>
      <c r="N64" s="145"/>
      <c r="O64" s="145"/>
      <c r="P64" s="145"/>
      <c r="Q64" s="145"/>
      <c r="R64" s="145"/>
      <c r="S64" s="145"/>
      <c r="T64" s="72"/>
      <c r="U64" s="72"/>
      <c r="V64" s="72"/>
      <c r="W64" s="72"/>
      <c r="X64" s="72"/>
      <c r="Y64" s="72"/>
      <c r="Z64" s="72"/>
      <c r="AA64" s="72"/>
      <c r="AB64" s="72"/>
      <c r="AC64" s="72"/>
      <c r="AD64" s="72"/>
      <c r="AE64" s="72"/>
      <c r="AF64" s="72"/>
      <c r="AG64" s="72"/>
    </row>
    <row r="65" ht="15.75" customHeight="1">
      <c r="A65" s="145"/>
      <c r="B65" s="145"/>
      <c r="C65" s="145"/>
      <c r="D65" s="145"/>
      <c r="E65" s="145"/>
      <c r="F65" s="145"/>
      <c r="G65" s="145"/>
      <c r="H65" s="145"/>
      <c r="I65" s="145"/>
      <c r="J65" s="145"/>
      <c r="K65" s="145"/>
      <c r="L65" s="145"/>
      <c r="M65" s="145"/>
      <c r="N65" s="145"/>
      <c r="O65" s="145"/>
      <c r="P65" s="145"/>
      <c r="Q65" s="145"/>
      <c r="R65" s="145"/>
      <c r="S65" s="145"/>
      <c r="T65" s="72"/>
      <c r="U65" s="72"/>
      <c r="V65" s="72"/>
      <c r="W65" s="72"/>
      <c r="X65" s="72"/>
      <c r="Y65" s="72"/>
      <c r="Z65" s="72"/>
      <c r="AA65" s="72"/>
      <c r="AB65" s="72"/>
      <c r="AC65" s="72"/>
      <c r="AD65" s="72"/>
      <c r="AE65" s="72"/>
      <c r="AF65" s="72"/>
      <c r="AG65" s="72"/>
    </row>
    <row r="66" ht="15.75" customHeight="1">
      <c r="A66" s="145"/>
      <c r="B66" s="145"/>
      <c r="C66" s="145"/>
      <c r="D66" s="145"/>
      <c r="E66" s="145"/>
      <c r="F66" s="145"/>
      <c r="G66" s="145"/>
      <c r="H66" s="145"/>
      <c r="I66" s="145"/>
      <c r="J66" s="145"/>
      <c r="K66" s="145"/>
      <c r="L66" s="145"/>
      <c r="M66" s="145"/>
      <c r="N66" s="145"/>
      <c r="O66" s="145"/>
      <c r="P66" s="145"/>
      <c r="Q66" s="145"/>
      <c r="R66" s="145"/>
      <c r="S66" s="145"/>
      <c r="T66" s="72"/>
      <c r="U66" s="72"/>
      <c r="V66" s="72"/>
      <c r="W66" s="72"/>
      <c r="X66" s="72"/>
      <c r="Y66" s="72"/>
      <c r="Z66" s="72"/>
      <c r="AA66" s="72"/>
      <c r="AB66" s="72"/>
      <c r="AC66" s="72"/>
      <c r="AD66" s="72"/>
      <c r="AE66" s="72"/>
      <c r="AF66" s="72"/>
      <c r="AG66" s="72"/>
    </row>
    <row r="67" ht="15.75" customHeight="1">
      <c r="A67" s="145"/>
      <c r="B67" s="145"/>
      <c r="C67" s="145"/>
      <c r="D67" s="145"/>
      <c r="E67" s="145"/>
      <c r="F67" s="145"/>
      <c r="G67" s="145"/>
      <c r="H67" s="145"/>
      <c r="I67" s="145"/>
      <c r="J67" s="145"/>
      <c r="K67" s="145"/>
      <c r="L67" s="145"/>
      <c r="M67" s="145"/>
      <c r="N67" s="145"/>
      <c r="O67" s="145"/>
      <c r="P67" s="145"/>
      <c r="Q67" s="145"/>
      <c r="R67" s="145"/>
      <c r="S67" s="145"/>
      <c r="T67" s="72"/>
      <c r="U67" s="72"/>
      <c r="V67" s="72"/>
      <c r="W67" s="72"/>
      <c r="X67" s="72"/>
      <c r="Y67" s="72"/>
      <c r="Z67" s="72"/>
      <c r="AA67" s="72"/>
      <c r="AB67" s="72"/>
      <c r="AC67" s="72"/>
      <c r="AD67" s="72"/>
      <c r="AE67" s="72"/>
      <c r="AF67" s="72"/>
      <c r="AG67" s="72"/>
    </row>
    <row r="68" ht="15.75" customHeight="1">
      <c r="A68" s="145"/>
      <c r="B68" s="145"/>
      <c r="C68" s="145"/>
      <c r="D68" s="145"/>
      <c r="E68" s="145"/>
      <c r="F68" s="145"/>
      <c r="G68" s="145"/>
      <c r="H68" s="145"/>
      <c r="I68" s="145"/>
      <c r="J68" s="145"/>
      <c r="K68" s="145"/>
      <c r="L68" s="145"/>
      <c r="M68" s="145"/>
      <c r="N68" s="145"/>
      <c r="O68" s="145"/>
      <c r="P68" s="145"/>
      <c r="Q68" s="145"/>
      <c r="R68" s="145"/>
      <c r="S68" s="145"/>
      <c r="T68" s="72"/>
      <c r="U68" s="72"/>
      <c r="V68" s="72"/>
      <c r="W68" s="72"/>
      <c r="X68" s="72"/>
      <c r="Y68" s="72"/>
      <c r="Z68" s="72"/>
      <c r="AA68" s="72"/>
      <c r="AB68" s="72"/>
      <c r="AC68" s="72"/>
      <c r="AD68" s="72"/>
      <c r="AE68" s="72"/>
      <c r="AF68" s="72"/>
      <c r="AG68" s="72"/>
    </row>
    <row r="69" ht="15.75" customHeight="1">
      <c r="A69" s="145"/>
      <c r="B69" s="145"/>
      <c r="C69" s="145"/>
      <c r="D69" s="145"/>
      <c r="E69" s="145"/>
      <c r="F69" s="145"/>
      <c r="G69" s="145"/>
      <c r="H69" s="145"/>
      <c r="I69" s="145"/>
      <c r="J69" s="145"/>
      <c r="K69" s="145"/>
      <c r="L69" s="145"/>
      <c r="M69" s="145"/>
      <c r="N69" s="145"/>
      <c r="O69" s="145"/>
      <c r="P69" s="145"/>
      <c r="Q69" s="145"/>
      <c r="R69" s="145"/>
      <c r="S69" s="145"/>
      <c r="T69" s="72"/>
      <c r="U69" s="72"/>
      <c r="V69" s="72"/>
      <c r="W69" s="72"/>
      <c r="X69" s="72"/>
      <c r="Y69" s="72"/>
      <c r="Z69" s="72"/>
      <c r="AA69" s="72"/>
      <c r="AB69" s="72"/>
      <c r="AC69" s="72"/>
      <c r="AD69" s="72"/>
      <c r="AE69" s="72"/>
      <c r="AF69" s="72"/>
      <c r="AG69" s="72"/>
    </row>
    <row r="70" ht="15.75" customHeight="1">
      <c r="A70" s="145"/>
      <c r="B70" s="145"/>
      <c r="C70" s="145"/>
      <c r="D70" s="145"/>
      <c r="E70" s="145"/>
      <c r="F70" s="145"/>
      <c r="G70" s="145"/>
      <c r="H70" s="145"/>
      <c r="I70" s="145"/>
      <c r="J70" s="145"/>
      <c r="K70" s="145"/>
      <c r="L70" s="145"/>
      <c r="M70" s="145"/>
      <c r="N70" s="145"/>
      <c r="O70" s="145"/>
      <c r="P70" s="145"/>
      <c r="Q70" s="145"/>
      <c r="R70" s="145"/>
      <c r="S70" s="145"/>
      <c r="T70" s="72"/>
      <c r="U70" s="72"/>
      <c r="V70" s="72"/>
      <c r="W70" s="72"/>
      <c r="X70" s="72"/>
      <c r="Y70" s="72"/>
      <c r="Z70" s="72"/>
      <c r="AA70" s="72"/>
      <c r="AB70" s="72"/>
      <c r="AC70" s="72"/>
      <c r="AD70" s="72"/>
      <c r="AE70" s="72"/>
      <c r="AF70" s="72"/>
      <c r="AG70" s="72"/>
    </row>
    <row r="71" ht="15.75" customHeight="1">
      <c r="A71" s="145"/>
      <c r="B71" s="145"/>
      <c r="C71" s="145"/>
      <c r="D71" s="145"/>
      <c r="E71" s="145"/>
      <c r="F71" s="145"/>
      <c r="G71" s="145"/>
      <c r="H71" s="145"/>
      <c r="I71" s="145"/>
      <c r="J71" s="145"/>
      <c r="K71" s="145"/>
      <c r="L71" s="145"/>
      <c r="M71" s="145"/>
      <c r="N71" s="145"/>
      <c r="O71" s="145"/>
      <c r="P71" s="145"/>
      <c r="Q71" s="145"/>
      <c r="R71" s="145"/>
      <c r="S71" s="145"/>
      <c r="T71" s="72"/>
      <c r="U71" s="72"/>
      <c r="V71" s="72"/>
      <c r="W71" s="72"/>
      <c r="X71" s="72"/>
      <c r="Y71" s="72"/>
      <c r="Z71" s="72"/>
      <c r="AA71" s="72"/>
      <c r="AB71" s="72"/>
      <c r="AC71" s="72"/>
      <c r="AD71" s="72"/>
      <c r="AE71" s="72"/>
      <c r="AF71" s="72"/>
      <c r="AG71" s="72"/>
    </row>
    <row r="72" ht="15.75" customHeight="1">
      <c r="A72" s="145"/>
      <c r="B72" s="145"/>
      <c r="C72" s="145"/>
      <c r="D72" s="145"/>
      <c r="E72" s="145"/>
      <c r="F72" s="145"/>
      <c r="G72" s="145"/>
      <c r="H72" s="145"/>
      <c r="I72" s="145"/>
      <c r="J72" s="145"/>
      <c r="K72" s="145"/>
      <c r="L72" s="145"/>
      <c r="M72" s="145"/>
      <c r="N72" s="145"/>
      <c r="O72" s="145"/>
      <c r="P72" s="145"/>
      <c r="Q72" s="145"/>
      <c r="R72" s="145"/>
      <c r="S72" s="145"/>
      <c r="T72" s="72"/>
      <c r="U72" s="72"/>
      <c r="V72" s="72"/>
      <c r="W72" s="72"/>
      <c r="X72" s="72"/>
      <c r="Y72" s="72"/>
      <c r="Z72" s="72"/>
      <c r="AA72" s="72"/>
      <c r="AB72" s="72"/>
      <c r="AC72" s="72"/>
      <c r="AD72" s="72"/>
      <c r="AE72" s="72"/>
      <c r="AF72" s="72"/>
      <c r="AG72" s="72"/>
    </row>
    <row r="73" ht="15.75" customHeight="1">
      <c r="A73" s="145"/>
      <c r="B73" s="145"/>
      <c r="C73" s="145"/>
      <c r="D73" s="145"/>
      <c r="E73" s="145"/>
      <c r="F73" s="145"/>
      <c r="G73" s="145"/>
      <c r="H73" s="145"/>
      <c r="I73" s="145"/>
      <c r="J73" s="145"/>
      <c r="K73" s="145"/>
      <c r="L73" s="145"/>
      <c r="M73" s="145"/>
      <c r="N73" s="145"/>
      <c r="O73" s="145"/>
      <c r="P73" s="145"/>
      <c r="Q73" s="145"/>
      <c r="R73" s="145"/>
      <c r="S73" s="145"/>
      <c r="T73" s="72"/>
      <c r="U73" s="72"/>
      <c r="V73" s="72"/>
      <c r="W73" s="72"/>
      <c r="X73" s="72"/>
      <c r="Y73" s="72"/>
      <c r="Z73" s="72"/>
      <c r="AA73" s="72"/>
      <c r="AB73" s="72"/>
      <c r="AC73" s="72"/>
      <c r="AD73" s="72"/>
      <c r="AE73" s="72"/>
      <c r="AF73" s="72"/>
      <c r="AG73" s="72"/>
    </row>
    <row r="74" ht="15.75" customHeight="1">
      <c r="A74" s="145"/>
      <c r="B74" s="145"/>
      <c r="C74" s="145"/>
      <c r="D74" s="145"/>
      <c r="E74" s="145"/>
      <c r="F74" s="145"/>
      <c r="G74" s="145"/>
      <c r="H74" s="145"/>
      <c r="I74" s="145"/>
      <c r="J74" s="145"/>
      <c r="K74" s="145"/>
      <c r="L74" s="145"/>
      <c r="M74" s="145"/>
      <c r="N74" s="145"/>
      <c r="O74" s="145"/>
      <c r="P74" s="145"/>
      <c r="Q74" s="145"/>
      <c r="R74" s="145"/>
      <c r="S74" s="145"/>
      <c r="T74" s="72"/>
      <c r="U74" s="72"/>
      <c r="V74" s="72"/>
      <c r="W74" s="72"/>
      <c r="X74" s="72"/>
      <c r="Y74" s="72"/>
      <c r="Z74" s="72"/>
      <c r="AA74" s="72"/>
      <c r="AB74" s="72"/>
      <c r="AC74" s="72"/>
      <c r="AD74" s="72"/>
      <c r="AE74" s="72"/>
      <c r="AF74" s="72"/>
      <c r="AG74" s="72"/>
    </row>
    <row r="75" ht="15.75" customHeight="1">
      <c r="A75" s="145"/>
      <c r="B75" s="145"/>
      <c r="C75" s="145"/>
      <c r="D75" s="145"/>
      <c r="E75" s="145"/>
      <c r="F75" s="145"/>
      <c r="G75" s="145"/>
      <c r="H75" s="145"/>
      <c r="I75" s="145"/>
      <c r="J75" s="145"/>
      <c r="K75" s="145"/>
      <c r="L75" s="145"/>
      <c r="M75" s="145"/>
      <c r="N75" s="145"/>
      <c r="O75" s="145"/>
      <c r="P75" s="145"/>
      <c r="Q75" s="145"/>
      <c r="R75" s="145"/>
      <c r="S75" s="145"/>
      <c r="T75" s="72"/>
      <c r="U75" s="72"/>
      <c r="V75" s="72"/>
      <c r="W75" s="72"/>
      <c r="X75" s="72"/>
      <c r="Y75" s="72"/>
      <c r="Z75" s="72"/>
      <c r="AA75" s="72"/>
      <c r="AB75" s="72"/>
      <c r="AC75" s="72"/>
      <c r="AD75" s="72"/>
      <c r="AE75" s="72"/>
      <c r="AF75" s="72"/>
      <c r="AG75" s="72"/>
    </row>
    <row r="76" ht="15.75" customHeight="1">
      <c r="A76" s="145"/>
      <c r="B76" s="145"/>
      <c r="C76" s="145"/>
      <c r="D76" s="145"/>
      <c r="E76" s="145"/>
      <c r="F76" s="145"/>
      <c r="G76" s="145"/>
      <c r="H76" s="145"/>
      <c r="I76" s="145"/>
      <c r="J76" s="145"/>
      <c r="K76" s="145"/>
      <c r="L76" s="145"/>
      <c r="M76" s="145"/>
      <c r="N76" s="145"/>
      <c r="O76" s="145"/>
      <c r="P76" s="145"/>
      <c r="Q76" s="145"/>
      <c r="R76" s="145"/>
      <c r="S76" s="145"/>
      <c r="T76" s="72"/>
      <c r="U76" s="72"/>
      <c r="V76" s="72"/>
      <c r="W76" s="72"/>
      <c r="X76" s="72"/>
      <c r="Y76" s="72"/>
      <c r="Z76" s="72"/>
      <c r="AA76" s="72"/>
      <c r="AB76" s="72"/>
      <c r="AC76" s="72"/>
      <c r="AD76" s="72"/>
      <c r="AE76" s="72"/>
      <c r="AF76" s="72"/>
      <c r="AG76" s="72"/>
    </row>
    <row r="77" ht="15.75" customHeight="1">
      <c r="A77" s="145"/>
      <c r="B77" s="145"/>
      <c r="C77" s="145"/>
      <c r="D77" s="145"/>
      <c r="E77" s="145"/>
      <c r="F77" s="145"/>
      <c r="G77" s="145"/>
      <c r="H77" s="145"/>
      <c r="I77" s="145"/>
      <c r="J77" s="145"/>
      <c r="K77" s="145"/>
      <c r="L77" s="145"/>
      <c r="M77" s="145"/>
      <c r="N77" s="145"/>
      <c r="O77" s="145"/>
      <c r="P77" s="145"/>
      <c r="Q77" s="145"/>
      <c r="R77" s="145"/>
      <c r="S77" s="145"/>
      <c r="T77" s="72"/>
      <c r="U77" s="72"/>
      <c r="V77" s="72"/>
      <c r="W77" s="72"/>
      <c r="X77" s="72"/>
      <c r="Y77" s="72"/>
      <c r="Z77" s="72"/>
      <c r="AA77" s="72"/>
      <c r="AB77" s="72"/>
      <c r="AC77" s="72"/>
      <c r="AD77" s="72"/>
      <c r="AE77" s="72"/>
      <c r="AF77" s="72"/>
      <c r="AG77" s="72"/>
    </row>
    <row r="78" ht="15.75" customHeight="1">
      <c r="A78" s="145"/>
      <c r="B78" s="145"/>
      <c r="C78" s="145"/>
      <c r="D78" s="145"/>
      <c r="E78" s="145"/>
      <c r="F78" s="145"/>
      <c r="G78" s="145"/>
      <c r="H78" s="145"/>
      <c r="I78" s="145"/>
      <c r="J78" s="145"/>
      <c r="K78" s="145"/>
      <c r="L78" s="145"/>
      <c r="M78" s="145"/>
      <c r="N78" s="145"/>
      <c r="O78" s="145"/>
      <c r="P78" s="145"/>
      <c r="Q78" s="145"/>
      <c r="R78" s="145"/>
      <c r="S78" s="145"/>
      <c r="T78" s="72"/>
      <c r="U78" s="72"/>
      <c r="V78" s="72"/>
      <c r="W78" s="72"/>
      <c r="X78" s="72"/>
      <c r="Y78" s="72"/>
      <c r="Z78" s="72"/>
      <c r="AA78" s="72"/>
      <c r="AB78" s="72"/>
      <c r="AC78" s="72"/>
      <c r="AD78" s="72"/>
      <c r="AE78" s="72"/>
      <c r="AF78" s="72"/>
      <c r="AG78" s="72"/>
    </row>
    <row r="79" ht="15.75" customHeight="1">
      <c r="A79" s="145"/>
      <c r="B79" s="145"/>
      <c r="C79" s="145"/>
      <c r="D79" s="145"/>
      <c r="E79" s="145"/>
      <c r="F79" s="145"/>
      <c r="G79" s="145"/>
      <c r="H79" s="145"/>
      <c r="I79" s="145"/>
      <c r="J79" s="145"/>
      <c r="K79" s="145"/>
      <c r="L79" s="145"/>
      <c r="M79" s="145"/>
      <c r="N79" s="145"/>
      <c r="O79" s="145"/>
      <c r="P79" s="145"/>
      <c r="Q79" s="145"/>
      <c r="R79" s="145"/>
      <c r="S79" s="145"/>
      <c r="T79" s="72"/>
      <c r="U79" s="72"/>
      <c r="V79" s="72"/>
      <c r="W79" s="72"/>
      <c r="X79" s="72"/>
      <c r="Y79" s="72"/>
      <c r="Z79" s="72"/>
      <c r="AA79" s="72"/>
      <c r="AB79" s="72"/>
      <c r="AC79" s="72"/>
      <c r="AD79" s="72"/>
      <c r="AE79" s="72"/>
      <c r="AF79" s="72"/>
      <c r="AG79" s="72"/>
    </row>
    <row r="80" ht="15.75" customHeight="1">
      <c r="A80" s="145"/>
      <c r="B80" s="145"/>
      <c r="C80" s="145"/>
      <c r="D80" s="145"/>
      <c r="E80" s="145"/>
      <c r="F80" s="145"/>
      <c r="G80" s="145"/>
      <c r="H80" s="145"/>
      <c r="I80" s="145"/>
      <c r="J80" s="145"/>
      <c r="K80" s="145"/>
      <c r="L80" s="145"/>
      <c r="M80" s="145"/>
      <c r="N80" s="145"/>
      <c r="O80" s="145"/>
      <c r="P80" s="145"/>
      <c r="Q80" s="145"/>
      <c r="R80" s="145"/>
      <c r="S80" s="145"/>
      <c r="T80" s="72"/>
      <c r="U80" s="72"/>
      <c r="V80" s="72"/>
      <c r="W80" s="72"/>
      <c r="X80" s="72"/>
      <c r="Y80" s="72"/>
      <c r="Z80" s="72"/>
      <c r="AA80" s="72"/>
      <c r="AB80" s="72"/>
      <c r="AC80" s="72"/>
      <c r="AD80" s="72"/>
      <c r="AE80" s="72"/>
      <c r="AF80" s="72"/>
      <c r="AG80" s="72"/>
    </row>
    <row r="81" ht="15.75" customHeight="1">
      <c r="A81" s="145"/>
      <c r="B81" s="145"/>
      <c r="C81" s="145"/>
      <c r="D81" s="145"/>
      <c r="E81" s="145"/>
      <c r="F81" s="145"/>
      <c r="G81" s="145"/>
      <c r="H81" s="145"/>
      <c r="I81" s="145"/>
      <c r="J81" s="145"/>
      <c r="K81" s="145"/>
      <c r="L81" s="145"/>
      <c r="M81" s="145"/>
      <c r="N81" s="145"/>
      <c r="O81" s="145"/>
      <c r="P81" s="145"/>
      <c r="Q81" s="145"/>
      <c r="R81" s="145"/>
      <c r="S81" s="145"/>
      <c r="T81" s="72"/>
      <c r="U81" s="72"/>
      <c r="V81" s="72"/>
      <c r="W81" s="72"/>
      <c r="X81" s="72"/>
      <c r="Y81" s="72"/>
      <c r="Z81" s="72"/>
      <c r="AA81" s="72"/>
      <c r="AB81" s="72"/>
      <c r="AC81" s="72"/>
      <c r="AD81" s="72"/>
      <c r="AE81" s="72"/>
      <c r="AF81" s="72"/>
      <c r="AG81" s="72"/>
    </row>
    <row r="82" ht="15.75" customHeight="1">
      <c r="A82" s="145"/>
      <c r="B82" s="145"/>
      <c r="C82" s="145"/>
      <c r="D82" s="145"/>
      <c r="E82" s="145"/>
      <c r="F82" s="145"/>
      <c r="G82" s="145"/>
      <c r="H82" s="145"/>
      <c r="I82" s="145"/>
      <c r="J82" s="145"/>
      <c r="K82" s="145"/>
      <c r="L82" s="145"/>
      <c r="M82" s="145"/>
      <c r="N82" s="145"/>
      <c r="O82" s="145"/>
      <c r="P82" s="145"/>
      <c r="Q82" s="145"/>
      <c r="R82" s="145"/>
      <c r="S82" s="145"/>
      <c r="T82" s="72"/>
      <c r="U82" s="72"/>
      <c r="V82" s="72"/>
      <c r="W82" s="72"/>
      <c r="X82" s="72"/>
      <c r="Y82" s="72"/>
      <c r="Z82" s="72"/>
      <c r="AA82" s="72"/>
      <c r="AB82" s="72"/>
      <c r="AC82" s="72"/>
      <c r="AD82" s="72"/>
      <c r="AE82" s="72"/>
      <c r="AF82" s="72"/>
      <c r="AG82" s="72"/>
    </row>
    <row r="83" ht="15.75" customHeight="1">
      <c r="A83" s="145"/>
      <c r="B83" s="145"/>
      <c r="C83" s="145"/>
      <c r="D83" s="145"/>
      <c r="E83" s="145"/>
      <c r="F83" s="145"/>
      <c r="G83" s="145"/>
      <c r="H83" s="145"/>
      <c r="I83" s="145"/>
      <c r="J83" s="145"/>
      <c r="K83" s="145"/>
      <c r="L83" s="145"/>
      <c r="M83" s="145"/>
      <c r="N83" s="145"/>
      <c r="O83" s="145"/>
      <c r="P83" s="145"/>
      <c r="Q83" s="145"/>
      <c r="R83" s="145"/>
      <c r="S83" s="145"/>
      <c r="T83" s="72"/>
      <c r="U83" s="72"/>
      <c r="V83" s="72"/>
      <c r="W83" s="72"/>
      <c r="X83" s="72"/>
      <c r="Y83" s="72"/>
      <c r="Z83" s="72"/>
      <c r="AA83" s="72"/>
      <c r="AB83" s="72"/>
      <c r="AC83" s="72"/>
      <c r="AD83" s="72"/>
      <c r="AE83" s="72"/>
      <c r="AF83" s="72"/>
      <c r="AG83" s="72"/>
    </row>
    <row r="84" ht="15.75" customHeight="1">
      <c r="A84" s="145"/>
      <c r="B84" s="145"/>
      <c r="C84" s="145"/>
      <c r="D84" s="145"/>
      <c r="E84" s="145"/>
      <c r="F84" s="145"/>
      <c r="G84" s="145"/>
      <c r="H84" s="145"/>
      <c r="I84" s="145"/>
      <c r="J84" s="145"/>
      <c r="K84" s="145"/>
      <c r="L84" s="145"/>
      <c r="M84" s="145"/>
      <c r="N84" s="145"/>
      <c r="O84" s="145"/>
      <c r="P84" s="145"/>
      <c r="Q84" s="145"/>
      <c r="R84" s="145"/>
      <c r="S84" s="145"/>
      <c r="T84" s="72"/>
      <c r="U84" s="72"/>
      <c r="V84" s="72"/>
      <c r="W84" s="72"/>
      <c r="X84" s="72"/>
      <c r="Y84" s="72"/>
      <c r="Z84" s="72"/>
      <c r="AA84" s="72"/>
      <c r="AB84" s="72"/>
      <c r="AC84" s="72"/>
      <c r="AD84" s="72"/>
      <c r="AE84" s="72"/>
      <c r="AF84" s="72"/>
      <c r="AG84" s="72"/>
    </row>
    <row r="85" ht="15.75" customHeight="1">
      <c r="A85" s="145"/>
      <c r="B85" s="145"/>
      <c r="C85" s="145"/>
      <c r="D85" s="145"/>
      <c r="E85" s="145"/>
      <c r="F85" s="145"/>
      <c r="G85" s="145"/>
      <c r="H85" s="145"/>
      <c r="I85" s="145"/>
      <c r="J85" s="145"/>
      <c r="K85" s="145"/>
      <c r="L85" s="145"/>
      <c r="M85" s="145"/>
      <c r="N85" s="145"/>
      <c r="O85" s="145"/>
      <c r="P85" s="145"/>
      <c r="Q85" s="145"/>
      <c r="R85" s="145"/>
      <c r="S85" s="145"/>
      <c r="T85" s="72"/>
      <c r="U85" s="72"/>
      <c r="V85" s="72"/>
      <c r="W85" s="72"/>
      <c r="X85" s="72"/>
      <c r="Y85" s="72"/>
      <c r="Z85" s="72"/>
      <c r="AA85" s="72"/>
      <c r="AB85" s="72"/>
      <c r="AC85" s="72"/>
      <c r="AD85" s="72"/>
      <c r="AE85" s="72"/>
      <c r="AF85" s="72"/>
      <c r="AG85" s="72"/>
    </row>
    <row r="86" ht="15.75" customHeight="1">
      <c r="A86" s="145"/>
      <c r="B86" s="145"/>
      <c r="C86" s="145"/>
      <c r="D86" s="145"/>
      <c r="E86" s="145"/>
      <c r="F86" s="145"/>
      <c r="G86" s="145"/>
      <c r="H86" s="145"/>
      <c r="I86" s="145"/>
      <c r="J86" s="145"/>
      <c r="K86" s="145"/>
      <c r="L86" s="145"/>
      <c r="M86" s="145"/>
      <c r="N86" s="145"/>
      <c r="O86" s="145"/>
      <c r="P86" s="145"/>
      <c r="Q86" s="145"/>
      <c r="R86" s="145"/>
      <c r="S86" s="145"/>
      <c r="T86" s="72"/>
      <c r="U86" s="72"/>
      <c r="V86" s="72"/>
      <c r="W86" s="72"/>
      <c r="X86" s="72"/>
      <c r="Y86" s="72"/>
      <c r="Z86" s="72"/>
      <c r="AA86" s="72"/>
      <c r="AB86" s="72"/>
      <c r="AC86" s="72"/>
      <c r="AD86" s="72"/>
      <c r="AE86" s="72"/>
      <c r="AF86" s="72"/>
      <c r="AG86" s="72"/>
    </row>
    <row r="87" ht="15.75" customHeight="1">
      <c r="A87" s="145"/>
      <c r="B87" s="145"/>
      <c r="C87" s="145"/>
      <c r="D87" s="145"/>
      <c r="E87" s="145"/>
      <c r="F87" s="145"/>
      <c r="G87" s="145"/>
      <c r="H87" s="145"/>
      <c r="I87" s="145"/>
      <c r="J87" s="145"/>
      <c r="K87" s="145"/>
      <c r="L87" s="145"/>
      <c r="M87" s="145"/>
      <c r="N87" s="145"/>
      <c r="O87" s="145"/>
      <c r="P87" s="145"/>
      <c r="Q87" s="145"/>
      <c r="R87" s="145"/>
      <c r="S87" s="145"/>
      <c r="T87" s="72"/>
      <c r="U87" s="72"/>
      <c r="V87" s="72"/>
      <c r="W87" s="72"/>
      <c r="X87" s="72"/>
      <c r="Y87" s="72"/>
      <c r="Z87" s="72"/>
      <c r="AA87" s="72"/>
      <c r="AB87" s="72"/>
      <c r="AC87" s="72"/>
      <c r="AD87" s="72"/>
      <c r="AE87" s="72"/>
      <c r="AF87" s="72"/>
      <c r="AG87" s="72"/>
    </row>
    <row r="88" ht="15.75" customHeight="1">
      <c r="A88" s="145"/>
      <c r="B88" s="145"/>
      <c r="C88" s="145"/>
      <c r="D88" s="145"/>
      <c r="E88" s="145"/>
      <c r="F88" s="145"/>
      <c r="G88" s="145"/>
      <c r="H88" s="145"/>
      <c r="I88" s="145"/>
      <c r="J88" s="145"/>
      <c r="K88" s="145"/>
      <c r="L88" s="145"/>
      <c r="M88" s="145"/>
      <c r="N88" s="145"/>
      <c r="O88" s="145"/>
      <c r="P88" s="145"/>
      <c r="Q88" s="145"/>
      <c r="R88" s="145"/>
      <c r="S88" s="145"/>
      <c r="T88" s="72"/>
      <c r="U88" s="72"/>
      <c r="V88" s="72"/>
      <c r="W88" s="72"/>
      <c r="X88" s="72"/>
      <c r="Y88" s="72"/>
      <c r="Z88" s="72"/>
      <c r="AA88" s="72"/>
      <c r="AB88" s="72"/>
      <c r="AC88" s="72"/>
      <c r="AD88" s="72"/>
      <c r="AE88" s="72"/>
      <c r="AF88" s="72"/>
      <c r="AG88" s="72"/>
    </row>
    <row r="89" ht="15.75" customHeight="1">
      <c r="A89" s="145"/>
      <c r="B89" s="145"/>
      <c r="C89" s="145"/>
      <c r="D89" s="145"/>
      <c r="E89" s="145"/>
      <c r="F89" s="145"/>
      <c r="G89" s="145"/>
      <c r="H89" s="145"/>
      <c r="I89" s="145"/>
      <c r="J89" s="145"/>
      <c r="K89" s="145"/>
      <c r="L89" s="145"/>
      <c r="M89" s="145"/>
      <c r="N89" s="145"/>
      <c r="O89" s="145"/>
      <c r="P89" s="145"/>
      <c r="Q89" s="145"/>
      <c r="R89" s="145"/>
      <c r="S89" s="145"/>
      <c r="T89" s="72"/>
      <c r="U89" s="72"/>
      <c r="V89" s="72"/>
      <c r="W89" s="72"/>
      <c r="X89" s="72"/>
      <c r="Y89" s="72"/>
      <c r="Z89" s="72"/>
      <c r="AA89" s="72"/>
      <c r="AB89" s="72"/>
      <c r="AC89" s="72"/>
      <c r="AD89" s="72"/>
      <c r="AE89" s="72"/>
      <c r="AF89" s="72"/>
      <c r="AG89" s="72"/>
    </row>
    <row r="90" ht="15.75" customHeight="1">
      <c r="A90" s="145"/>
      <c r="B90" s="145"/>
      <c r="C90" s="145"/>
      <c r="D90" s="145"/>
      <c r="E90" s="145"/>
      <c r="F90" s="145"/>
      <c r="G90" s="145"/>
      <c r="H90" s="145"/>
      <c r="I90" s="145"/>
      <c r="J90" s="145"/>
      <c r="K90" s="145"/>
      <c r="L90" s="145"/>
      <c r="M90" s="145"/>
      <c r="N90" s="145"/>
      <c r="O90" s="145"/>
      <c r="P90" s="145"/>
      <c r="Q90" s="145"/>
      <c r="R90" s="145"/>
      <c r="S90" s="145"/>
      <c r="T90" s="72"/>
      <c r="U90" s="72"/>
      <c r="V90" s="72"/>
      <c r="W90" s="72"/>
      <c r="X90" s="72"/>
      <c r="Y90" s="72"/>
      <c r="Z90" s="72"/>
      <c r="AA90" s="72"/>
      <c r="AB90" s="72"/>
      <c r="AC90" s="72"/>
      <c r="AD90" s="72"/>
      <c r="AE90" s="72"/>
      <c r="AF90" s="72"/>
      <c r="AG90" s="72"/>
    </row>
    <row r="91" ht="15.75" customHeight="1">
      <c r="A91" s="145"/>
      <c r="B91" s="145"/>
      <c r="C91" s="145"/>
      <c r="D91" s="145"/>
      <c r="E91" s="145"/>
      <c r="F91" s="145"/>
      <c r="G91" s="145"/>
      <c r="H91" s="145"/>
      <c r="I91" s="145"/>
      <c r="J91" s="145"/>
      <c r="K91" s="145"/>
      <c r="L91" s="145"/>
      <c r="M91" s="145"/>
      <c r="N91" s="145"/>
      <c r="O91" s="145"/>
      <c r="P91" s="145"/>
      <c r="Q91" s="145"/>
      <c r="R91" s="145"/>
      <c r="S91" s="145"/>
      <c r="T91" s="72"/>
      <c r="U91" s="72"/>
      <c r="V91" s="72"/>
      <c r="W91" s="72"/>
      <c r="X91" s="72"/>
      <c r="Y91" s="72"/>
      <c r="Z91" s="72"/>
      <c r="AA91" s="72"/>
      <c r="AB91" s="72"/>
      <c r="AC91" s="72"/>
      <c r="AD91" s="72"/>
      <c r="AE91" s="72"/>
      <c r="AF91" s="72"/>
      <c r="AG91" s="72"/>
    </row>
    <row r="92" ht="15.75" customHeight="1">
      <c r="A92" s="145"/>
      <c r="B92" s="145"/>
      <c r="C92" s="145"/>
      <c r="D92" s="145"/>
      <c r="E92" s="145"/>
      <c r="F92" s="145"/>
      <c r="G92" s="145"/>
      <c r="H92" s="145"/>
      <c r="I92" s="145"/>
      <c r="J92" s="145"/>
      <c r="K92" s="145"/>
      <c r="L92" s="145"/>
      <c r="M92" s="145"/>
      <c r="N92" s="145"/>
      <c r="O92" s="145"/>
      <c r="P92" s="145"/>
      <c r="Q92" s="145"/>
      <c r="R92" s="145"/>
      <c r="S92" s="145"/>
      <c r="T92" s="72"/>
      <c r="U92" s="72"/>
      <c r="V92" s="72"/>
      <c r="W92" s="72"/>
      <c r="X92" s="72"/>
      <c r="Y92" s="72"/>
      <c r="Z92" s="72"/>
      <c r="AA92" s="72"/>
      <c r="AB92" s="72"/>
      <c r="AC92" s="72"/>
      <c r="AD92" s="72"/>
      <c r="AE92" s="72"/>
      <c r="AF92" s="72"/>
      <c r="AG92" s="72"/>
    </row>
    <row r="93" ht="15.75" customHeight="1">
      <c r="A93" s="145"/>
      <c r="B93" s="145"/>
      <c r="C93" s="145"/>
      <c r="D93" s="145"/>
      <c r="E93" s="145"/>
      <c r="F93" s="145"/>
      <c r="G93" s="145"/>
      <c r="H93" s="145"/>
      <c r="I93" s="145"/>
      <c r="J93" s="145"/>
      <c r="K93" s="145"/>
      <c r="L93" s="145"/>
      <c r="M93" s="145"/>
      <c r="N93" s="145"/>
      <c r="O93" s="145"/>
      <c r="P93" s="145"/>
      <c r="Q93" s="145"/>
      <c r="R93" s="145"/>
      <c r="S93" s="145"/>
      <c r="T93" s="72"/>
      <c r="U93" s="72"/>
      <c r="V93" s="72"/>
      <c r="W93" s="72"/>
      <c r="X93" s="72"/>
      <c r="Y93" s="72"/>
      <c r="Z93" s="72"/>
      <c r="AA93" s="72"/>
      <c r="AB93" s="72"/>
      <c r="AC93" s="72"/>
      <c r="AD93" s="72"/>
      <c r="AE93" s="72"/>
      <c r="AF93" s="72"/>
      <c r="AG93" s="72"/>
    </row>
    <row r="94" ht="15.75" customHeight="1">
      <c r="A94" s="145"/>
      <c r="B94" s="145"/>
      <c r="C94" s="145"/>
      <c r="D94" s="145"/>
      <c r="E94" s="145"/>
      <c r="F94" s="145"/>
      <c r="G94" s="145"/>
      <c r="H94" s="145"/>
      <c r="I94" s="145"/>
      <c r="J94" s="145"/>
      <c r="K94" s="145"/>
      <c r="L94" s="145"/>
      <c r="M94" s="145"/>
      <c r="N94" s="145"/>
      <c r="O94" s="145"/>
      <c r="P94" s="145"/>
      <c r="Q94" s="145"/>
      <c r="R94" s="145"/>
      <c r="S94" s="145"/>
      <c r="T94" s="72"/>
      <c r="U94" s="72"/>
      <c r="V94" s="72"/>
      <c r="W94" s="72"/>
      <c r="X94" s="72"/>
      <c r="Y94" s="72"/>
      <c r="Z94" s="72"/>
      <c r="AA94" s="72"/>
      <c r="AB94" s="72"/>
      <c r="AC94" s="72"/>
      <c r="AD94" s="72"/>
      <c r="AE94" s="72"/>
      <c r="AF94" s="72"/>
      <c r="AG94" s="72"/>
    </row>
    <row r="95" ht="15.75" customHeight="1">
      <c r="A95" s="145"/>
      <c r="B95" s="145"/>
      <c r="C95" s="145"/>
      <c r="D95" s="145"/>
      <c r="E95" s="145"/>
      <c r="F95" s="145"/>
      <c r="G95" s="145"/>
      <c r="H95" s="145"/>
      <c r="I95" s="145"/>
      <c r="J95" s="145"/>
      <c r="K95" s="145"/>
      <c r="L95" s="145"/>
      <c r="M95" s="145"/>
      <c r="N95" s="145"/>
      <c r="O95" s="145"/>
      <c r="P95" s="145"/>
      <c r="Q95" s="145"/>
      <c r="R95" s="145"/>
      <c r="S95" s="145"/>
      <c r="T95" s="72"/>
      <c r="U95" s="72"/>
      <c r="V95" s="72"/>
      <c r="W95" s="72"/>
      <c r="X95" s="72"/>
      <c r="Y95" s="72"/>
      <c r="Z95" s="72"/>
      <c r="AA95" s="72"/>
      <c r="AB95" s="72"/>
      <c r="AC95" s="72"/>
      <c r="AD95" s="72"/>
      <c r="AE95" s="72"/>
      <c r="AF95" s="72"/>
      <c r="AG95" s="72"/>
    </row>
    <row r="96" ht="15.75" customHeight="1">
      <c r="A96" s="145"/>
      <c r="B96" s="145"/>
      <c r="C96" s="145"/>
      <c r="D96" s="145"/>
      <c r="E96" s="145"/>
      <c r="F96" s="145"/>
      <c r="G96" s="145"/>
      <c r="H96" s="145"/>
      <c r="I96" s="145"/>
      <c r="J96" s="145"/>
      <c r="K96" s="145"/>
      <c r="L96" s="145"/>
      <c r="M96" s="145"/>
      <c r="N96" s="145"/>
      <c r="O96" s="145"/>
      <c r="P96" s="145"/>
      <c r="Q96" s="145"/>
      <c r="R96" s="145"/>
      <c r="S96" s="145"/>
      <c r="T96" s="72"/>
      <c r="U96" s="72"/>
      <c r="V96" s="72"/>
      <c r="W96" s="72"/>
      <c r="X96" s="72"/>
      <c r="Y96" s="72"/>
      <c r="Z96" s="72"/>
      <c r="AA96" s="72"/>
      <c r="AB96" s="72"/>
      <c r="AC96" s="72"/>
      <c r="AD96" s="72"/>
      <c r="AE96" s="72"/>
      <c r="AF96" s="72"/>
      <c r="AG96" s="72"/>
    </row>
    <row r="97" ht="15.75" customHeight="1">
      <c r="A97" s="145"/>
      <c r="B97" s="145"/>
      <c r="C97" s="145"/>
      <c r="D97" s="145"/>
      <c r="E97" s="145"/>
      <c r="F97" s="145"/>
      <c r="G97" s="145"/>
      <c r="H97" s="145"/>
      <c r="I97" s="145"/>
      <c r="J97" s="145"/>
      <c r="K97" s="145"/>
      <c r="L97" s="145"/>
      <c r="M97" s="145"/>
      <c r="N97" s="145"/>
      <c r="O97" s="145"/>
      <c r="P97" s="145"/>
      <c r="Q97" s="145"/>
      <c r="R97" s="145"/>
      <c r="S97" s="145"/>
      <c r="T97" s="72"/>
      <c r="U97" s="72"/>
      <c r="V97" s="72"/>
      <c r="W97" s="72"/>
      <c r="X97" s="72"/>
      <c r="Y97" s="72"/>
      <c r="Z97" s="72"/>
      <c r="AA97" s="72"/>
      <c r="AB97" s="72"/>
      <c r="AC97" s="72"/>
      <c r="AD97" s="72"/>
      <c r="AE97" s="72"/>
      <c r="AF97" s="72"/>
      <c r="AG97" s="72"/>
    </row>
    <row r="98" ht="15.75" customHeight="1">
      <c r="A98" s="145"/>
      <c r="B98" s="145"/>
      <c r="C98" s="145"/>
      <c r="D98" s="145"/>
      <c r="E98" s="145"/>
      <c r="F98" s="145"/>
      <c r="G98" s="145"/>
      <c r="H98" s="145"/>
      <c r="I98" s="145"/>
      <c r="J98" s="145"/>
      <c r="K98" s="145"/>
      <c r="L98" s="145"/>
      <c r="M98" s="145"/>
      <c r="N98" s="145"/>
      <c r="O98" s="145"/>
      <c r="P98" s="145"/>
      <c r="Q98" s="145"/>
      <c r="R98" s="145"/>
      <c r="S98" s="145"/>
      <c r="T98" s="72"/>
      <c r="U98" s="72"/>
      <c r="V98" s="72"/>
      <c r="W98" s="72"/>
      <c r="X98" s="72"/>
      <c r="Y98" s="72"/>
      <c r="Z98" s="72"/>
      <c r="AA98" s="72"/>
      <c r="AB98" s="72"/>
      <c r="AC98" s="72"/>
      <c r="AD98" s="72"/>
      <c r="AE98" s="72"/>
      <c r="AF98" s="72"/>
      <c r="AG98" s="72"/>
    </row>
    <row r="99" ht="15.75" customHeight="1">
      <c r="A99" s="145"/>
      <c r="B99" s="145"/>
      <c r="C99" s="145"/>
      <c r="D99" s="145"/>
      <c r="E99" s="145"/>
      <c r="F99" s="145"/>
      <c r="G99" s="145"/>
      <c r="H99" s="145"/>
      <c r="I99" s="145"/>
      <c r="J99" s="145"/>
      <c r="K99" s="145"/>
      <c r="L99" s="145"/>
      <c r="M99" s="145"/>
      <c r="N99" s="145"/>
      <c r="O99" s="145"/>
      <c r="P99" s="145"/>
      <c r="Q99" s="145"/>
      <c r="R99" s="145"/>
      <c r="S99" s="145"/>
      <c r="T99" s="72"/>
      <c r="U99" s="72"/>
      <c r="V99" s="72"/>
      <c r="W99" s="72"/>
      <c r="X99" s="72"/>
      <c r="Y99" s="72"/>
      <c r="Z99" s="72"/>
      <c r="AA99" s="72"/>
      <c r="AB99" s="72"/>
      <c r="AC99" s="72"/>
      <c r="AD99" s="72"/>
      <c r="AE99" s="72"/>
      <c r="AF99" s="72"/>
      <c r="AG99" s="72"/>
    </row>
    <row r="100" ht="15.75" customHeight="1">
      <c r="A100" s="145"/>
      <c r="B100" s="145"/>
      <c r="C100" s="145"/>
      <c r="D100" s="145"/>
      <c r="E100" s="145"/>
      <c r="F100" s="145"/>
      <c r="G100" s="145"/>
      <c r="H100" s="145"/>
      <c r="I100" s="145"/>
      <c r="J100" s="145"/>
      <c r="K100" s="145"/>
      <c r="L100" s="145"/>
      <c r="M100" s="145"/>
      <c r="N100" s="145"/>
      <c r="O100" s="145"/>
      <c r="P100" s="145"/>
      <c r="Q100" s="145"/>
      <c r="R100" s="145"/>
      <c r="S100" s="145"/>
      <c r="T100" s="72"/>
      <c r="U100" s="72"/>
      <c r="V100" s="72"/>
      <c r="W100" s="72"/>
      <c r="X100" s="72"/>
      <c r="Y100" s="72"/>
      <c r="Z100" s="72"/>
      <c r="AA100" s="72"/>
      <c r="AB100" s="72"/>
      <c r="AC100" s="72"/>
      <c r="AD100" s="72"/>
      <c r="AE100" s="72"/>
      <c r="AF100" s="72"/>
      <c r="AG100" s="72"/>
    </row>
    <row r="101" ht="15.75" customHeight="1">
      <c r="A101" s="145"/>
      <c r="B101" s="145"/>
      <c r="C101" s="145"/>
      <c r="D101" s="145"/>
      <c r="E101" s="145"/>
      <c r="F101" s="145"/>
      <c r="G101" s="145"/>
      <c r="H101" s="145"/>
      <c r="I101" s="145"/>
      <c r="J101" s="145"/>
      <c r="K101" s="145"/>
      <c r="L101" s="145"/>
      <c r="M101" s="145"/>
      <c r="N101" s="145"/>
      <c r="O101" s="145"/>
      <c r="P101" s="145"/>
      <c r="Q101" s="145"/>
      <c r="R101" s="145"/>
      <c r="S101" s="145"/>
      <c r="T101" s="72"/>
      <c r="U101" s="72"/>
      <c r="V101" s="72"/>
      <c r="W101" s="72"/>
      <c r="X101" s="72"/>
      <c r="Y101" s="72"/>
      <c r="Z101" s="72"/>
      <c r="AA101" s="72"/>
      <c r="AB101" s="72"/>
      <c r="AC101" s="72"/>
      <c r="AD101" s="72"/>
      <c r="AE101" s="72"/>
      <c r="AF101" s="72"/>
      <c r="AG101" s="72"/>
    </row>
    <row r="102" ht="15.75" customHeight="1">
      <c r="A102" s="145"/>
      <c r="B102" s="145"/>
      <c r="C102" s="145"/>
      <c r="D102" s="145"/>
      <c r="E102" s="145"/>
      <c r="F102" s="145"/>
      <c r="G102" s="145"/>
      <c r="H102" s="145"/>
      <c r="I102" s="145"/>
      <c r="J102" s="145"/>
      <c r="K102" s="145"/>
      <c r="L102" s="145"/>
      <c r="M102" s="145"/>
      <c r="N102" s="145"/>
      <c r="O102" s="145"/>
      <c r="P102" s="145"/>
      <c r="Q102" s="145"/>
      <c r="R102" s="145"/>
      <c r="S102" s="145"/>
      <c r="T102" s="72"/>
      <c r="U102" s="72"/>
      <c r="V102" s="72"/>
      <c r="W102" s="72"/>
      <c r="X102" s="72"/>
      <c r="Y102" s="72"/>
      <c r="Z102" s="72"/>
      <c r="AA102" s="72"/>
      <c r="AB102" s="72"/>
      <c r="AC102" s="72"/>
      <c r="AD102" s="72"/>
      <c r="AE102" s="72"/>
      <c r="AF102" s="72"/>
      <c r="AG102" s="72"/>
    </row>
    <row r="103" ht="15.75" customHeight="1">
      <c r="A103" s="145"/>
      <c r="B103" s="145"/>
      <c r="C103" s="145"/>
      <c r="D103" s="145"/>
      <c r="E103" s="145"/>
      <c r="F103" s="145"/>
      <c r="G103" s="145"/>
      <c r="H103" s="145"/>
      <c r="I103" s="145"/>
      <c r="J103" s="145"/>
      <c r="K103" s="145"/>
      <c r="L103" s="145"/>
      <c r="M103" s="145"/>
      <c r="N103" s="145"/>
      <c r="O103" s="145"/>
      <c r="P103" s="145"/>
      <c r="Q103" s="145"/>
      <c r="R103" s="145"/>
      <c r="S103" s="145"/>
      <c r="T103" s="72"/>
      <c r="U103" s="72"/>
      <c r="V103" s="72"/>
      <c r="W103" s="72"/>
      <c r="X103" s="72"/>
      <c r="Y103" s="72"/>
      <c r="Z103" s="72"/>
      <c r="AA103" s="72"/>
      <c r="AB103" s="72"/>
      <c r="AC103" s="72"/>
      <c r="AD103" s="72"/>
      <c r="AE103" s="72"/>
      <c r="AF103" s="72"/>
      <c r="AG103" s="72"/>
    </row>
    <row r="104" ht="15.75" customHeight="1">
      <c r="A104" s="145"/>
      <c r="B104" s="145"/>
      <c r="C104" s="145"/>
      <c r="D104" s="145"/>
      <c r="E104" s="145"/>
      <c r="F104" s="145"/>
      <c r="G104" s="145"/>
      <c r="H104" s="145"/>
      <c r="I104" s="145"/>
      <c r="J104" s="145"/>
      <c r="K104" s="145"/>
      <c r="L104" s="145"/>
      <c r="M104" s="145"/>
      <c r="N104" s="145"/>
      <c r="O104" s="145"/>
      <c r="P104" s="145"/>
      <c r="Q104" s="145"/>
      <c r="R104" s="145"/>
      <c r="S104" s="145"/>
      <c r="T104" s="72"/>
      <c r="U104" s="72"/>
      <c r="V104" s="72"/>
      <c r="W104" s="72"/>
      <c r="X104" s="72"/>
      <c r="Y104" s="72"/>
      <c r="Z104" s="72"/>
      <c r="AA104" s="72"/>
      <c r="AB104" s="72"/>
      <c r="AC104" s="72"/>
      <c r="AD104" s="72"/>
      <c r="AE104" s="72"/>
      <c r="AF104" s="72"/>
      <c r="AG104" s="72"/>
    </row>
    <row r="105" ht="15.75" customHeight="1">
      <c r="A105" s="145"/>
      <c r="B105" s="145"/>
      <c r="C105" s="145"/>
      <c r="D105" s="145"/>
      <c r="E105" s="145"/>
      <c r="F105" s="145"/>
      <c r="G105" s="145"/>
      <c r="H105" s="145"/>
      <c r="I105" s="145"/>
      <c r="J105" s="145"/>
      <c r="K105" s="145"/>
      <c r="L105" s="145"/>
      <c r="M105" s="145"/>
      <c r="N105" s="145"/>
      <c r="O105" s="145"/>
      <c r="P105" s="145"/>
      <c r="Q105" s="145"/>
      <c r="R105" s="145"/>
      <c r="S105" s="145"/>
      <c r="T105" s="72"/>
      <c r="U105" s="72"/>
      <c r="V105" s="72"/>
      <c r="W105" s="72"/>
      <c r="X105" s="72"/>
      <c r="Y105" s="72"/>
      <c r="Z105" s="72"/>
      <c r="AA105" s="72"/>
      <c r="AB105" s="72"/>
      <c r="AC105" s="72"/>
      <c r="AD105" s="72"/>
      <c r="AE105" s="72"/>
      <c r="AF105" s="72"/>
      <c r="AG105" s="72"/>
    </row>
    <row r="106" ht="15.75" customHeight="1">
      <c r="A106" s="145"/>
      <c r="B106" s="145"/>
      <c r="C106" s="145"/>
      <c r="D106" s="145"/>
      <c r="E106" s="145"/>
      <c r="F106" s="145"/>
      <c r="G106" s="145"/>
      <c r="H106" s="145"/>
      <c r="I106" s="145"/>
      <c r="J106" s="145"/>
      <c r="K106" s="145"/>
      <c r="L106" s="145"/>
      <c r="M106" s="145"/>
      <c r="N106" s="145"/>
      <c r="O106" s="145"/>
      <c r="P106" s="145"/>
      <c r="Q106" s="145"/>
      <c r="R106" s="145"/>
      <c r="S106" s="145"/>
      <c r="T106" s="72"/>
      <c r="U106" s="72"/>
      <c r="V106" s="72"/>
      <c r="W106" s="72"/>
      <c r="X106" s="72"/>
      <c r="Y106" s="72"/>
      <c r="Z106" s="72"/>
      <c r="AA106" s="72"/>
      <c r="AB106" s="72"/>
      <c r="AC106" s="72"/>
      <c r="AD106" s="72"/>
      <c r="AE106" s="72"/>
      <c r="AF106" s="72"/>
      <c r="AG106" s="72"/>
    </row>
    <row r="107" ht="15.75" customHeight="1">
      <c r="A107" s="145"/>
      <c r="B107" s="145"/>
      <c r="C107" s="145"/>
      <c r="D107" s="145"/>
      <c r="E107" s="145"/>
      <c r="F107" s="145"/>
      <c r="G107" s="145"/>
      <c r="H107" s="145"/>
      <c r="I107" s="145"/>
      <c r="J107" s="145"/>
      <c r="K107" s="145"/>
      <c r="L107" s="145"/>
      <c r="M107" s="145"/>
      <c r="N107" s="145"/>
      <c r="O107" s="145"/>
      <c r="P107" s="145"/>
      <c r="Q107" s="145"/>
      <c r="R107" s="145"/>
      <c r="S107" s="145"/>
      <c r="T107" s="72"/>
      <c r="U107" s="72"/>
      <c r="V107" s="72"/>
      <c r="W107" s="72"/>
      <c r="X107" s="72"/>
      <c r="Y107" s="72"/>
      <c r="Z107" s="72"/>
      <c r="AA107" s="72"/>
      <c r="AB107" s="72"/>
      <c r="AC107" s="72"/>
      <c r="AD107" s="72"/>
      <c r="AE107" s="72"/>
      <c r="AF107" s="72"/>
      <c r="AG107" s="72"/>
    </row>
    <row r="108" ht="15.75" customHeight="1">
      <c r="A108" s="145"/>
      <c r="B108" s="145"/>
      <c r="C108" s="145"/>
      <c r="D108" s="145"/>
      <c r="E108" s="145"/>
      <c r="F108" s="145"/>
      <c r="G108" s="145"/>
      <c r="H108" s="145"/>
      <c r="I108" s="145"/>
      <c r="J108" s="145"/>
      <c r="K108" s="145"/>
      <c r="L108" s="145"/>
      <c r="M108" s="145"/>
      <c r="N108" s="145"/>
      <c r="O108" s="145"/>
      <c r="P108" s="145"/>
      <c r="Q108" s="145"/>
      <c r="R108" s="145"/>
      <c r="S108" s="145"/>
      <c r="T108" s="72"/>
      <c r="U108" s="72"/>
      <c r="V108" s="72"/>
      <c r="W108" s="72"/>
      <c r="X108" s="72"/>
      <c r="Y108" s="72"/>
      <c r="Z108" s="72"/>
      <c r="AA108" s="72"/>
      <c r="AB108" s="72"/>
      <c r="AC108" s="72"/>
      <c r="AD108" s="72"/>
      <c r="AE108" s="72"/>
      <c r="AF108" s="72"/>
      <c r="AG108" s="72"/>
    </row>
    <row r="109" ht="15.75" customHeight="1">
      <c r="A109" s="145"/>
      <c r="B109" s="145"/>
      <c r="C109" s="145"/>
      <c r="D109" s="145"/>
      <c r="E109" s="145"/>
      <c r="F109" s="145"/>
      <c r="G109" s="145"/>
      <c r="H109" s="145"/>
      <c r="I109" s="145"/>
      <c r="J109" s="145"/>
      <c r="K109" s="145"/>
      <c r="L109" s="145"/>
      <c r="M109" s="145"/>
      <c r="N109" s="145"/>
      <c r="O109" s="145"/>
      <c r="P109" s="145"/>
      <c r="Q109" s="145"/>
      <c r="R109" s="145"/>
      <c r="S109" s="145"/>
      <c r="T109" s="72"/>
      <c r="U109" s="72"/>
      <c r="V109" s="72"/>
      <c r="W109" s="72"/>
      <c r="X109" s="72"/>
      <c r="Y109" s="72"/>
      <c r="Z109" s="72"/>
      <c r="AA109" s="72"/>
      <c r="AB109" s="72"/>
      <c r="AC109" s="72"/>
      <c r="AD109" s="72"/>
      <c r="AE109" s="72"/>
      <c r="AF109" s="72"/>
      <c r="AG109" s="72"/>
    </row>
    <row r="110" ht="15.75" customHeight="1">
      <c r="A110" s="145"/>
      <c r="B110" s="145"/>
      <c r="C110" s="145"/>
      <c r="D110" s="145"/>
      <c r="E110" s="145"/>
      <c r="F110" s="145"/>
      <c r="G110" s="145"/>
      <c r="H110" s="145"/>
      <c r="I110" s="145"/>
      <c r="J110" s="145"/>
      <c r="K110" s="145"/>
      <c r="L110" s="145"/>
      <c r="M110" s="145"/>
      <c r="N110" s="145"/>
      <c r="O110" s="145"/>
      <c r="P110" s="145"/>
      <c r="Q110" s="145"/>
      <c r="R110" s="145"/>
      <c r="S110" s="145"/>
      <c r="T110" s="72"/>
      <c r="U110" s="72"/>
      <c r="V110" s="72"/>
      <c r="W110" s="72"/>
      <c r="X110" s="72"/>
      <c r="Y110" s="72"/>
      <c r="Z110" s="72"/>
      <c r="AA110" s="72"/>
      <c r="AB110" s="72"/>
      <c r="AC110" s="72"/>
      <c r="AD110" s="72"/>
      <c r="AE110" s="72"/>
      <c r="AF110" s="72"/>
      <c r="AG110" s="72"/>
    </row>
    <row r="111" ht="15.75" customHeight="1">
      <c r="A111" s="145"/>
      <c r="B111" s="145"/>
      <c r="C111" s="145"/>
      <c r="D111" s="145"/>
      <c r="E111" s="145"/>
      <c r="F111" s="145"/>
      <c r="G111" s="145"/>
      <c r="H111" s="145"/>
      <c r="I111" s="145"/>
      <c r="J111" s="145"/>
      <c r="K111" s="145"/>
      <c r="L111" s="145"/>
      <c r="M111" s="145"/>
      <c r="N111" s="145"/>
      <c r="O111" s="145"/>
      <c r="P111" s="145"/>
      <c r="Q111" s="145"/>
      <c r="R111" s="145"/>
      <c r="S111" s="145"/>
      <c r="T111" s="72"/>
      <c r="U111" s="72"/>
      <c r="V111" s="72"/>
      <c r="W111" s="72"/>
      <c r="X111" s="72"/>
      <c r="Y111" s="72"/>
      <c r="Z111" s="72"/>
      <c r="AA111" s="72"/>
      <c r="AB111" s="72"/>
      <c r="AC111" s="72"/>
      <c r="AD111" s="72"/>
      <c r="AE111" s="72"/>
      <c r="AF111" s="72"/>
      <c r="AG111" s="72"/>
    </row>
    <row r="112" ht="15.75" customHeight="1">
      <c r="A112" s="145"/>
      <c r="B112" s="145"/>
      <c r="C112" s="145"/>
      <c r="D112" s="145"/>
      <c r="E112" s="145"/>
      <c r="F112" s="145"/>
      <c r="G112" s="145"/>
      <c r="H112" s="145"/>
      <c r="I112" s="145"/>
      <c r="J112" s="145"/>
      <c r="K112" s="145"/>
      <c r="L112" s="145"/>
      <c r="M112" s="145"/>
      <c r="N112" s="145"/>
      <c r="O112" s="145"/>
      <c r="P112" s="145"/>
      <c r="Q112" s="145"/>
      <c r="R112" s="145"/>
      <c r="S112" s="145"/>
      <c r="T112" s="72"/>
      <c r="U112" s="72"/>
      <c r="V112" s="72"/>
      <c r="W112" s="72"/>
      <c r="X112" s="72"/>
      <c r="Y112" s="72"/>
      <c r="Z112" s="72"/>
      <c r="AA112" s="72"/>
      <c r="AB112" s="72"/>
      <c r="AC112" s="72"/>
      <c r="AD112" s="72"/>
      <c r="AE112" s="72"/>
      <c r="AF112" s="72"/>
      <c r="AG112" s="72"/>
    </row>
    <row r="113" ht="15.75" customHeight="1">
      <c r="A113" s="145"/>
      <c r="B113" s="145"/>
      <c r="C113" s="145"/>
      <c r="D113" s="145"/>
      <c r="E113" s="145"/>
      <c r="F113" s="145"/>
      <c r="G113" s="145"/>
      <c r="H113" s="145"/>
      <c r="I113" s="145"/>
      <c r="J113" s="145"/>
      <c r="K113" s="145"/>
      <c r="L113" s="145"/>
      <c r="M113" s="145"/>
      <c r="N113" s="145"/>
      <c r="O113" s="145"/>
      <c r="P113" s="145"/>
      <c r="Q113" s="145"/>
      <c r="R113" s="145"/>
      <c r="S113" s="145"/>
      <c r="T113" s="72"/>
      <c r="U113" s="72"/>
      <c r="V113" s="72"/>
      <c r="W113" s="72"/>
      <c r="X113" s="72"/>
      <c r="Y113" s="72"/>
      <c r="Z113" s="72"/>
      <c r="AA113" s="72"/>
      <c r="AB113" s="72"/>
      <c r="AC113" s="72"/>
      <c r="AD113" s="72"/>
      <c r="AE113" s="72"/>
      <c r="AF113" s="72"/>
      <c r="AG113" s="72"/>
    </row>
    <row r="114" ht="15.75" customHeight="1">
      <c r="A114" s="145"/>
      <c r="B114" s="145"/>
      <c r="C114" s="145"/>
      <c r="D114" s="145"/>
      <c r="E114" s="145"/>
      <c r="F114" s="145"/>
      <c r="G114" s="145"/>
      <c r="H114" s="145"/>
      <c r="I114" s="145"/>
      <c r="J114" s="145"/>
      <c r="K114" s="145"/>
      <c r="L114" s="145"/>
      <c r="M114" s="145"/>
      <c r="N114" s="145"/>
      <c r="O114" s="145"/>
      <c r="P114" s="145"/>
      <c r="Q114" s="145"/>
      <c r="R114" s="145"/>
      <c r="S114" s="145"/>
      <c r="T114" s="72"/>
      <c r="U114" s="72"/>
      <c r="V114" s="72"/>
      <c r="W114" s="72"/>
      <c r="X114" s="72"/>
      <c r="Y114" s="72"/>
      <c r="Z114" s="72"/>
      <c r="AA114" s="72"/>
      <c r="AB114" s="72"/>
      <c r="AC114" s="72"/>
      <c r="AD114" s="72"/>
      <c r="AE114" s="72"/>
      <c r="AF114" s="72"/>
      <c r="AG114" s="72"/>
    </row>
    <row r="115" ht="15.75" customHeight="1">
      <c r="A115" s="145"/>
      <c r="B115" s="145"/>
      <c r="C115" s="145"/>
      <c r="D115" s="145"/>
      <c r="E115" s="145"/>
      <c r="F115" s="145"/>
      <c r="G115" s="145"/>
      <c r="H115" s="145"/>
      <c r="I115" s="145"/>
      <c r="J115" s="145"/>
      <c r="K115" s="145"/>
      <c r="L115" s="145"/>
      <c r="M115" s="145"/>
      <c r="N115" s="145"/>
      <c r="O115" s="145"/>
      <c r="P115" s="145"/>
      <c r="Q115" s="145"/>
      <c r="R115" s="145"/>
      <c r="S115" s="145"/>
      <c r="T115" s="72"/>
      <c r="U115" s="72"/>
      <c r="V115" s="72"/>
      <c r="W115" s="72"/>
      <c r="X115" s="72"/>
      <c r="Y115" s="72"/>
      <c r="Z115" s="72"/>
      <c r="AA115" s="72"/>
      <c r="AB115" s="72"/>
      <c r="AC115" s="72"/>
      <c r="AD115" s="72"/>
      <c r="AE115" s="72"/>
      <c r="AF115" s="72"/>
      <c r="AG115" s="72"/>
    </row>
    <row r="116" ht="15.75" customHeight="1">
      <c r="A116" s="145"/>
      <c r="B116" s="145"/>
      <c r="C116" s="145"/>
      <c r="D116" s="145"/>
      <c r="E116" s="145"/>
      <c r="F116" s="145"/>
      <c r="G116" s="145"/>
      <c r="H116" s="145"/>
      <c r="I116" s="145"/>
      <c r="J116" s="145"/>
      <c r="K116" s="145"/>
      <c r="L116" s="145"/>
      <c r="M116" s="145"/>
      <c r="N116" s="145"/>
      <c r="O116" s="145"/>
      <c r="P116" s="145"/>
      <c r="Q116" s="145"/>
      <c r="R116" s="145"/>
      <c r="S116" s="145"/>
      <c r="T116" s="72"/>
      <c r="U116" s="72"/>
      <c r="V116" s="72"/>
      <c r="W116" s="72"/>
      <c r="X116" s="72"/>
      <c r="Y116" s="72"/>
      <c r="Z116" s="72"/>
      <c r="AA116" s="72"/>
      <c r="AB116" s="72"/>
      <c r="AC116" s="72"/>
      <c r="AD116" s="72"/>
      <c r="AE116" s="72"/>
      <c r="AF116" s="72"/>
      <c r="AG116" s="72"/>
    </row>
    <row r="117" ht="15.75" customHeight="1">
      <c r="A117" s="145"/>
      <c r="B117" s="145"/>
      <c r="C117" s="145"/>
      <c r="D117" s="145"/>
      <c r="E117" s="145"/>
      <c r="F117" s="145"/>
      <c r="G117" s="145"/>
      <c r="H117" s="145"/>
      <c r="I117" s="145"/>
      <c r="J117" s="145"/>
      <c r="K117" s="145"/>
      <c r="L117" s="145"/>
      <c r="M117" s="145"/>
      <c r="N117" s="145"/>
      <c r="O117" s="145"/>
      <c r="P117" s="145"/>
      <c r="Q117" s="145"/>
      <c r="R117" s="145"/>
      <c r="S117" s="145"/>
      <c r="T117" s="72"/>
      <c r="U117" s="72"/>
      <c r="V117" s="72"/>
      <c r="W117" s="72"/>
      <c r="X117" s="72"/>
      <c r="Y117" s="72"/>
      <c r="Z117" s="72"/>
      <c r="AA117" s="72"/>
      <c r="AB117" s="72"/>
      <c r="AC117" s="72"/>
      <c r="AD117" s="72"/>
      <c r="AE117" s="72"/>
      <c r="AF117" s="72"/>
      <c r="AG117" s="72"/>
    </row>
    <row r="118" ht="15.75" customHeight="1">
      <c r="A118" s="145"/>
      <c r="B118" s="145"/>
      <c r="C118" s="145"/>
      <c r="D118" s="145"/>
      <c r="E118" s="145"/>
      <c r="F118" s="145"/>
      <c r="G118" s="145"/>
      <c r="H118" s="145"/>
      <c r="I118" s="145"/>
      <c r="J118" s="145"/>
      <c r="K118" s="145"/>
      <c r="L118" s="145"/>
      <c r="M118" s="145"/>
      <c r="N118" s="145"/>
      <c r="O118" s="145"/>
      <c r="P118" s="145"/>
      <c r="Q118" s="145"/>
      <c r="R118" s="145"/>
      <c r="S118" s="145"/>
      <c r="T118" s="72"/>
      <c r="U118" s="72"/>
      <c r="V118" s="72"/>
      <c r="W118" s="72"/>
      <c r="X118" s="72"/>
      <c r="Y118" s="72"/>
      <c r="Z118" s="72"/>
      <c r="AA118" s="72"/>
      <c r="AB118" s="72"/>
      <c r="AC118" s="72"/>
      <c r="AD118" s="72"/>
      <c r="AE118" s="72"/>
      <c r="AF118" s="72"/>
      <c r="AG118" s="72"/>
    </row>
    <row r="119" ht="15.75" customHeight="1">
      <c r="A119" s="145"/>
      <c r="B119" s="145"/>
      <c r="C119" s="145"/>
      <c r="D119" s="145"/>
      <c r="E119" s="145"/>
      <c r="F119" s="145"/>
      <c r="G119" s="145"/>
      <c r="H119" s="145"/>
      <c r="I119" s="145"/>
      <c r="J119" s="145"/>
      <c r="K119" s="145"/>
      <c r="L119" s="145"/>
      <c r="M119" s="145"/>
      <c r="N119" s="145"/>
      <c r="O119" s="145"/>
      <c r="P119" s="145"/>
      <c r="Q119" s="145"/>
      <c r="R119" s="145"/>
      <c r="S119" s="145"/>
      <c r="T119" s="72"/>
      <c r="U119" s="72"/>
      <c r="V119" s="72"/>
      <c r="W119" s="72"/>
      <c r="X119" s="72"/>
      <c r="Y119" s="72"/>
      <c r="Z119" s="72"/>
      <c r="AA119" s="72"/>
      <c r="AB119" s="72"/>
      <c r="AC119" s="72"/>
      <c r="AD119" s="72"/>
      <c r="AE119" s="72"/>
      <c r="AF119" s="72"/>
      <c r="AG119" s="72"/>
    </row>
    <row r="120" ht="15.75" customHeight="1">
      <c r="A120" s="145"/>
      <c r="B120" s="145"/>
      <c r="C120" s="145"/>
      <c r="D120" s="145"/>
      <c r="E120" s="145"/>
      <c r="F120" s="145"/>
      <c r="G120" s="145"/>
      <c r="H120" s="145"/>
      <c r="I120" s="145"/>
      <c r="J120" s="145"/>
      <c r="K120" s="145"/>
      <c r="L120" s="145"/>
      <c r="M120" s="145"/>
      <c r="N120" s="145"/>
      <c r="O120" s="145"/>
      <c r="P120" s="145"/>
      <c r="Q120" s="145"/>
      <c r="R120" s="145"/>
      <c r="S120" s="145"/>
      <c r="T120" s="72"/>
      <c r="U120" s="72"/>
      <c r="V120" s="72"/>
      <c r="W120" s="72"/>
      <c r="X120" s="72"/>
      <c r="Y120" s="72"/>
      <c r="Z120" s="72"/>
      <c r="AA120" s="72"/>
      <c r="AB120" s="72"/>
      <c r="AC120" s="72"/>
      <c r="AD120" s="72"/>
      <c r="AE120" s="72"/>
      <c r="AF120" s="72"/>
      <c r="AG120" s="72"/>
    </row>
    <row r="121" ht="15.75" customHeight="1">
      <c r="A121" s="145"/>
      <c r="B121" s="145"/>
      <c r="C121" s="145"/>
      <c r="D121" s="145"/>
      <c r="E121" s="145"/>
      <c r="F121" s="145"/>
      <c r="G121" s="145"/>
      <c r="H121" s="145"/>
      <c r="I121" s="145"/>
      <c r="J121" s="145"/>
      <c r="K121" s="145"/>
      <c r="L121" s="145"/>
      <c r="M121" s="145"/>
      <c r="N121" s="145"/>
      <c r="O121" s="145"/>
      <c r="P121" s="145"/>
      <c r="Q121" s="145"/>
      <c r="R121" s="145"/>
      <c r="S121" s="145"/>
      <c r="T121" s="72"/>
      <c r="U121" s="72"/>
      <c r="V121" s="72"/>
      <c r="W121" s="72"/>
      <c r="X121" s="72"/>
      <c r="Y121" s="72"/>
      <c r="Z121" s="72"/>
      <c r="AA121" s="72"/>
      <c r="AB121" s="72"/>
      <c r="AC121" s="72"/>
      <c r="AD121" s="72"/>
      <c r="AE121" s="72"/>
      <c r="AF121" s="72"/>
      <c r="AG121" s="72"/>
    </row>
    <row r="122" ht="15.75" customHeight="1">
      <c r="A122" s="145"/>
      <c r="B122" s="145"/>
      <c r="C122" s="145"/>
      <c r="D122" s="145"/>
      <c r="E122" s="145"/>
      <c r="F122" s="145"/>
      <c r="G122" s="145"/>
      <c r="H122" s="145"/>
      <c r="I122" s="145"/>
      <c r="J122" s="145"/>
      <c r="K122" s="145"/>
      <c r="L122" s="145"/>
      <c r="M122" s="145"/>
      <c r="N122" s="145"/>
      <c r="O122" s="145"/>
      <c r="P122" s="145"/>
      <c r="Q122" s="145"/>
      <c r="R122" s="145"/>
      <c r="S122" s="145"/>
      <c r="T122" s="72"/>
      <c r="U122" s="72"/>
      <c r="V122" s="72"/>
      <c r="W122" s="72"/>
      <c r="X122" s="72"/>
      <c r="Y122" s="72"/>
      <c r="Z122" s="72"/>
      <c r="AA122" s="72"/>
      <c r="AB122" s="72"/>
      <c r="AC122" s="72"/>
      <c r="AD122" s="72"/>
      <c r="AE122" s="72"/>
      <c r="AF122" s="72"/>
      <c r="AG122" s="72"/>
    </row>
    <row r="123" ht="15.75" customHeight="1">
      <c r="A123" s="145"/>
      <c r="B123" s="145"/>
      <c r="C123" s="145"/>
      <c r="D123" s="145"/>
      <c r="E123" s="145"/>
      <c r="F123" s="145"/>
      <c r="G123" s="145"/>
      <c r="H123" s="145"/>
      <c r="I123" s="145"/>
      <c r="J123" s="145"/>
      <c r="K123" s="145"/>
      <c r="L123" s="145"/>
      <c r="M123" s="145"/>
      <c r="N123" s="145"/>
      <c r="O123" s="145"/>
      <c r="P123" s="145"/>
      <c r="Q123" s="145"/>
      <c r="R123" s="145"/>
      <c r="S123" s="145"/>
      <c r="T123" s="72"/>
      <c r="U123" s="72"/>
      <c r="V123" s="72"/>
      <c r="W123" s="72"/>
      <c r="X123" s="72"/>
      <c r="Y123" s="72"/>
      <c r="Z123" s="72"/>
      <c r="AA123" s="72"/>
      <c r="AB123" s="72"/>
      <c r="AC123" s="72"/>
      <c r="AD123" s="72"/>
      <c r="AE123" s="72"/>
      <c r="AF123" s="72"/>
      <c r="AG123" s="72"/>
    </row>
    <row r="124" ht="15.75" customHeight="1">
      <c r="A124" s="145"/>
      <c r="B124" s="145"/>
      <c r="C124" s="145"/>
      <c r="D124" s="145"/>
      <c r="E124" s="145"/>
      <c r="F124" s="145"/>
      <c r="G124" s="145"/>
      <c r="H124" s="145"/>
      <c r="I124" s="145"/>
      <c r="J124" s="145"/>
      <c r="K124" s="145"/>
      <c r="L124" s="145"/>
      <c r="M124" s="145"/>
      <c r="N124" s="145"/>
      <c r="O124" s="145"/>
      <c r="P124" s="145"/>
      <c r="Q124" s="145"/>
      <c r="R124" s="145"/>
      <c r="S124" s="145"/>
      <c r="T124" s="72"/>
      <c r="U124" s="72"/>
      <c r="V124" s="72"/>
      <c r="W124" s="72"/>
      <c r="X124" s="72"/>
      <c r="Y124" s="72"/>
      <c r="Z124" s="72"/>
      <c r="AA124" s="72"/>
      <c r="AB124" s="72"/>
      <c r="AC124" s="72"/>
      <c r="AD124" s="72"/>
      <c r="AE124" s="72"/>
      <c r="AF124" s="72"/>
      <c r="AG124" s="72"/>
    </row>
    <row r="125" ht="15.75" customHeight="1">
      <c r="A125" s="145"/>
      <c r="B125" s="145"/>
      <c r="C125" s="145"/>
      <c r="D125" s="145"/>
      <c r="E125" s="145"/>
      <c r="F125" s="145"/>
      <c r="G125" s="145"/>
      <c r="H125" s="145"/>
      <c r="I125" s="145"/>
      <c r="J125" s="145"/>
      <c r="K125" s="145"/>
      <c r="L125" s="145"/>
      <c r="M125" s="145"/>
      <c r="N125" s="145"/>
      <c r="O125" s="145"/>
      <c r="P125" s="145"/>
      <c r="Q125" s="145"/>
      <c r="R125" s="145"/>
      <c r="S125" s="145"/>
      <c r="T125" s="72"/>
      <c r="U125" s="72"/>
      <c r="V125" s="72"/>
      <c r="W125" s="72"/>
      <c r="X125" s="72"/>
      <c r="Y125" s="72"/>
      <c r="Z125" s="72"/>
      <c r="AA125" s="72"/>
      <c r="AB125" s="72"/>
      <c r="AC125" s="72"/>
      <c r="AD125" s="72"/>
      <c r="AE125" s="72"/>
      <c r="AF125" s="72"/>
      <c r="AG125" s="72"/>
    </row>
    <row r="126" ht="15.75" customHeight="1">
      <c r="A126" s="145"/>
      <c r="B126" s="145"/>
      <c r="C126" s="145"/>
      <c r="D126" s="145"/>
      <c r="E126" s="145"/>
      <c r="F126" s="145"/>
      <c r="G126" s="145"/>
      <c r="H126" s="145"/>
      <c r="I126" s="145"/>
      <c r="J126" s="145"/>
      <c r="K126" s="145"/>
      <c r="L126" s="145"/>
      <c r="M126" s="145"/>
      <c r="N126" s="145"/>
      <c r="O126" s="145"/>
      <c r="P126" s="145"/>
      <c r="Q126" s="145"/>
      <c r="R126" s="145"/>
      <c r="S126" s="145"/>
      <c r="T126" s="72"/>
      <c r="U126" s="72"/>
      <c r="V126" s="72"/>
      <c r="W126" s="72"/>
      <c r="X126" s="72"/>
      <c r="Y126" s="72"/>
      <c r="Z126" s="72"/>
      <c r="AA126" s="72"/>
      <c r="AB126" s="72"/>
      <c r="AC126" s="72"/>
      <c r="AD126" s="72"/>
      <c r="AE126" s="72"/>
      <c r="AF126" s="72"/>
      <c r="AG126" s="72"/>
    </row>
    <row r="127" ht="15.75" customHeight="1">
      <c r="A127" s="145"/>
      <c r="B127" s="145"/>
      <c r="C127" s="145"/>
      <c r="D127" s="145"/>
      <c r="E127" s="145"/>
      <c r="F127" s="145"/>
      <c r="G127" s="145"/>
      <c r="H127" s="145"/>
      <c r="I127" s="145"/>
      <c r="J127" s="145"/>
      <c r="K127" s="145"/>
      <c r="L127" s="145"/>
      <c r="M127" s="145"/>
      <c r="N127" s="145"/>
      <c r="O127" s="145"/>
      <c r="P127" s="145"/>
      <c r="Q127" s="145"/>
      <c r="R127" s="145"/>
      <c r="S127" s="145"/>
      <c r="T127" s="72"/>
      <c r="U127" s="72"/>
      <c r="V127" s="72"/>
      <c r="W127" s="72"/>
      <c r="X127" s="72"/>
      <c r="Y127" s="72"/>
      <c r="Z127" s="72"/>
      <c r="AA127" s="72"/>
      <c r="AB127" s="72"/>
      <c r="AC127" s="72"/>
      <c r="AD127" s="72"/>
      <c r="AE127" s="72"/>
      <c r="AF127" s="72"/>
      <c r="AG127" s="72"/>
    </row>
    <row r="128" ht="15.75" customHeight="1">
      <c r="A128" s="145"/>
      <c r="B128" s="145"/>
      <c r="C128" s="145"/>
      <c r="D128" s="145"/>
      <c r="E128" s="145"/>
      <c r="F128" s="145"/>
      <c r="G128" s="145"/>
      <c r="H128" s="145"/>
      <c r="I128" s="145"/>
      <c r="J128" s="145"/>
      <c r="K128" s="145"/>
      <c r="L128" s="145"/>
      <c r="M128" s="145"/>
      <c r="N128" s="145"/>
      <c r="O128" s="145"/>
      <c r="P128" s="145"/>
      <c r="Q128" s="145"/>
      <c r="R128" s="145"/>
      <c r="S128" s="145"/>
      <c r="T128" s="72"/>
      <c r="U128" s="72"/>
      <c r="V128" s="72"/>
      <c r="W128" s="72"/>
      <c r="X128" s="72"/>
      <c r="Y128" s="72"/>
      <c r="Z128" s="72"/>
      <c r="AA128" s="72"/>
      <c r="AB128" s="72"/>
      <c r="AC128" s="72"/>
      <c r="AD128" s="72"/>
      <c r="AE128" s="72"/>
      <c r="AF128" s="72"/>
      <c r="AG128" s="72"/>
    </row>
    <row r="129" ht="15.75" customHeight="1">
      <c r="A129" s="145"/>
      <c r="B129" s="145"/>
      <c r="C129" s="145"/>
      <c r="D129" s="145"/>
      <c r="E129" s="145"/>
      <c r="F129" s="145"/>
      <c r="G129" s="145"/>
      <c r="H129" s="145"/>
      <c r="I129" s="145"/>
      <c r="J129" s="145"/>
      <c r="K129" s="145"/>
      <c r="L129" s="145"/>
      <c r="M129" s="145"/>
      <c r="N129" s="145"/>
      <c r="O129" s="145"/>
      <c r="P129" s="145"/>
      <c r="Q129" s="145"/>
      <c r="R129" s="145"/>
      <c r="S129" s="145"/>
      <c r="T129" s="72"/>
      <c r="U129" s="72"/>
      <c r="V129" s="72"/>
      <c r="W129" s="72"/>
      <c r="X129" s="72"/>
      <c r="Y129" s="72"/>
      <c r="Z129" s="72"/>
      <c r="AA129" s="72"/>
      <c r="AB129" s="72"/>
      <c r="AC129" s="72"/>
      <c r="AD129" s="72"/>
      <c r="AE129" s="72"/>
      <c r="AF129" s="72"/>
      <c r="AG129" s="72"/>
    </row>
    <row r="130" ht="15.75" customHeight="1">
      <c r="A130" s="145"/>
      <c r="B130" s="145"/>
      <c r="C130" s="145"/>
      <c r="D130" s="145"/>
      <c r="E130" s="145"/>
      <c r="F130" s="145"/>
      <c r="G130" s="145"/>
      <c r="H130" s="145"/>
      <c r="I130" s="145"/>
      <c r="J130" s="145"/>
      <c r="K130" s="145"/>
      <c r="L130" s="145"/>
      <c r="M130" s="145"/>
      <c r="N130" s="145"/>
      <c r="O130" s="145"/>
      <c r="P130" s="145"/>
      <c r="Q130" s="145"/>
      <c r="R130" s="145"/>
      <c r="S130" s="145"/>
      <c r="T130" s="72"/>
      <c r="U130" s="72"/>
      <c r="V130" s="72"/>
      <c r="W130" s="72"/>
      <c r="X130" s="72"/>
      <c r="Y130" s="72"/>
      <c r="Z130" s="72"/>
      <c r="AA130" s="72"/>
      <c r="AB130" s="72"/>
      <c r="AC130" s="72"/>
      <c r="AD130" s="72"/>
      <c r="AE130" s="72"/>
      <c r="AF130" s="72"/>
      <c r="AG130" s="72"/>
    </row>
  </sheetData>
  <mergeCells count="1">
    <mergeCell ref="A1:F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63"/>
    <col customWidth="1" min="2" max="3" width="31.88"/>
    <col customWidth="1" min="4" max="4" width="29.38"/>
    <col customWidth="1" min="5" max="5" width="21.13"/>
    <col customWidth="1" min="6" max="6" width="12.63"/>
    <col customWidth="1" min="7" max="18" width="10.75"/>
    <col customWidth="1" min="19" max="19" width="5.13"/>
    <col customWidth="1" min="20" max="20" width="10.25"/>
    <col customWidth="1" min="21" max="21" width="10.5"/>
    <col customWidth="1" min="22" max="24" width="5.13"/>
  </cols>
  <sheetData>
    <row r="1">
      <c r="A1" s="7" t="s">
        <v>2</v>
      </c>
      <c r="B1" s="9" t="s">
        <v>3</v>
      </c>
      <c r="C1" s="10" t="s">
        <v>5</v>
      </c>
      <c r="D1" s="10" t="s">
        <v>6</v>
      </c>
      <c r="E1" s="13" t="s">
        <v>8</v>
      </c>
      <c r="F1" s="4" t="s">
        <v>1</v>
      </c>
      <c r="G1" s="5">
        <v>46023.0</v>
      </c>
      <c r="H1" s="5">
        <v>46054.0</v>
      </c>
      <c r="I1" s="5">
        <v>46082.0</v>
      </c>
      <c r="J1" s="5">
        <v>46113.0</v>
      </c>
      <c r="K1" s="5">
        <v>46143.0</v>
      </c>
      <c r="L1" s="5">
        <v>46174.0</v>
      </c>
      <c r="M1" s="5">
        <v>46204.0</v>
      </c>
      <c r="N1" s="5">
        <v>46235.0</v>
      </c>
      <c r="O1" s="5">
        <v>46266.0</v>
      </c>
      <c r="P1" s="5">
        <v>46296.0</v>
      </c>
      <c r="Q1" s="5">
        <v>46327.0</v>
      </c>
      <c r="R1" s="5">
        <v>46357.0</v>
      </c>
      <c r="S1" s="22"/>
      <c r="T1" s="26" t="s">
        <v>4</v>
      </c>
      <c r="U1" s="28" t="s">
        <v>18</v>
      </c>
      <c r="V1" s="29"/>
      <c r="W1" s="30"/>
      <c r="X1" s="32"/>
    </row>
    <row r="2">
      <c r="A2" s="34">
        <v>1.0</v>
      </c>
      <c r="B2" s="45" t="s">
        <v>20</v>
      </c>
      <c r="C2" s="47" t="s">
        <v>21</v>
      </c>
      <c r="D2" s="47" t="s">
        <v>22</v>
      </c>
      <c r="E2" s="50"/>
      <c r="F2" s="60">
        <f t="shared" ref="F2:F10" si="1">sum(G2:R2)</f>
        <v>0</v>
      </c>
      <c r="G2" s="61">
        <v>0.0</v>
      </c>
      <c r="H2" s="61">
        <v>0.0</v>
      </c>
      <c r="I2" s="61">
        <v>0.0</v>
      </c>
      <c r="J2" s="61">
        <v>0.0</v>
      </c>
      <c r="K2" s="61">
        <v>0.0</v>
      </c>
      <c r="L2" s="61">
        <v>0.0</v>
      </c>
      <c r="M2" s="61">
        <v>0.0</v>
      </c>
      <c r="N2" s="61">
        <v>0.0</v>
      </c>
      <c r="O2" s="61">
        <v>0.0</v>
      </c>
      <c r="P2" s="61">
        <v>0.0</v>
      </c>
      <c r="Q2" s="61">
        <v>0.0</v>
      </c>
      <c r="R2" s="61">
        <v>0.0</v>
      </c>
      <c r="S2" s="32"/>
      <c r="T2" s="66">
        <v>0.0</v>
      </c>
      <c r="U2" s="66"/>
      <c r="V2" s="30"/>
      <c r="W2" s="30"/>
      <c r="X2" s="32"/>
    </row>
    <row r="3">
      <c r="A3" s="34">
        <v>2.0</v>
      </c>
      <c r="B3" s="45" t="s">
        <v>20</v>
      </c>
      <c r="C3" s="47" t="s">
        <v>21</v>
      </c>
      <c r="D3" s="47" t="s">
        <v>31</v>
      </c>
      <c r="E3" s="50"/>
      <c r="F3" s="60">
        <f t="shared" si="1"/>
        <v>0</v>
      </c>
      <c r="G3" s="61">
        <v>0.0</v>
      </c>
      <c r="H3" s="61">
        <v>0.0</v>
      </c>
      <c r="I3" s="61">
        <v>0.0</v>
      </c>
      <c r="J3" s="61">
        <v>0.0</v>
      </c>
      <c r="K3" s="61">
        <v>0.0</v>
      </c>
      <c r="L3" s="61">
        <v>0.0</v>
      </c>
      <c r="M3" s="61">
        <v>0.0</v>
      </c>
      <c r="N3" s="61">
        <v>0.0</v>
      </c>
      <c r="O3" s="61">
        <v>0.0</v>
      </c>
      <c r="P3" s="61">
        <v>0.0</v>
      </c>
      <c r="Q3" s="61">
        <v>0.0</v>
      </c>
      <c r="R3" s="61">
        <v>0.0</v>
      </c>
      <c r="S3" s="32"/>
      <c r="T3" s="66">
        <v>0.0</v>
      </c>
      <c r="U3" s="66"/>
      <c r="V3" s="30"/>
      <c r="W3" s="30"/>
      <c r="X3" s="32"/>
    </row>
    <row r="4">
      <c r="A4" s="34">
        <v>3.0</v>
      </c>
      <c r="B4" s="45" t="s">
        <v>20</v>
      </c>
      <c r="C4" s="47" t="s">
        <v>32</v>
      </c>
      <c r="D4" s="47" t="s">
        <v>33</v>
      </c>
      <c r="E4" s="50"/>
      <c r="F4" s="60">
        <f t="shared" si="1"/>
        <v>0</v>
      </c>
      <c r="G4" s="61">
        <v>0.0</v>
      </c>
      <c r="H4" s="61">
        <v>0.0</v>
      </c>
      <c r="I4" s="61">
        <v>0.0</v>
      </c>
      <c r="J4" s="61">
        <v>0.0</v>
      </c>
      <c r="K4" s="61">
        <v>0.0</v>
      </c>
      <c r="L4" s="61">
        <v>0.0</v>
      </c>
      <c r="M4" s="61">
        <v>0.0</v>
      </c>
      <c r="N4" s="61">
        <v>0.0</v>
      </c>
      <c r="O4" s="61">
        <v>0.0</v>
      </c>
      <c r="P4" s="61">
        <v>0.0</v>
      </c>
      <c r="Q4" s="61">
        <v>0.0</v>
      </c>
      <c r="R4" s="61">
        <v>0.0</v>
      </c>
      <c r="S4" s="32"/>
      <c r="T4" s="66">
        <v>0.0</v>
      </c>
      <c r="U4" s="66"/>
      <c r="V4" s="30"/>
      <c r="W4" s="30"/>
      <c r="X4" s="32"/>
    </row>
    <row r="5">
      <c r="A5" s="34">
        <v>4.0</v>
      </c>
      <c r="B5" s="45" t="s">
        <v>20</v>
      </c>
      <c r="C5" s="47" t="s">
        <v>32</v>
      </c>
      <c r="D5" s="47" t="s">
        <v>34</v>
      </c>
      <c r="E5" s="50"/>
      <c r="F5" s="60">
        <f t="shared" si="1"/>
        <v>0</v>
      </c>
      <c r="G5" s="61">
        <v>0.0</v>
      </c>
      <c r="H5" s="61">
        <v>0.0</v>
      </c>
      <c r="I5" s="61">
        <v>0.0</v>
      </c>
      <c r="J5" s="61">
        <v>0.0</v>
      </c>
      <c r="K5" s="61">
        <v>0.0</v>
      </c>
      <c r="L5" s="61">
        <v>0.0</v>
      </c>
      <c r="M5" s="61">
        <v>0.0</v>
      </c>
      <c r="N5" s="61">
        <v>0.0</v>
      </c>
      <c r="O5" s="61">
        <v>0.0</v>
      </c>
      <c r="P5" s="61">
        <v>0.0</v>
      </c>
      <c r="Q5" s="61">
        <v>0.0</v>
      </c>
      <c r="R5" s="61">
        <v>0.0</v>
      </c>
      <c r="S5" s="32"/>
      <c r="T5" s="66">
        <v>0.0</v>
      </c>
      <c r="U5" s="66"/>
      <c r="V5" s="30"/>
      <c r="W5" s="30"/>
      <c r="X5" s="32"/>
    </row>
    <row r="6">
      <c r="A6" s="34">
        <v>5.0</v>
      </c>
      <c r="B6" s="45" t="s">
        <v>20</v>
      </c>
      <c r="C6" s="47" t="s">
        <v>32</v>
      </c>
      <c r="D6" s="47" t="s">
        <v>37</v>
      </c>
      <c r="E6" s="50"/>
      <c r="F6" s="60">
        <f t="shared" si="1"/>
        <v>0</v>
      </c>
      <c r="G6" s="61">
        <v>0.0</v>
      </c>
      <c r="H6" s="61">
        <v>0.0</v>
      </c>
      <c r="I6" s="61">
        <v>0.0</v>
      </c>
      <c r="J6" s="61">
        <v>0.0</v>
      </c>
      <c r="K6" s="61">
        <v>0.0</v>
      </c>
      <c r="L6" s="61">
        <v>0.0</v>
      </c>
      <c r="M6" s="61">
        <v>0.0</v>
      </c>
      <c r="N6" s="61">
        <v>0.0</v>
      </c>
      <c r="O6" s="61">
        <v>0.0</v>
      </c>
      <c r="P6" s="61">
        <v>0.0</v>
      </c>
      <c r="Q6" s="61">
        <v>0.0</v>
      </c>
      <c r="R6" s="61">
        <v>0.0</v>
      </c>
      <c r="S6" s="32"/>
      <c r="T6" s="66">
        <v>0.0</v>
      </c>
      <c r="U6" s="66"/>
      <c r="V6" s="30"/>
      <c r="W6" s="30"/>
      <c r="X6" s="32"/>
    </row>
    <row r="7">
      <c r="A7" s="80">
        <v>6.0</v>
      </c>
      <c r="B7" s="81" t="s">
        <v>20</v>
      </c>
      <c r="C7" s="82" t="s">
        <v>39</v>
      </c>
      <c r="D7" s="82" t="s">
        <v>41</v>
      </c>
      <c r="E7" s="83" t="s">
        <v>42</v>
      </c>
      <c r="F7" s="84">
        <f t="shared" si="1"/>
        <v>0</v>
      </c>
      <c r="G7" s="85"/>
      <c r="H7" s="85"/>
      <c r="I7" s="85"/>
      <c r="J7" s="85"/>
      <c r="K7" s="85"/>
      <c r="L7" s="85"/>
      <c r="M7" s="85"/>
      <c r="N7" s="85"/>
      <c r="O7" s="85"/>
      <c r="P7" s="85"/>
      <c r="Q7" s="85"/>
      <c r="R7" s="85"/>
      <c r="S7" s="32"/>
      <c r="T7" s="86">
        <v>0.0</v>
      </c>
      <c r="U7" s="86"/>
      <c r="V7" s="30"/>
      <c r="W7" s="30"/>
      <c r="X7" s="32"/>
    </row>
    <row r="8">
      <c r="A8" s="87">
        <v>7.0</v>
      </c>
      <c r="B8" s="81" t="s">
        <v>20</v>
      </c>
      <c r="C8" s="88" t="s">
        <v>39</v>
      </c>
      <c r="D8" s="88" t="s">
        <v>45</v>
      </c>
      <c r="E8" s="89" t="s">
        <v>46</v>
      </c>
      <c r="F8" s="84">
        <f t="shared" si="1"/>
        <v>0</v>
      </c>
      <c r="G8" s="85"/>
      <c r="H8" s="85"/>
      <c r="I8" s="85"/>
      <c r="J8" s="85"/>
      <c r="K8" s="85"/>
      <c r="L8" s="85"/>
      <c r="M8" s="85"/>
      <c r="N8" s="85"/>
      <c r="O8" s="85"/>
      <c r="P8" s="85"/>
      <c r="Q8" s="85"/>
      <c r="R8" s="85"/>
      <c r="S8" s="32"/>
      <c r="T8" s="86">
        <v>0.0</v>
      </c>
      <c r="U8" s="86"/>
      <c r="V8" s="30"/>
      <c r="W8" s="30"/>
      <c r="X8" s="32"/>
    </row>
    <row r="9">
      <c r="A9" s="90">
        <v>8.0</v>
      </c>
      <c r="B9" s="45" t="s">
        <v>20</v>
      </c>
      <c r="C9" s="91" t="s">
        <v>39</v>
      </c>
      <c r="D9" s="91" t="s">
        <v>47</v>
      </c>
      <c r="E9" s="92"/>
      <c r="F9" s="60">
        <f t="shared" si="1"/>
        <v>0</v>
      </c>
      <c r="G9" s="61"/>
      <c r="H9" s="61"/>
      <c r="I9" s="61"/>
      <c r="J9" s="61"/>
      <c r="K9" s="61"/>
      <c r="L9" s="61"/>
      <c r="M9" s="61"/>
      <c r="N9" s="61"/>
      <c r="O9" s="61"/>
      <c r="P9" s="61"/>
      <c r="Q9" s="61"/>
      <c r="R9" s="61"/>
      <c r="S9" s="32"/>
      <c r="T9" s="66">
        <v>0.0</v>
      </c>
      <c r="U9" s="66"/>
      <c r="V9" s="30"/>
      <c r="W9" s="30"/>
      <c r="X9" s="32"/>
    </row>
    <row r="10">
      <c r="A10" s="80">
        <v>9.0</v>
      </c>
      <c r="B10" s="81" t="s">
        <v>20</v>
      </c>
      <c r="C10" s="82" t="s">
        <v>50</v>
      </c>
      <c r="D10" s="82" t="s">
        <v>51</v>
      </c>
      <c r="E10" s="83" t="s">
        <v>52</v>
      </c>
      <c r="F10" s="84">
        <f t="shared" si="1"/>
        <v>0</v>
      </c>
      <c r="G10" s="85"/>
      <c r="H10" s="85"/>
      <c r="I10" s="85"/>
      <c r="J10" s="85"/>
      <c r="K10" s="85"/>
      <c r="L10" s="85"/>
      <c r="M10" s="85"/>
      <c r="N10" s="85"/>
      <c r="O10" s="85"/>
      <c r="P10" s="85"/>
      <c r="Q10" s="85"/>
      <c r="R10" s="85"/>
      <c r="S10" s="32"/>
      <c r="T10" s="86">
        <v>0.0</v>
      </c>
      <c r="U10" s="86"/>
      <c r="V10" s="30"/>
      <c r="W10" s="30"/>
      <c r="X10" s="32"/>
    </row>
    <row r="11">
      <c r="A11" s="99" t="s">
        <v>54</v>
      </c>
      <c r="B11" s="99"/>
      <c r="C11" s="99"/>
      <c r="D11" s="99"/>
      <c r="E11" s="100"/>
      <c r="F11" s="101">
        <f t="shared" ref="F11:R11" si="2">sum(F2:F10)</f>
        <v>0</v>
      </c>
      <c r="G11" s="101">
        <f t="shared" si="2"/>
        <v>0</v>
      </c>
      <c r="H11" s="101">
        <f t="shared" si="2"/>
        <v>0</v>
      </c>
      <c r="I11" s="101">
        <f t="shared" si="2"/>
        <v>0</v>
      </c>
      <c r="J11" s="101">
        <f t="shared" si="2"/>
        <v>0</v>
      </c>
      <c r="K11" s="101">
        <f t="shared" si="2"/>
        <v>0</v>
      </c>
      <c r="L11" s="101">
        <f t="shared" si="2"/>
        <v>0</v>
      </c>
      <c r="M11" s="101">
        <f t="shared" si="2"/>
        <v>0</v>
      </c>
      <c r="N11" s="101">
        <f t="shared" si="2"/>
        <v>0</v>
      </c>
      <c r="O11" s="101">
        <f t="shared" si="2"/>
        <v>0</v>
      </c>
      <c r="P11" s="101">
        <f t="shared" si="2"/>
        <v>0</v>
      </c>
      <c r="Q11" s="101">
        <f t="shared" si="2"/>
        <v>0</v>
      </c>
      <c r="R11" s="101">
        <f t="shared" si="2"/>
        <v>0</v>
      </c>
      <c r="S11" s="32"/>
      <c r="T11" s="102">
        <f t="shared" ref="T11:U11" si="3">sum(T2:T10)</f>
        <v>0</v>
      </c>
      <c r="U11" s="102">
        <f t="shared" si="3"/>
        <v>0</v>
      </c>
      <c r="V11" s="30"/>
      <c r="W11" s="30"/>
      <c r="X11" s="32"/>
    </row>
    <row r="12">
      <c r="A12" s="30"/>
      <c r="B12" s="30"/>
      <c r="C12" s="30"/>
      <c r="D12" s="30"/>
      <c r="E12" s="103"/>
      <c r="F12" s="30"/>
      <c r="G12" s="30"/>
      <c r="H12" s="30"/>
      <c r="I12" s="30"/>
      <c r="J12" s="30"/>
      <c r="K12" s="30"/>
      <c r="L12" s="30"/>
      <c r="M12" s="30"/>
      <c r="N12" s="30"/>
      <c r="O12" s="30"/>
      <c r="P12" s="30"/>
      <c r="Q12" s="30"/>
      <c r="R12" s="30"/>
      <c r="S12" s="32"/>
      <c r="T12" s="30"/>
      <c r="U12" s="30"/>
      <c r="V12" s="30"/>
      <c r="W12" s="30"/>
      <c r="X12" s="32"/>
    </row>
    <row r="13">
      <c r="A13" s="30"/>
      <c r="B13" s="30"/>
      <c r="C13" s="107" t="s">
        <v>56</v>
      </c>
      <c r="D13" s="108" t="s">
        <v>58</v>
      </c>
      <c r="E13" s="103"/>
      <c r="F13" s="30"/>
      <c r="G13" s="30"/>
      <c r="H13" s="30"/>
      <c r="I13" s="30"/>
      <c r="J13" s="30"/>
      <c r="K13" s="30"/>
      <c r="L13" s="30"/>
      <c r="M13" s="30"/>
      <c r="N13" s="30"/>
      <c r="O13" s="30"/>
      <c r="P13" s="30"/>
      <c r="Q13" s="30"/>
      <c r="R13" s="30"/>
      <c r="S13" s="32"/>
      <c r="T13" s="30"/>
      <c r="U13" s="30"/>
      <c r="V13" s="30"/>
      <c r="W13" s="30"/>
      <c r="X13" s="32"/>
    </row>
    <row r="14">
      <c r="A14" s="30"/>
      <c r="B14" s="30"/>
      <c r="C14" s="30"/>
      <c r="D14" s="108" t="s">
        <v>60</v>
      </c>
      <c r="E14" s="103"/>
      <c r="F14" s="30"/>
      <c r="G14" s="30"/>
      <c r="H14" s="30"/>
      <c r="I14" s="30"/>
      <c r="J14" s="30"/>
      <c r="K14" s="30"/>
      <c r="L14" s="30"/>
      <c r="M14" s="30"/>
      <c r="N14" s="30"/>
      <c r="O14" s="30"/>
      <c r="P14" s="30"/>
      <c r="Q14" s="30"/>
      <c r="R14" s="30"/>
      <c r="S14" s="30"/>
      <c r="T14" s="30"/>
      <c r="U14" s="30"/>
      <c r="V14" s="30"/>
      <c r="W14" s="30"/>
      <c r="X14" s="30"/>
    </row>
    <row r="15">
      <c r="A15" s="30"/>
      <c r="B15" s="30"/>
      <c r="C15" s="30"/>
      <c r="D15" s="108" t="s">
        <v>61</v>
      </c>
      <c r="E15" s="103"/>
      <c r="F15" s="30"/>
      <c r="G15" s="30"/>
      <c r="H15" s="30"/>
      <c r="I15" s="30"/>
      <c r="J15" s="30"/>
      <c r="K15" s="30"/>
      <c r="L15" s="30"/>
      <c r="M15" s="30"/>
      <c r="N15" s="30"/>
      <c r="O15" s="30"/>
      <c r="P15" s="30"/>
      <c r="Q15" s="30"/>
      <c r="R15" s="30"/>
      <c r="S15" s="30"/>
      <c r="T15" s="30"/>
      <c r="U15" s="30"/>
      <c r="V15" s="30"/>
      <c r="W15" s="30"/>
      <c r="X15" s="30"/>
    </row>
    <row r="16">
      <c r="A16" s="30"/>
      <c r="B16" s="30"/>
      <c r="C16" s="30"/>
      <c r="D16" s="30"/>
      <c r="E16" s="103"/>
      <c r="F16" s="30"/>
      <c r="G16" s="30"/>
      <c r="H16" s="30"/>
      <c r="I16" s="30"/>
      <c r="J16" s="30"/>
      <c r="K16" s="30"/>
      <c r="L16" s="30"/>
      <c r="M16" s="30"/>
      <c r="N16" s="30"/>
      <c r="O16" s="30"/>
      <c r="P16" s="30"/>
      <c r="Q16" s="30"/>
      <c r="R16" s="30"/>
      <c r="S16" s="30"/>
      <c r="T16" s="30"/>
      <c r="U16" s="30"/>
      <c r="V16" s="30"/>
      <c r="W16" s="30"/>
      <c r="X16" s="30"/>
    </row>
    <row r="17">
      <c r="A17" s="30"/>
      <c r="B17" s="30"/>
      <c r="C17" s="30"/>
      <c r="D17" s="30"/>
      <c r="E17" s="114" t="s">
        <v>64</v>
      </c>
      <c r="F17" s="30"/>
      <c r="G17" s="30"/>
      <c r="H17" s="30"/>
      <c r="I17" s="30"/>
      <c r="J17" s="30"/>
      <c r="K17" s="30"/>
      <c r="L17" s="30"/>
      <c r="M17" s="30"/>
      <c r="N17" s="30"/>
      <c r="O17" s="30"/>
      <c r="P17" s="30"/>
      <c r="Q17" s="30"/>
      <c r="R17" s="30"/>
      <c r="S17" s="30"/>
      <c r="T17" s="30"/>
      <c r="U17" s="30"/>
      <c r="V17" s="30"/>
      <c r="W17" s="30"/>
      <c r="X17" s="30"/>
    </row>
    <row r="18">
      <c r="A18" s="30"/>
      <c r="B18" s="30"/>
      <c r="C18" s="30"/>
      <c r="D18" s="116" t="s">
        <v>66</v>
      </c>
      <c r="E18" s="60">
        <v>253268.0</v>
      </c>
      <c r="F18" s="30"/>
      <c r="G18" s="30"/>
      <c r="H18" s="30"/>
      <c r="I18" s="30"/>
      <c r="J18" s="30"/>
      <c r="K18" s="30"/>
      <c r="L18" s="30"/>
      <c r="M18" s="30"/>
      <c r="N18" s="30"/>
      <c r="O18" s="30"/>
      <c r="P18" s="30"/>
      <c r="Q18" s="30"/>
      <c r="R18" s="30"/>
      <c r="S18" s="30"/>
      <c r="T18" s="30"/>
      <c r="U18" s="30"/>
      <c r="V18" s="30"/>
      <c r="W18" s="30"/>
      <c r="X18" s="30"/>
    </row>
    <row r="19">
      <c r="A19" s="30"/>
      <c r="B19" s="30"/>
      <c r="C19" s="30"/>
      <c r="D19" s="30"/>
      <c r="E19" s="103"/>
      <c r="F19" s="30"/>
      <c r="G19" s="30"/>
      <c r="H19" s="30"/>
      <c r="I19" s="30"/>
      <c r="J19" s="30"/>
      <c r="K19" s="30"/>
      <c r="L19" s="30"/>
      <c r="M19" s="30"/>
      <c r="N19" s="30"/>
      <c r="O19" s="30"/>
      <c r="P19" s="30"/>
      <c r="Q19" s="30"/>
      <c r="R19" s="30"/>
      <c r="S19" s="30"/>
      <c r="T19" s="30"/>
      <c r="U19" s="30"/>
      <c r="V19" s="30"/>
      <c r="W19" s="30"/>
      <c r="X19" s="30"/>
    </row>
    <row r="20">
      <c r="A20" s="30"/>
      <c r="B20" s="30"/>
      <c r="C20" s="30"/>
      <c r="D20" s="119">
        <v>600000.0</v>
      </c>
      <c r="E20" s="103"/>
      <c r="F20" s="30"/>
      <c r="G20" s="30"/>
      <c r="H20" s="30"/>
      <c r="I20" s="30"/>
      <c r="J20" s="30"/>
      <c r="K20" s="30"/>
      <c r="L20" s="30"/>
      <c r="M20" s="30"/>
      <c r="N20" s="30"/>
      <c r="O20" s="30"/>
      <c r="P20" s="30"/>
      <c r="Q20" s="30"/>
      <c r="R20" s="30"/>
      <c r="S20" s="30"/>
      <c r="T20" s="30"/>
      <c r="U20" s="30"/>
      <c r="V20" s="30"/>
      <c r="W20" s="30"/>
      <c r="X20" s="30"/>
    </row>
    <row r="21" ht="15.75" customHeight="1">
      <c r="A21" s="30"/>
      <c r="B21" s="30"/>
      <c r="C21" s="30"/>
      <c r="D21" s="30">
        <f>35000*5</f>
        <v>175000</v>
      </c>
      <c r="E21" s="103"/>
      <c r="F21" s="30"/>
      <c r="G21" s="30"/>
      <c r="H21" s="30"/>
      <c r="I21" s="30"/>
      <c r="J21" s="30"/>
      <c r="K21" s="30"/>
      <c r="L21" s="30"/>
      <c r="M21" s="30"/>
      <c r="N21" s="30"/>
      <c r="O21" s="30"/>
      <c r="P21" s="30"/>
      <c r="Q21" s="30"/>
      <c r="R21" s="30"/>
      <c r="S21" s="30"/>
      <c r="T21" s="30"/>
      <c r="U21" s="30"/>
      <c r="V21" s="30"/>
      <c r="W21" s="30"/>
      <c r="X21" s="30"/>
    </row>
    <row r="22" ht="15.75" customHeight="1">
      <c r="A22" s="30"/>
      <c r="B22" s="30"/>
      <c r="C22" s="30"/>
      <c r="D22" s="30">
        <f>sum(D20:D21)</f>
        <v>775000</v>
      </c>
      <c r="E22" s="103"/>
      <c r="F22" s="30"/>
      <c r="G22" s="30"/>
      <c r="H22" s="30"/>
      <c r="I22" s="30"/>
      <c r="J22" s="30"/>
      <c r="K22" s="30"/>
      <c r="L22" s="30"/>
      <c r="M22" s="30"/>
      <c r="N22" s="30"/>
      <c r="O22" s="30"/>
      <c r="P22" s="30"/>
      <c r="Q22" s="30"/>
      <c r="R22" s="30"/>
      <c r="S22" s="30"/>
      <c r="T22" s="30"/>
      <c r="U22" s="30"/>
      <c r="V22" s="30"/>
      <c r="W22" s="30"/>
      <c r="X22" s="30"/>
    </row>
    <row r="23" ht="15.75" customHeight="1">
      <c r="A23" s="30"/>
      <c r="B23" s="30"/>
      <c r="C23" s="30"/>
      <c r="D23" s="125">
        <f>F7-D22</f>
        <v>-775000</v>
      </c>
      <c r="E23" s="114" t="s">
        <v>69</v>
      </c>
      <c r="F23" s="30"/>
      <c r="G23" s="30"/>
      <c r="H23" s="30"/>
      <c r="I23" s="30"/>
      <c r="J23" s="30"/>
      <c r="K23" s="30"/>
      <c r="L23" s="30"/>
      <c r="M23" s="30"/>
      <c r="N23" s="30"/>
      <c r="O23" s="30"/>
      <c r="P23" s="30"/>
      <c r="Q23" s="30"/>
      <c r="R23" s="30"/>
      <c r="S23" s="30"/>
      <c r="T23" s="30"/>
      <c r="U23" s="30"/>
      <c r="V23" s="30"/>
      <c r="W23" s="30"/>
      <c r="X23" s="30"/>
    </row>
    <row r="24" ht="15.75" customHeight="1">
      <c r="A24" s="30"/>
      <c r="B24" s="30"/>
      <c r="C24" s="30"/>
      <c r="D24" s="30"/>
      <c r="E24" s="103"/>
      <c r="F24" s="30"/>
      <c r="G24" s="30"/>
      <c r="H24" s="30"/>
      <c r="I24" s="30"/>
      <c r="J24" s="30"/>
      <c r="K24" s="30"/>
      <c r="L24" s="30"/>
      <c r="M24" s="30"/>
      <c r="N24" s="30"/>
      <c r="O24" s="30"/>
      <c r="P24" s="30"/>
      <c r="Q24" s="30"/>
      <c r="R24" s="30"/>
      <c r="S24" s="30"/>
      <c r="T24" s="30"/>
      <c r="U24" s="30"/>
      <c r="V24" s="30"/>
      <c r="W24" s="30"/>
      <c r="X24" s="30"/>
    </row>
    <row r="25" ht="15.75" customHeight="1">
      <c r="A25" s="30"/>
      <c r="B25" s="30"/>
      <c r="C25" s="30"/>
      <c r="D25" s="30"/>
      <c r="E25" s="103"/>
      <c r="F25" s="30"/>
      <c r="G25" s="30"/>
      <c r="H25" s="30"/>
      <c r="I25" s="30"/>
      <c r="J25" s="30"/>
      <c r="K25" s="30"/>
      <c r="L25" s="30"/>
      <c r="M25" s="30"/>
      <c r="N25" s="30"/>
      <c r="O25" s="30"/>
      <c r="P25" s="30"/>
      <c r="Q25" s="30"/>
      <c r="R25" s="30"/>
      <c r="S25" s="30"/>
      <c r="T25" s="30"/>
      <c r="U25" s="30"/>
      <c r="V25" s="30"/>
      <c r="W25" s="30"/>
      <c r="X25" s="30"/>
    </row>
    <row r="26" ht="15.75" customHeight="1">
      <c r="A26" s="30"/>
      <c r="B26" s="30"/>
      <c r="C26" s="30"/>
      <c r="D26" s="30"/>
      <c r="E26" s="103"/>
      <c r="F26" s="30"/>
      <c r="G26" s="30"/>
      <c r="H26" s="30"/>
      <c r="I26" s="30"/>
      <c r="J26" s="30"/>
      <c r="K26" s="30"/>
      <c r="L26" s="30"/>
      <c r="M26" s="30"/>
      <c r="N26" s="30"/>
      <c r="O26" s="30"/>
      <c r="P26" s="30"/>
      <c r="Q26" s="30"/>
      <c r="R26" s="30"/>
      <c r="S26" s="30"/>
      <c r="T26" s="30"/>
      <c r="U26" s="30"/>
      <c r="V26" s="30"/>
      <c r="W26" s="30"/>
      <c r="X26" s="30"/>
    </row>
    <row r="27" ht="15.75" customHeight="1">
      <c r="A27" s="30"/>
      <c r="B27" s="30"/>
      <c r="C27" s="30"/>
      <c r="D27" s="30"/>
      <c r="E27" s="103"/>
      <c r="F27" s="30"/>
      <c r="G27" s="30"/>
      <c r="H27" s="30"/>
      <c r="I27" s="30"/>
      <c r="J27" s="30"/>
      <c r="K27" s="30"/>
      <c r="L27" s="30"/>
      <c r="M27" s="30"/>
      <c r="N27" s="30"/>
      <c r="O27" s="30"/>
      <c r="P27" s="30"/>
      <c r="Q27" s="30"/>
      <c r="R27" s="30"/>
      <c r="S27" s="30"/>
      <c r="T27" s="30"/>
      <c r="U27" s="30"/>
      <c r="V27" s="30"/>
      <c r="W27" s="30"/>
      <c r="X27" s="30"/>
    </row>
    <row r="28" ht="15.75" customHeight="1">
      <c r="A28" s="30"/>
      <c r="B28" s="30"/>
      <c r="C28" s="30"/>
      <c r="D28" s="30"/>
      <c r="E28" s="103"/>
      <c r="F28" s="30"/>
      <c r="G28" s="30"/>
      <c r="H28" s="30"/>
      <c r="I28" s="30"/>
      <c r="J28" s="30"/>
      <c r="K28" s="30"/>
      <c r="L28" s="30"/>
      <c r="M28" s="30"/>
      <c r="N28" s="30"/>
      <c r="O28" s="30"/>
      <c r="P28" s="30"/>
      <c r="Q28" s="30"/>
      <c r="R28" s="30"/>
      <c r="S28" s="30"/>
      <c r="T28" s="30"/>
      <c r="U28" s="30"/>
      <c r="V28" s="30"/>
      <c r="W28" s="30"/>
      <c r="X28" s="30"/>
    </row>
    <row r="29" ht="15.75" customHeight="1">
      <c r="A29" s="30"/>
      <c r="B29" s="30"/>
      <c r="C29" s="30"/>
      <c r="D29" s="30"/>
      <c r="E29" s="103"/>
      <c r="F29" s="30"/>
      <c r="G29" s="30"/>
      <c r="H29" s="30"/>
      <c r="I29" s="30"/>
      <c r="J29" s="30"/>
      <c r="K29" s="30"/>
      <c r="L29" s="30"/>
      <c r="M29" s="30"/>
      <c r="N29" s="30"/>
      <c r="O29" s="30"/>
      <c r="P29" s="30"/>
      <c r="Q29" s="30"/>
      <c r="R29" s="30"/>
      <c r="S29" s="30"/>
      <c r="T29" s="30"/>
      <c r="U29" s="30"/>
      <c r="V29" s="30"/>
      <c r="W29" s="30"/>
      <c r="X29" s="30"/>
    </row>
    <row r="30" ht="15.75" customHeight="1">
      <c r="A30" s="30"/>
      <c r="B30" s="30"/>
      <c r="C30" s="30"/>
      <c r="D30" s="30"/>
      <c r="E30" s="103"/>
      <c r="F30" s="30"/>
      <c r="G30" s="30"/>
      <c r="H30" s="30"/>
      <c r="I30" s="30"/>
      <c r="J30" s="30"/>
      <c r="K30" s="30"/>
      <c r="L30" s="30"/>
      <c r="M30" s="30"/>
      <c r="N30" s="30"/>
      <c r="O30" s="30"/>
      <c r="P30" s="30"/>
      <c r="Q30" s="30"/>
      <c r="R30" s="30"/>
      <c r="S30" s="30"/>
      <c r="T30" s="30"/>
      <c r="U30" s="30"/>
      <c r="V30" s="30"/>
      <c r="W30" s="30"/>
      <c r="X30" s="30"/>
    </row>
    <row r="31" ht="15.75" customHeight="1">
      <c r="A31" s="30"/>
      <c r="B31" s="30"/>
      <c r="C31" s="30"/>
      <c r="D31" s="30"/>
      <c r="E31" s="103"/>
      <c r="F31" s="30"/>
      <c r="G31" s="30"/>
      <c r="H31" s="30"/>
      <c r="I31" s="30"/>
      <c r="J31" s="30"/>
      <c r="K31" s="30"/>
      <c r="L31" s="30"/>
      <c r="M31" s="30"/>
      <c r="N31" s="30"/>
      <c r="O31" s="30"/>
      <c r="P31" s="30"/>
      <c r="Q31" s="30"/>
      <c r="R31" s="30"/>
      <c r="S31" s="30"/>
      <c r="T31" s="30"/>
      <c r="U31" s="30"/>
      <c r="V31" s="30"/>
      <c r="W31" s="30"/>
      <c r="X31" s="30"/>
    </row>
    <row r="32" ht="15.75" customHeight="1">
      <c r="A32" s="30"/>
      <c r="B32" s="30"/>
      <c r="C32" s="30"/>
      <c r="D32" s="30"/>
      <c r="E32" s="103"/>
      <c r="F32" s="30"/>
      <c r="G32" s="30"/>
      <c r="H32" s="30"/>
      <c r="I32" s="30"/>
      <c r="J32" s="30"/>
      <c r="K32" s="30"/>
      <c r="L32" s="30"/>
      <c r="M32" s="30"/>
      <c r="N32" s="30"/>
      <c r="O32" s="30"/>
      <c r="P32" s="30"/>
      <c r="Q32" s="30"/>
      <c r="R32" s="30"/>
      <c r="S32" s="30"/>
      <c r="T32" s="30"/>
      <c r="U32" s="30"/>
      <c r="V32" s="30"/>
      <c r="W32" s="30"/>
      <c r="X32" s="30"/>
    </row>
    <row r="33" ht="15.75" customHeight="1">
      <c r="A33" s="30"/>
      <c r="B33" s="30"/>
      <c r="C33" s="30"/>
      <c r="D33" s="30"/>
      <c r="E33" s="103"/>
      <c r="F33" s="30"/>
      <c r="G33" s="30"/>
      <c r="H33" s="30"/>
      <c r="I33" s="30"/>
      <c r="J33" s="30"/>
      <c r="K33" s="30"/>
      <c r="L33" s="30"/>
      <c r="M33" s="30"/>
      <c r="N33" s="30"/>
      <c r="O33" s="30"/>
      <c r="P33" s="30"/>
      <c r="Q33" s="30"/>
      <c r="R33" s="30"/>
      <c r="S33" s="30"/>
      <c r="T33" s="30"/>
      <c r="U33" s="30"/>
      <c r="V33" s="30"/>
      <c r="W33" s="30"/>
      <c r="X33" s="30"/>
    </row>
    <row r="34" ht="15.75" customHeight="1">
      <c r="A34" s="30"/>
      <c r="B34" s="30"/>
      <c r="C34" s="30"/>
      <c r="D34" s="30"/>
      <c r="E34" s="103"/>
      <c r="F34" s="30"/>
      <c r="G34" s="30"/>
      <c r="H34" s="30"/>
      <c r="I34" s="30"/>
      <c r="J34" s="30"/>
      <c r="K34" s="30"/>
      <c r="L34" s="30"/>
      <c r="M34" s="30"/>
      <c r="N34" s="30"/>
      <c r="O34" s="30"/>
      <c r="P34" s="30"/>
      <c r="Q34" s="30"/>
      <c r="R34" s="30"/>
      <c r="S34" s="30"/>
      <c r="T34" s="30"/>
      <c r="U34" s="30"/>
      <c r="V34" s="30"/>
      <c r="W34" s="30"/>
      <c r="X34" s="30"/>
    </row>
    <row r="35" ht="15.75" customHeight="1">
      <c r="A35" s="30"/>
      <c r="B35" s="30"/>
      <c r="C35" s="30"/>
      <c r="D35" s="30"/>
      <c r="E35" s="103"/>
      <c r="F35" s="30"/>
      <c r="G35" s="30"/>
      <c r="H35" s="30"/>
      <c r="I35" s="30"/>
      <c r="J35" s="30"/>
      <c r="K35" s="30"/>
      <c r="L35" s="30"/>
      <c r="M35" s="30"/>
      <c r="N35" s="30"/>
      <c r="O35" s="30"/>
      <c r="P35" s="30"/>
      <c r="Q35" s="30"/>
      <c r="R35" s="30"/>
      <c r="S35" s="30"/>
      <c r="T35" s="30"/>
      <c r="U35" s="30"/>
      <c r="V35" s="30"/>
      <c r="W35" s="30"/>
      <c r="X35" s="30"/>
    </row>
    <row r="36" ht="15.75" customHeight="1">
      <c r="A36" s="30"/>
      <c r="B36" s="30"/>
      <c r="C36" s="30"/>
      <c r="D36" s="30"/>
      <c r="E36" s="103"/>
      <c r="F36" s="30"/>
      <c r="G36" s="30"/>
      <c r="H36" s="30"/>
      <c r="I36" s="30"/>
      <c r="J36" s="30"/>
      <c r="K36" s="30"/>
      <c r="L36" s="30"/>
      <c r="M36" s="30"/>
      <c r="N36" s="30"/>
      <c r="O36" s="30"/>
      <c r="P36" s="30"/>
      <c r="Q36" s="30"/>
      <c r="R36" s="30"/>
      <c r="S36" s="30"/>
      <c r="T36" s="30"/>
      <c r="U36" s="30"/>
      <c r="V36" s="30"/>
      <c r="W36" s="30"/>
      <c r="X36" s="30"/>
    </row>
    <row r="37" ht="15.75" customHeight="1">
      <c r="A37" s="30"/>
      <c r="B37" s="30"/>
      <c r="C37" s="30"/>
      <c r="D37" s="30"/>
      <c r="E37" s="103"/>
      <c r="F37" s="30"/>
      <c r="G37" s="30"/>
      <c r="H37" s="30"/>
      <c r="I37" s="30"/>
      <c r="J37" s="30"/>
      <c r="K37" s="30"/>
      <c r="L37" s="30"/>
      <c r="M37" s="30"/>
      <c r="N37" s="30"/>
      <c r="O37" s="30"/>
      <c r="P37" s="30"/>
      <c r="Q37" s="30"/>
      <c r="R37" s="30"/>
      <c r="S37" s="30"/>
      <c r="T37" s="30"/>
      <c r="U37" s="30"/>
      <c r="V37" s="30"/>
      <c r="W37" s="30"/>
      <c r="X37" s="30"/>
    </row>
    <row r="38" ht="15.75" customHeight="1">
      <c r="A38" s="30"/>
      <c r="B38" s="30"/>
      <c r="C38" s="30"/>
      <c r="D38" s="30"/>
      <c r="E38" s="103"/>
      <c r="F38" s="30"/>
      <c r="G38" s="30"/>
      <c r="H38" s="30"/>
      <c r="I38" s="30"/>
      <c r="J38" s="30"/>
      <c r="K38" s="30"/>
      <c r="L38" s="30"/>
      <c r="M38" s="30"/>
      <c r="N38" s="30"/>
      <c r="O38" s="30"/>
      <c r="P38" s="30"/>
      <c r="Q38" s="30"/>
      <c r="R38" s="30"/>
      <c r="S38" s="30"/>
      <c r="T38" s="30"/>
      <c r="U38" s="30"/>
      <c r="V38" s="30"/>
      <c r="W38" s="30"/>
      <c r="X38" s="30"/>
    </row>
    <row r="39" ht="15.75" customHeight="1">
      <c r="A39" s="30"/>
      <c r="B39" s="30"/>
      <c r="C39" s="30"/>
      <c r="D39" s="30"/>
      <c r="E39" s="103"/>
      <c r="F39" s="30"/>
      <c r="G39" s="30"/>
      <c r="H39" s="30"/>
      <c r="I39" s="30"/>
      <c r="J39" s="30"/>
      <c r="K39" s="30"/>
      <c r="L39" s="30"/>
      <c r="M39" s="30"/>
      <c r="N39" s="30"/>
      <c r="O39" s="30"/>
      <c r="P39" s="30"/>
      <c r="Q39" s="30"/>
      <c r="R39" s="30"/>
      <c r="S39" s="30"/>
      <c r="T39" s="30"/>
      <c r="U39" s="30"/>
      <c r="V39" s="30"/>
      <c r="W39" s="30"/>
      <c r="X39" s="30"/>
    </row>
    <row r="40" ht="15.75" customHeight="1">
      <c r="A40" s="30"/>
      <c r="B40" s="30"/>
      <c r="C40" s="30"/>
      <c r="D40" s="30"/>
      <c r="E40" s="103"/>
      <c r="F40" s="30"/>
      <c r="G40" s="30"/>
      <c r="H40" s="30"/>
      <c r="I40" s="30"/>
      <c r="J40" s="30"/>
      <c r="K40" s="30"/>
      <c r="L40" s="30"/>
      <c r="M40" s="30"/>
      <c r="N40" s="30"/>
      <c r="O40" s="30"/>
      <c r="P40" s="30"/>
      <c r="Q40" s="30"/>
      <c r="R40" s="30"/>
      <c r="S40" s="30"/>
      <c r="T40" s="30"/>
      <c r="U40" s="30"/>
      <c r="V40" s="30"/>
      <c r="W40" s="30"/>
      <c r="X40" s="30"/>
    </row>
    <row r="41" ht="15.75" customHeight="1">
      <c r="A41" s="30"/>
      <c r="B41" s="30"/>
      <c r="C41" s="30"/>
      <c r="D41" s="30"/>
      <c r="E41" s="103"/>
      <c r="F41" s="30"/>
      <c r="G41" s="30"/>
      <c r="H41" s="30"/>
      <c r="I41" s="30"/>
      <c r="J41" s="30"/>
      <c r="K41" s="30"/>
      <c r="L41" s="30"/>
      <c r="M41" s="30"/>
      <c r="N41" s="30"/>
      <c r="O41" s="30"/>
      <c r="P41" s="30"/>
      <c r="Q41" s="30"/>
      <c r="R41" s="30"/>
      <c r="S41" s="30"/>
      <c r="T41" s="30"/>
      <c r="U41" s="30"/>
      <c r="V41" s="30"/>
      <c r="W41" s="30"/>
      <c r="X41" s="30"/>
    </row>
    <row r="42" ht="15.75" customHeight="1">
      <c r="A42" s="30"/>
      <c r="B42" s="30"/>
      <c r="C42" s="30"/>
      <c r="D42" s="30"/>
      <c r="E42" s="103"/>
      <c r="F42" s="30"/>
      <c r="G42" s="30"/>
      <c r="H42" s="30"/>
      <c r="I42" s="30"/>
      <c r="J42" s="30"/>
      <c r="K42" s="30"/>
      <c r="L42" s="30"/>
      <c r="M42" s="30"/>
      <c r="N42" s="30"/>
      <c r="O42" s="30"/>
      <c r="P42" s="30"/>
      <c r="Q42" s="30"/>
      <c r="R42" s="30"/>
      <c r="S42" s="30"/>
      <c r="T42" s="30"/>
      <c r="U42" s="30"/>
      <c r="V42" s="30"/>
      <c r="W42" s="30"/>
      <c r="X42" s="30"/>
    </row>
    <row r="43" ht="15.75" customHeight="1">
      <c r="A43" s="30"/>
      <c r="B43" s="30"/>
      <c r="C43" s="30"/>
      <c r="D43" s="30"/>
      <c r="E43" s="103"/>
      <c r="F43" s="30"/>
      <c r="G43" s="30"/>
      <c r="H43" s="30"/>
      <c r="I43" s="30"/>
      <c r="J43" s="30"/>
      <c r="K43" s="30"/>
      <c r="L43" s="30"/>
      <c r="M43" s="30"/>
      <c r="N43" s="30"/>
      <c r="O43" s="30"/>
      <c r="P43" s="30"/>
      <c r="Q43" s="30"/>
      <c r="R43" s="30"/>
      <c r="S43" s="30"/>
      <c r="T43" s="30"/>
      <c r="U43" s="30"/>
      <c r="V43" s="30"/>
      <c r="W43" s="30"/>
      <c r="X43" s="30"/>
    </row>
    <row r="44" ht="15.75" customHeight="1">
      <c r="A44" s="30"/>
      <c r="B44" s="30"/>
      <c r="C44" s="30"/>
      <c r="D44" s="30"/>
      <c r="E44" s="103"/>
      <c r="F44" s="30"/>
      <c r="G44" s="30"/>
      <c r="H44" s="30"/>
      <c r="I44" s="30"/>
      <c r="J44" s="30"/>
      <c r="K44" s="30"/>
      <c r="L44" s="30"/>
      <c r="M44" s="30"/>
      <c r="N44" s="30"/>
      <c r="O44" s="30"/>
      <c r="P44" s="30"/>
      <c r="Q44" s="30"/>
      <c r="R44" s="30"/>
      <c r="S44" s="30"/>
      <c r="T44" s="30"/>
      <c r="U44" s="30"/>
      <c r="V44" s="30"/>
      <c r="W44" s="30"/>
      <c r="X44" s="30"/>
    </row>
    <row r="45" ht="15.75" customHeight="1">
      <c r="A45" s="30"/>
      <c r="B45" s="30"/>
      <c r="C45" s="30"/>
      <c r="D45" s="30"/>
      <c r="E45" s="103"/>
      <c r="F45" s="30"/>
      <c r="G45" s="30"/>
      <c r="H45" s="30"/>
      <c r="I45" s="30"/>
      <c r="J45" s="30"/>
      <c r="K45" s="30"/>
      <c r="L45" s="30"/>
      <c r="M45" s="30"/>
      <c r="N45" s="30"/>
      <c r="O45" s="30"/>
      <c r="P45" s="30"/>
      <c r="Q45" s="30"/>
      <c r="R45" s="30"/>
      <c r="S45" s="30"/>
      <c r="T45" s="30"/>
      <c r="U45" s="30"/>
      <c r="V45" s="30"/>
      <c r="W45" s="30"/>
      <c r="X45" s="30"/>
    </row>
    <row r="46" ht="15.75" customHeight="1">
      <c r="A46" s="30"/>
      <c r="B46" s="30"/>
      <c r="C46" s="30"/>
      <c r="D46" s="30"/>
      <c r="E46" s="103"/>
      <c r="F46" s="30"/>
      <c r="G46" s="30"/>
      <c r="H46" s="30"/>
      <c r="I46" s="30"/>
      <c r="J46" s="30"/>
      <c r="K46" s="30"/>
      <c r="L46" s="30"/>
      <c r="M46" s="30"/>
      <c r="N46" s="30"/>
      <c r="O46" s="30"/>
      <c r="P46" s="30"/>
      <c r="Q46" s="30"/>
      <c r="R46" s="30"/>
      <c r="S46" s="30"/>
      <c r="T46" s="30"/>
      <c r="U46" s="30"/>
      <c r="V46" s="30"/>
      <c r="W46" s="30"/>
      <c r="X46" s="30"/>
    </row>
    <row r="47" ht="15.75" customHeight="1">
      <c r="A47" s="30"/>
      <c r="B47" s="30"/>
      <c r="C47" s="30"/>
      <c r="D47" s="30"/>
      <c r="E47" s="103"/>
      <c r="F47" s="30"/>
      <c r="G47" s="30"/>
      <c r="H47" s="30"/>
      <c r="I47" s="30"/>
      <c r="J47" s="30"/>
      <c r="K47" s="30"/>
      <c r="L47" s="30"/>
      <c r="M47" s="30"/>
      <c r="N47" s="30"/>
      <c r="O47" s="30"/>
      <c r="P47" s="30"/>
      <c r="Q47" s="30"/>
      <c r="R47" s="30"/>
      <c r="S47" s="30"/>
      <c r="T47" s="30"/>
      <c r="U47" s="30"/>
      <c r="V47" s="30"/>
      <c r="W47" s="30"/>
      <c r="X47" s="30"/>
    </row>
    <row r="48" ht="15.75" customHeight="1">
      <c r="A48" s="30"/>
      <c r="B48" s="30"/>
      <c r="C48" s="30"/>
      <c r="D48" s="30"/>
      <c r="E48" s="103"/>
      <c r="F48" s="30"/>
      <c r="G48" s="30"/>
      <c r="H48" s="30"/>
      <c r="I48" s="30"/>
      <c r="J48" s="30"/>
      <c r="K48" s="30"/>
      <c r="L48" s="30"/>
      <c r="M48" s="30"/>
      <c r="N48" s="30"/>
      <c r="O48" s="30"/>
      <c r="P48" s="30"/>
      <c r="Q48" s="30"/>
      <c r="R48" s="30"/>
      <c r="S48" s="30"/>
      <c r="T48" s="30"/>
      <c r="U48" s="30"/>
      <c r="V48" s="30"/>
      <c r="W48" s="30"/>
      <c r="X48" s="30"/>
    </row>
    <row r="49" ht="15.75" customHeight="1">
      <c r="A49" s="30"/>
      <c r="B49" s="30"/>
      <c r="C49" s="30"/>
      <c r="D49" s="30"/>
      <c r="E49" s="103"/>
      <c r="F49" s="30"/>
      <c r="G49" s="30"/>
      <c r="H49" s="30"/>
      <c r="I49" s="30"/>
      <c r="J49" s="30"/>
      <c r="K49" s="30"/>
      <c r="L49" s="30"/>
      <c r="M49" s="30"/>
      <c r="N49" s="30"/>
      <c r="O49" s="30"/>
      <c r="P49" s="30"/>
      <c r="Q49" s="30"/>
      <c r="R49" s="30"/>
      <c r="S49" s="30"/>
      <c r="T49" s="30"/>
      <c r="U49" s="30"/>
      <c r="V49" s="30"/>
      <c r="W49" s="30"/>
      <c r="X49" s="30"/>
    </row>
    <row r="50" ht="15.75" customHeight="1">
      <c r="A50" s="30"/>
      <c r="B50" s="30"/>
      <c r="C50" s="30"/>
      <c r="D50" s="30"/>
      <c r="E50" s="103"/>
      <c r="F50" s="30"/>
      <c r="G50" s="30"/>
      <c r="H50" s="30"/>
      <c r="I50" s="30"/>
      <c r="J50" s="30"/>
      <c r="K50" s="30"/>
      <c r="L50" s="30"/>
      <c r="M50" s="30"/>
      <c r="N50" s="30"/>
      <c r="O50" s="30"/>
      <c r="P50" s="30"/>
      <c r="Q50" s="30"/>
      <c r="R50" s="30"/>
      <c r="S50" s="30"/>
      <c r="T50" s="30"/>
      <c r="U50" s="30"/>
      <c r="V50" s="30"/>
      <c r="W50" s="30"/>
      <c r="X50" s="30"/>
    </row>
    <row r="51" ht="15.75" customHeight="1">
      <c r="A51" s="30"/>
      <c r="B51" s="30"/>
      <c r="C51" s="30"/>
      <c r="D51" s="30"/>
      <c r="E51" s="103"/>
      <c r="F51" s="30"/>
      <c r="G51" s="30"/>
      <c r="H51" s="30"/>
      <c r="I51" s="30"/>
      <c r="J51" s="30"/>
      <c r="K51" s="30"/>
      <c r="L51" s="30"/>
      <c r="M51" s="30"/>
      <c r="N51" s="30"/>
      <c r="O51" s="30"/>
      <c r="P51" s="30"/>
      <c r="Q51" s="30"/>
      <c r="R51" s="30"/>
      <c r="S51" s="30"/>
      <c r="T51" s="30"/>
      <c r="U51" s="30"/>
      <c r="V51" s="30"/>
      <c r="W51" s="30"/>
      <c r="X51" s="30"/>
    </row>
    <row r="52" ht="15.75" customHeight="1">
      <c r="A52" s="30"/>
      <c r="B52" s="30"/>
      <c r="C52" s="30"/>
      <c r="D52" s="30"/>
      <c r="E52" s="103"/>
      <c r="F52" s="30"/>
      <c r="G52" s="30"/>
      <c r="H52" s="30"/>
      <c r="I52" s="30"/>
      <c r="J52" s="30"/>
      <c r="K52" s="30"/>
      <c r="L52" s="30"/>
      <c r="M52" s="30"/>
      <c r="N52" s="30"/>
      <c r="O52" s="30"/>
      <c r="P52" s="30"/>
      <c r="Q52" s="30"/>
      <c r="R52" s="30"/>
      <c r="S52" s="30"/>
      <c r="T52" s="30"/>
      <c r="U52" s="30"/>
      <c r="V52" s="30"/>
      <c r="W52" s="30"/>
      <c r="X52" s="30"/>
    </row>
    <row r="53" ht="15.75" customHeight="1">
      <c r="A53" s="30"/>
      <c r="B53" s="30"/>
      <c r="C53" s="30"/>
      <c r="D53" s="30"/>
      <c r="E53" s="103"/>
      <c r="F53" s="30"/>
      <c r="G53" s="30"/>
      <c r="H53" s="30"/>
      <c r="I53" s="30"/>
      <c r="J53" s="30"/>
      <c r="K53" s="30"/>
      <c r="L53" s="30"/>
      <c r="M53" s="30"/>
      <c r="N53" s="30"/>
      <c r="O53" s="30"/>
      <c r="P53" s="30"/>
      <c r="Q53" s="30"/>
      <c r="R53" s="30"/>
      <c r="S53" s="30"/>
      <c r="T53" s="30"/>
      <c r="U53" s="30"/>
      <c r="V53" s="30"/>
      <c r="W53" s="30"/>
      <c r="X53" s="30"/>
    </row>
    <row r="54" ht="15.75" customHeight="1">
      <c r="A54" s="30"/>
      <c r="B54" s="30"/>
      <c r="C54" s="30"/>
      <c r="D54" s="30"/>
      <c r="E54" s="103"/>
      <c r="F54" s="30"/>
      <c r="G54" s="30"/>
      <c r="H54" s="30"/>
      <c r="I54" s="30"/>
      <c r="J54" s="30"/>
      <c r="K54" s="30"/>
      <c r="L54" s="30"/>
      <c r="M54" s="30"/>
      <c r="N54" s="30"/>
      <c r="O54" s="30"/>
      <c r="P54" s="30"/>
      <c r="Q54" s="30"/>
      <c r="R54" s="30"/>
      <c r="S54" s="30"/>
      <c r="T54" s="30"/>
      <c r="U54" s="30"/>
      <c r="V54" s="30"/>
      <c r="W54" s="30"/>
      <c r="X54" s="30"/>
    </row>
    <row r="55" ht="15.75" customHeight="1">
      <c r="A55" s="30"/>
      <c r="B55" s="30"/>
      <c r="C55" s="30"/>
      <c r="D55" s="30"/>
      <c r="E55" s="103"/>
      <c r="F55" s="30"/>
      <c r="G55" s="30"/>
      <c r="H55" s="30"/>
      <c r="I55" s="30"/>
      <c r="J55" s="30"/>
      <c r="K55" s="30"/>
      <c r="L55" s="30"/>
      <c r="M55" s="30"/>
      <c r="N55" s="30"/>
      <c r="O55" s="30"/>
      <c r="P55" s="30"/>
      <c r="Q55" s="30"/>
      <c r="R55" s="30"/>
      <c r="S55" s="30"/>
      <c r="T55" s="30"/>
      <c r="U55" s="30"/>
      <c r="V55" s="30"/>
      <c r="W55" s="30"/>
      <c r="X55" s="30"/>
    </row>
    <row r="56" ht="15.75" customHeight="1">
      <c r="A56" s="30"/>
      <c r="B56" s="30"/>
      <c r="C56" s="30"/>
      <c r="D56" s="30"/>
      <c r="E56" s="103"/>
      <c r="F56" s="30"/>
      <c r="G56" s="30"/>
      <c r="H56" s="30"/>
      <c r="I56" s="30"/>
      <c r="J56" s="30"/>
      <c r="K56" s="30"/>
      <c r="L56" s="30"/>
      <c r="M56" s="30"/>
      <c r="N56" s="30"/>
      <c r="O56" s="30"/>
      <c r="P56" s="30"/>
      <c r="Q56" s="30"/>
      <c r="R56" s="30"/>
      <c r="S56" s="30"/>
      <c r="T56" s="30"/>
      <c r="U56" s="30"/>
      <c r="V56" s="30"/>
      <c r="W56" s="30"/>
      <c r="X56" s="30"/>
    </row>
    <row r="57" ht="15.75" customHeight="1">
      <c r="A57" s="30"/>
      <c r="B57" s="30"/>
      <c r="C57" s="30"/>
      <c r="D57" s="30"/>
      <c r="E57" s="103"/>
      <c r="F57" s="30"/>
      <c r="G57" s="30"/>
      <c r="H57" s="30"/>
      <c r="I57" s="30"/>
      <c r="J57" s="30"/>
      <c r="K57" s="30"/>
      <c r="L57" s="30"/>
      <c r="M57" s="30"/>
      <c r="N57" s="30"/>
      <c r="O57" s="30"/>
      <c r="P57" s="30"/>
      <c r="Q57" s="30"/>
      <c r="R57" s="30"/>
      <c r="S57" s="30"/>
      <c r="T57" s="30"/>
      <c r="U57" s="30"/>
      <c r="V57" s="30"/>
      <c r="W57" s="30"/>
      <c r="X57" s="30"/>
    </row>
    <row r="58" ht="15.75" customHeight="1">
      <c r="A58" s="30"/>
      <c r="B58" s="30"/>
      <c r="C58" s="30"/>
      <c r="D58" s="30"/>
      <c r="E58" s="103"/>
      <c r="F58" s="30"/>
      <c r="G58" s="30"/>
      <c r="H58" s="30"/>
      <c r="I58" s="30"/>
      <c r="J58" s="30"/>
      <c r="K58" s="30"/>
      <c r="L58" s="30"/>
      <c r="M58" s="30"/>
      <c r="N58" s="30"/>
      <c r="O58" s="30"/>
      <c r="P58" s="30"/>
      <c r="Q58" s="30"/>
      <c r="R58" s="30"/>
      <c r="S58" s="30"/>
      <c r="T58" s="30"/>
      <c r="U58" s="30"/>
      <c r="V58" s="30"/>
      <c r="W58" s="30"/>
      <c r="X58" s="30"/>
    </row>
    <row r="59" ht="15.75" customHeight="1">
      <c r="A59" s="30"/>
      <c r="B59" s="30"/>
      <c r="C59" s="30"/>
      <c r="D59" s="30"/>
      <c r="E59" s="103"/>
      <c r="F59" s="30"/>
      <c r="G59" s="30"/>
      <c r="H59" s="30"/>
      <c r="I59" s="30"/>
      <c r="J59" s="30"/>
      <c r="K59" s="30"/>
      <c r="L59" s="30"/>
      <c r="M59" s="30"/>
      <c r="N59" s="30"/>
      <c r="O59" s="30"/>
      <c r="P59" s="30"/>
      <c r="Q59" s="30"/>
      <c r="R59" s="30"/>
      <c r="S59" s="30"/>
      <c r="T59" s="30"/>
      <c r="U59" s="30"/>
      <c r="V59" s="30"/>
      <c r="W59" s="30"/>
      <c r="X59" s="30"/>
    </row>
    <row r="60" ht="15.75" customHeight="1">
      <c r="A60" s="30"/>
      <c r="B60" s="30"/>
      <c r="C60" s="30"/>
      <c r="D60" s="30"/>
      <c r="E60" s="103"/>
      <c r="F60" s="30"/>
      <c r="G60" s="30"/>
      <c r="H60" s="30"/>
      <c r="I60" s="30"/>
      <c r="J60" s="30"/>
      <c r="K60" s="30"/>
      <c r="L60" s="30"/>
      <c r="M60" s="30"/>
      <c r="N60" s="30"/>
      <c r="O60" s="30"/>
      <c r="P60" s="30"/>
      <c r="Q60" s="30"/>
      <c r="R60" s="30"/>
      <c r="S60" s="30"/>
      <c r="T60" s="30"/>
      <c r="U60" s="30"/>
      <c r="V60" s="30"/>
      <c r="W60" s="30"/>
      <c r="X60" s="30"/>
    </row>
    <row r="61" ht="15.75" customHeight="1">
      <c r="A61" s="30"/>
      <c r="B61" s="30"/>
      <c r="C61" s="30"/>
      <c r="D61" s="30"/>
      <c r="E61" s="103"/>
      <c r="F61" s="30"/>
      <c r="G61" s="30"/>
      <c r="H61" s="30"/>
      <c r="I61" s="30"/>
      <c r="J61" s="30"/>
      <c r="K61" s="30"/>
      <c r="L61" s="30"/>
      <c r="M61" s="30"/>
      <c r="N61" s="30"/>
      <c r="O61" s="30"/>
      <c r="P61" s="30"/>
      <c r="Q61" s="30"/>
      <c r="R61" s="30"/>
      <c r="S61" s="30"/>
      <c r="T61" s="30"/>
      <c r="U61" s="30"/>
      <c r="V61" s="30"/>
      <c r="W61" s="30"/>
      <c r="X61" s="30"/>
    </row>
    <row r="62" ht="15.75" customHeight="1">
      <c r="A62" s="30"/>
      <c r="B62" s="30"/>
      <c r="C62" s="30"/>
      <c r="D62" s="30"/>
      <c r="E62" s="103"/>
      <c r="F62" s="30"/>
      <c r="G62" s="30"/>
      <c r="H62" s="30"/>
      <c r="I62" s="30"/>
      <c r="J62" s="30"/>
      <c r="K62" s="30"/>
      <c r="L62" s="30"/>
      <c r="M62" s="30"/>
      <c r="N62" s="30"/>
      <c r="O62" s="30"/>
      <c r="P62" s="30"/>
      <c r="Q62" s="30"/>
      <c r="R62" s="30"/>
      <c r="S62" s="30"/>
      <c r="T62" s="30"/>
      <c r="U62" s="30"/>
      <c r="V62" s="30"/>
      <c r="W62" s="30"/>
      <c r="X62" s="30"/>
    </row>
    <row r="63" ht="15.75" customHeight="1">
      <c r="A63" s="30"/>
      <c r="B63" s="30"/>
      <c r="C63" s="30"/>
      <c r="D63" s="30"/>
      <c r="E63" s="103"/>
      <c r="F63" s="30"/>
      <c r="G63" s="30"/>
      <c r="H63" s="30"/>
      <c r="I63" s="30"/>
      <c r="J63" s="30"/>
      <c r="K63" s="30"/>
      <c r="L63" s="30"/>
      <c r="M63" s="30"/>
      <c r="N63" s="30"/>
      <c r="O63" s="30"/>
      <c r="P63" s="30"/>
      <c r="Q63" s="30"/>
      <c r="R63" s="30"/>
      <c r="S63" s="30"/>
      <c r="T63" s="30"/>
      <c r="U63" s="30"/>
      <c r="V63" s="30"/>
      <c r="W63" s="30"/>
      <c r="X63" s="30"/>
    </row>
    <row r="64" ht="15.75" customHeight="1">
      <c r="A64" s="30"/>
      <c r="B64" s="30"/>
      <c r="C64" s="30"/>
      <c r="D64" s="30"/>
      <c r="E64" s="103"/>
      <c r="F64" s="30"/>
      <c r="G64" s="30"/>
      <c r="H64" s="30"/>
      <c r="I64" s="30"/>
      <c r="J64" s="30"/>
      <c r="K64" s="30"/>
      <c r="L64" s="30"/>
      <c r="M64" s="30"/>
      <c r="N64" s="30"/>
      <c r="O64" s="30"/>
      <c r="P64" s="30"/>
      <c r="Q64" s="30"/>
      <c r="R64" s="30"/>
      <c r="S64" s="30"/>
      <c r="T64" s="30"/>
      <c r="U64" s="30"/>
      <c r="V64" s="30"/>
      <c r="W64" s="30"/>
      <c r="X64" s="30"/>
    </row>
    <row r="65" ht="15.75" customHeight="1">
      <c r="A65" s="30"/>
      <c r="B65" s="30"/>
      <c r="C65" s="30"/>
      <c r="D65" s="30"/>
      <c r="E65" s="103"/>
      <c r="F65" s="30"/>
      <c r="G65" s="30"/>
      <c r="H65" s="30"/>
      <c r="I65" s="30"/>
      <c r="J65" s="30"/>
      <c r="K65" s="30"/>
      <c r="L65" s="30"/>
      <c r="M65" s="30"/>
      <c r="N65" s="30"/>
      <c r="O65" s="30"/>
      <c r="P65" s="30"/>
      <c r="Q65" s="30"/>
      <c r="R65" s="30"/>
      <c r="S65" s="30"/>
      <c r="T65" s="30"/>
      <c r="U65" s="30"/>
      <c r="V65" s="30"/>
      <c r="W65" s="30"/>
      <c r="X65" s="30"/>
    </row>
    <row r="66" ht="15.75" customHeight="1">
      <c r="A66" s="30"/>
      <c r="B66" s="30"/>
      <c r="C66" s="30"/>
      <c r="D66" s="30"/>
      <c r="E66" s="103"/>
      <c r="F66" s="30"/>
      <c r="G66" s="30"/>
      <c r="H66" s="30"/>
      <c r="I66" s="30"/>
      <c r="J66" s="30"/>
      <c r="K66" s="30"/>
      <c r="L66" s="30"/>
      <c r="M66" s="30"/>
      <c r="N66" s="30"/>
      <c r="O66" s="30"/>
      <c r="P66" s="30"/>
      <c r="Q66" s="30"/>
      <c r="R66" s="30"/>
      <c r="S66" s="30"/>
      <c r="T66" s="30"/>
      <c r="U66" s="30"/>
      <c r="V66" s="30"/>
      <c r="W66" s="30"/>
      <c r="X66" s="30"/>
    </row>
    <row r="67" ht="15.75" customHeight="1">
      <c r="A67" s="30"/>
      <c r="B67" s="30"/>
      <c r="C67" s="30"/>
      <c r="D67" s="30"/>
      <c r="E67" s="103"/>
      <c r="F67" s="30"/>
      <c r="G67" s="30"/>
      <c r="H67" s="30"/>
      <c r="I67" s="30"/>
      <c r="J67" s="30"/>
      <c r="K67" s="30"/>
      <c r="L67" s="30"/>
      <c r="M67" s="30"/>
      <c r="N67" s="30"/>
      <c r="O67" s="30"/>
      <c r="P67" s="30"/>
      <c r="Q67" s="30"/>
      <c r="R67" s="30"/>
      <c r="S67" s="30"/>
      <c r="T67" s="30"/>
      <c r="U67" s="30"/>
      <c r="V67" s="30"/>
      <c r="W67" s="30"/>
      <c r="X67" s="30"/>
    </row>
    <row r="68" ht="15.75" customHeight="1">
      <c r="A68" s="30"/>
      <c r="B68" s="30"/>
      <c r="C68" s="30"/>
      <c r="D68" s="30"/>
      <c r="E68" s="103"/>
      <c r="F68" s="30"/>
      <c r="G68" s="30"/>
      <c r="H68" s="30"/>
      <c r="I68" s="30"/>
      <c r="J68" s="30"/>
      <c r="K68" s="30"/>
      <c r="L68" s="30"/>
      <c r="M68" s="30"/>
      <c r="N68" s="30"/>
      <c r="O68" s="30"/>
      <c r="P68" s="30"/>
      <c r="Q68" s="30"/>
      <c r="R68" s="30"/>
      <c r="S68" s="30"/>
      <c r="T68" s="30"/>
      <c r="U68" s="30"/>
      <c r="V68" s="30"/>
      <c r="W68" s="30"/>
      <c r="X68" s="30"/>
    </row>
    <row r="69" ht="15.75" customHeight="1">
      <c r="A69" s="30"/>
      <c r="B69" s="30"/>
      <c r="C69" s="30"/>
      <c r="D69" s="30"/>
      <c r="E69" s="103"/>
      <c r="F69" s="30"/>
      <c r="G69" s="30"/>
      <c r="H69" s="30"/>
      <c r="I69" s="30"/>
      <c r="J69" s="30"/>
      <c r="K69" s="30"/>
      <c r="L69" s="30"/>
      <c r="M69" s="30"/>
      <c r="N69" s="30"/>
      <c r="O69" s="30"/>
      <c r="P69" s="30"/>
      <c r="Q69" s="30"/>
      <c r="R69" s="30"/>
      <c r="S69" s="30"/>
      <c r="T69" s="30"/>
      <c r="U69" s="30"/>
      <c r="V69" s="30"/>
      <c r="W69" s="30"/>
      <c r="X69" s="30"/>
    </row>
    <row r="70" ht="15.75" customHeight="1">
      <c r="A70" s="30"/>
      <c r="B70" s="30"/>
      <c r="C70" s="30"/>
      <c r="D70" s="30"/>
      <c r="E70" s="103"/>
      <c r="F70" s="30"/>
      <c r="G70" s="30"/>
      <c r="H70" s="30"/>
      <c r="I70" s="30"/>
      <c r="J70" s="30"/>
      <c r="K70" s="30"/>
      <c r="L70" s="30"/>
      <c r="M70" s="30"/>
      <c r="N70" s="30"/>
      <c r="O70" s="30"/>
      <c r="P70" s="30"/>
      <c r="Q70" s="30"/>
      <c r="R70" s="30"/>
      <c r="S70" s="30"/>
      <c r="T70" s="30"/>
      <c r="U70" s="30"/>
      <c r="V70" s="30"/>
      <c r="W70" s="30"/>
      <c r="X70" s="30"/>
    </row>
    <row r="71" ht="15.75" customHeight="1">
      <c r="A71" s="30"/>
      <c r="B71" s="30"/>
      <c r="C71" s="30"/>
      <c r="D71" s="30"/>
      <c r="E71" s="103"/>
      <c r="F71" s="30"/>
      <c r="G71" s="30"/>
      <c r="H71" s="30"/>
      <c r="I71" s="30"/>
      <c r="J71" s="30"/>
      <c r="K71" s="30"/>
      <c r="L71" s="30"/>
      <c r="M71" s="30"/>
      <c r="N71" s="30"/>
      <c r="O71" s="30"/>
      <c r="P71" s="30"/>
      <c r="Q71" s="30"/>
      <c r="R71" s="30"/>
      <c r="S71" s="30"/>
      <c r="T71" s="30"/>
      <c r="U71" s="30"/>
      <c r="V71" s="30"/>
      <c r="W71" s="30"/>
      <c r="X71" s="30"/>
    </row>
    <row r="72" ht="15.75" customHeight="1">
      <c r="A72" s="30"/>
      <c r="B72" s="30"/>
      <c r="C72" s="30"/>
      <c r="D72" s="30"/>
      <c r="E72" s="103"/>
      <c r="F72" s="30"/>
      <c r="G72" s="30"/>
      <c r="H72" s="30"/>
      <c r="I72" s="30"/>
      <c r="J72" s="30"/>
      <c r="K72" s="30"/>
      <c r="L72" s="30"/>
      <c r="M72" s="30"/>
      <c r="N72" s="30"/>
      <c r="O72" s="30"/>
      <c r="P72" s="30"/>
      <c r="Q72" s="30"/>
      <c r="R72" s="30"/>
      <c r="S72" s="30"/>
      <c r="T72" s="30"/>
      <c r="U72" s="30"/>
      <c r="V72" s="30"/>
      <c r="W72" s="30"/>
      <c r="X72" s="30"/>
    </row>
    <row r="73" ht="15.75" customHeight="1">
      <c r="A73" s="30"/>
      <c r="B73" s="30"/>
      <c r="C73" s="30"/>
      <c r="D73" s="30"/>
      <c r="E73" s="103"/>
      <c r="F73" s="30"/>
      <c r="G73" s="30"/>
      <c r="H73" s="30"/>
      <c r="I73" s="30"/>
      <c r="J73" s="30"/>
      <c r="K73" s="30"/>
      <c r="L73" s="30"/>
      <c r="M73" s="30"/>
      <c r="N73" s="30"/>
      <c r="O73" s="30"/>
      <c r="P73" s="30"/>
      <c r="Q73" s="30"/>
      <c r="R73" s="30"/>
      <c r="S73" s="30"/>
      <c r="T73" s="30"/>
      <c r="U73" s="30"/>
      <c r="V73" s="30"/>
      <c r="W73" s="30"/>
      <c r="X73" s="30"/>
    </row>
    <row r="74" ht="15.75" customHeight="1">
      <c r="A74" s="30"/>
      <c r="B74" s="30"/>
      <c r="C74" s="30"/>
      <c r="D74" s="30"/>
      <c r="E74" s="103"/>
      <c r="F74" s="30"/>
      <c r="G74" s="30"/>
      <c r="H74" s="30"/>
      <c r="I74" s="30"/>
      <c r="J74" s="30"/>
      <c r="K74" s="30"/>
      <c r="L74" s="30"/>
      <c r="M74" s="30"/>
      <c r="N74" s="30"/>
      <c r="O74" s="30"/>
      <c r="P74" s="30"/>
      <c r="Q74" s="30"/>
      <c r="R74" s="30"/>
      <c r="S74" s="30"/>
      <c r="T74" s="30"/>
      <c r="U74" s="30"/>
      <c r="V74" s="30"/>
      <c r="W74" s="30"/>
      <c r="X74" s="30"/>
    </row>
    <row r="75" ht="15.75" customHeight="1">
      <c r="A75" s="30"/>
      <c r="B75" s="30"/>
      <c r="C75" s="30"/>
      <c r="D75" s="30"/>
      <c r="E75" s="103"/>
      <c r="F75" s="30"/>
      <c r="G75" s="30"/>
      <c r="H75" s="30"/>
      <c r="I75" s="30"/>
      <c r="J75" s="30"/>
      <c r="K75" s="30"/>
      <c r="L75" s="30"/>
      <c r="M75" s="30"/>
      <c r="N75" s="30"/>
      <c r="O75" s="30"/>
      <c r="P75" s="30"/>
      <c r="Q75" s="30"/>
      <c r="R75" s="30"/>
      <c r="S75" s="30"/>
      <c r="T75" s="30"/>
      <c r="U75" s="30"/>
      <c r="V75" s="30"/>
      <c r="W75" s="30"/>
      <c r="X75" s="30"/>
    </row>
    <row r="76" ht="15.75" customHeight="1">
      <c r="A76" s="30"/>
      <c r="B76" s="30"/>
      <c r="C76" s="30"/>
      <c r="D76" s="30"/>
      <c r="E76" s="103"/>
      <c r="F76" s="30"/>
      <c r="G76" s="30"/>
      <c r="H76" s="30"/>
      <c r="I76" s="30"/>
      <c r="J76" s="30"/>
      <c r="K76" s="30"/>
      <c r="L76" s="30"/>
      <c r="M76" s="30"/>
      <c r="N76" s="30"/>
      <c r="O76" s="30"/>
      <c r="P76" s="30"/>
      <c r="Q76" s="30"/>
      <c r="R76" s="30"/>
      <c r="S76" s="30"/>
      <c r="T76" s="30"/>
      <c r="U76" s="30"/>
      <c r="V76" s="30"/>
      <c r="W76" s="30"/>
      <c r="X76" s="30"/>
    </row>
    <row r="77" ht="15.75" customHeight="1">
      <c r="A77" s="30"/>
      <c r="B77" s="30"/>
      <c r="C77" s="30"/>
      <c r="D77" s="30"/>
      <c r="E77" s="103"/>
      <c r="F77" s="30"/>
      <c r="G77" s="30"/>
      <c r="H77" s="30"/>
      <c r="I77" s="30"/>
      <c r="J77" s="30"/>
      <c r="K77" s="30"/>
      <c r="L77" s="30"/>
      <c r="M77" s="30"/>
      <c r="N77" s="30"/>
      <c r="O77" s="30"/>
      <c r="P77" s="30"/>
      <c r="Q77" s="30"/>
      <c r="R77" s="30"/>
      <c r="S77" s="30"/>
      <c r="T77" s="30"/>
      <c r="U77" s="30"/>
      <c r="V77" s="30"/>
      <c r="W77" s="30"/>
      <c r="X77" s="30"/>
    </row>
    <row r="78" ht="15.75" customHeight="1">
      <c r="A78" s="30"/>
      <c r="B78" s="30"/>
      <c r="C78" s="30"/>
      <c r="D78" s="30"/>
      <c r="E78" s="103"/>
      <c r="F78" s="30"/>
      <c r="G78" s="30"/>
      <c r="H78" s="30"/>
      <c r="I78" s="30"/>
      <c r="J78" s="30"/>
      <c r="K78" s="30"/>
      <c r="L78" s="30"/>
      <c r="M78" s="30"/>
      <c r="N78" s="30"/>
      <c r="O78" s="30"/>
      <c r="P78" s="30"/>
      <c r="Q78" s="30"/>
      <c r="R78" s="30"/>
      <c r="S78" s="30"/>
      <c r="T78" s="30"/>
      <c r="U78" s="30"/>
      <c r="V78" s="30"/>
      <c r="W78" s="30"/>
      <c r="X78" s="30"/>
    </row>
    <row r="79" ht="15.75" customHeight="1">
      <c r="A79" s="30"/>
      <c r="B79" s="30"/>
      <c r="C79" s="30"/>
      <c r="D79" s="30"/>
      <c r="E79" s="103"/>
      <c r="F79" s="30"/>
      <c r="G79" s="30"/>
      <c r="H79" s="30"/>
      <c r="I79" s="30"/>
      <c r="J79" s="30"/>
      <c r="K79" s="30"/>
      <c r="L79" s="30"/>
      <c r="M79" s="30"/>
      <c r="N79" s="30"/>
      <c r="O79" s="30"/>
      <c r="P79" s="30"/>
      <c r="Q79" s="30"/>
      <c r="R79" s="30"/>
      <c r="S79" s="30"/>
      <c r="T79" s="30"/>
      <c r="U79" s="30"/>
      <c r="V79" s="30"/>
      <c r="W79" s="30"/>
      <c r="X79" s="30"/>
    </row>
    <row r="80" ht="15.75" customHeight="1">
      <c r="A80" s="30"/>
      <c r="B80" s="30"/>
      <c r="C80" s="30"/>
      <c r="D80" s="30"/>
      <c r="E80" s="103"/>
      <c r="F80" s="30"/>
      <c r="G80" s="30"/>
      <c r="H80" s="30"/>
      <c r="I80" s="30"/>
      <c r="J80" s="30"/>
      <c r="K80" s="30"/>
      <c r="L80" s="30"/>
      <c r="M80" s="30"/>
      <c r="N80" s="30"/>
      <c r="O80" s="30"/>
      <c r="P80" s="30"/>
      <c r="Q80" s="30"/>
      <c r="R80" s="30"/>
      <c r="S80" s="30"/>
      <c r="T80" s="30"/>
      <c r="U80" s="30"/>
      <c r="V80" s="30"/>
      <c r="W80" s="30"/>
      <c r="X80" s="30"/>
    </row>
    <row r="81" ht="15.75" customHeight="1">
      <c r="A81" s="30"/>
      <c r="B81" s="30"/>
      <c r="C81" s="30"/>
      <c r="D81" s="30"/>
      <c r="E81" s="103"/>
      <c r="F81" s="30"/>
      <c r="G81" s="30"/>
      <c r="H81" s="30"/>
      <c r="I81" s="30"/>
      <c r="J81" s="30"/>
      <c r="K81" s="30"/>
      <c r="L81" s="30"/>
      <c r="M81" s="30"/>
      <c r="N81" s="30"/>
      <c r="O81" s="30"/>
      <c r="P81" s="30"/>
      <c r="Q81" s="30"/>
      <c r="R81" s="30"/>
      <c r="S81" s="30"/>
      <c r="T81" s="30"/>
      <c r="U81" s="30"/>
      <c r="V81" s="30"/>
      <c r="W81" s="30"/>
      <c r="X81" s="30"/>
    </row>
    <row r="82" ht="15.75" customHeight="1">
      <c r="A82" s="30"/>
      <c r="B82" s="30"/>
      <c r="C82" s="30"/>
      <c r="D82" s="30"/>
      <c r="E82" s="103"/>
      <c r="F82" s="30"/>
      <c r="G82" s="30"/>
      <c r="H82" s="30"/>
      <c r="I82" s="30"/>
      <c r="J82" s="30"/>
      <c r="K82" s="30"/>
      <c r="L82" s="30"/>
      <c r="M82" s="30"/>
      <c r="N82" s="30"/>
      <c r="O82" s="30"/>
      <c r="P82" s="30"/>
      <c r="Q82" s="30"/>
      <c r="R82" s="30"/>
      <c r="S82" s="30"/>
      <c r="T82" s="30"/>
      <c r="U82" s="30"/>
      <c r="V82" s="30"/>
      <c r="W82" s="30"/>
      <c r="X82" s="30"/>
    </row>
    <row r="83" ht="15.75" customHeight="1">
      <c r="A83" s="30"/>
      <c r="B83" s="30"/>
      <c r="C83" s="30"/>
      <c r="D83" s="30"/>
      <c r="E83" s="103"/>
      <c r="F83" s="30"/>
      <c r="G83" s="30"/>
      <c r="H83" s="30"/>
      <c r="I83" s="30"/>
      <c r="J83" s="30"/>
      <c r="K83" s="30"/>
      <c r="L83" s="30"/>
      <c r="M83" s="30"/>
      <c r="N83" s="30"/>
      <c r="O83" s="30"/>
      <c r="P83" s="30"/>
      <c r="Q83" s="30"/>
      <c r="R83" s="30"/>
      <c r="S83" s="30"/>
      <c r="T83" s="30"/>
      <c r="U83" s="30"/>
      <c r="V83" s="30"/>
      <c r="W83" s="30"/>
      <c r="X83" s="30"/>
    </row>
    <row r="84" ht="15.75" customHeight="1">
      <c r="A84" s="30"/>
      <c r="B84" s="30"/>
      <c r="C84" s="30"/>
      <c r="D84" s="30"/>
      <c r="E84" s="103"/>
      <c r="F84" s="30"/>
      <c r="G84" s="30"/>
      <c r="H84" s="30"/>
      <c r="I84" s="30"/>
      <c r="J84" s="30"/>
      <c r="K84" s="30"/>
      <c r="L84" s="30"/>
      <c r="M84" s="30"/>
      <c r="N84" s="30"/>
      <c r="O84" s="30"/>
      <c r="P84" s="30"/>
      <c r="Q84" s="30"/>
      <c r="R84" s="30"/>
      <c r="S84" s="30"/>
      <c r="T84" s="30"/>
      <c r="U84" s="30"/>
      <c r="V84" s="30"/>
      <c r="W84" s="30"/>
      <c r="X84" s="30"/>
    </row>
    <row r="85" ht="15.75" customHeight="1">
      <c r="A85" s="30"/>
      <c r="B85" s="30"/>
      <c r="C85" s="30"/>
      <c r="D85" s="30"/>
      <c r="E85" s="103"/>
      <c r="F85" s="30"/>
      <c r="G85" s="30"/>
      <c r="H85" s="30"/>
      <c r="I85" s="30"/>
      <c r="J85" s="30"/>
      <c r="K85" s="30"/>
      <c r="L85" s="30"/>
      <c r="M85" s="30"/>
      <c r="N85" s="30"/>
      <c r="O85" s="30"/>
      <c r="P85" s="30"/>
      <c r="Q85" s="30"/>
      <c r="R85" s="30"/>
      <c r="S85" s="30"/>
      <c r="T85" s="30"/>
      <c r="U85" s="30"/>
      <c r="V85" s="30"/>
      <c r="W85" s="30"/>
      <c r="X85" s="30"/>
    </row>
    <row r="86" ht="15.75" customHeight="1">
      <c r="A86" s="30"/>
      <c r="B86" s="30"/>
      <c r="C86" s="30"/>
      <c r="D86" s="30"/>
      <c r="E86" s="103"/>
      <c r="F86" s="30"/>
      <c r="G86" s="30"/>
      <c r="H86" s="30"/>
      <c r="I86" s="30"/>
      <c r="J86" s="30"/>
      <c r="K86" s="30"/>
      <c r="L86" s="30"/>
      <c r="M86" s="30"/>
      <c r="N86" s="30"/>
      <c r="O86" s="30"/>
      <c r="P86" s="30"/>
      <c r="Q86" s="30"/>
      <c r="R86" s="30"/>
      <c r="S86" s="30"/>
      <c r="T86" s="30"/>
      <c r="U86" s="30"/>
      <c r="V86" s="30"/>
      <c r="W86" s="30"/>
      <c r="X86" s="30"/>
    </row>
    <row r="87" ht="15.75" customHeight="1">
      <c r="A87" s="30"/>
      <c r="B87" s="30"/>
      <c r="C87" s="30"/>
      <c r="D87" s="30"/>
      <c r="E87" s="103"/>
      <c r="F87" s="30"/>
      <c r="G87" s="30"/>
      <c r="H87" s="30"/>
      <c r="I87" s="30"/>
      <c r="J87" s="30"/>
      <c r="K87" s="30"/>
      <c r="L87" s="30"/>
      <c r="M87" s="30"/>
      <c r="N87" s="30"/>
      <c r="O87" s="30"/>
      <c r="P87" s="30"/>
      <c r="Q87" s="30"/>
      <c r="R87" s="30"/>
      <c r="S87" s="30"/>
      <c r="T87" s="30"/>
      <c r="U87" s="30"/>
      <c r="V87" s="30"/>
      <c r="W87" s="30"/>
      <c r="X87" s="30"/>
    </row>
    <row r="88" ht="15.75" customHeight="1">
      <c r="A88" s="30"/>
      <c r="B88" s="30"/>
      <c r="C88" s="30"/>
      <c r="D88" s="30"/>
      <c r="E88" s="103"/>
      <c r="F88" s="30"/>
      <c r="G88" s="30"/>
      <c r="H88" s="30"/>
      <c r="I88" s="30"/>
      <c r="J88" s="30"/>
      <c r="K88" s="30"/>
      <c r="L88" s="30"/>
      <c r="M88" s="30"/>
      <c r="N88" s="30"/>
      <c r="O88" s="30"/>
      <c r="P88" s="30"/>
      <c r="Q88" s="30"/>
      <c r="R88" s="30"/>
      <c r="S88" s="30"/>
      <c r="T88" s="30"/>
      <c r="U88" s="30"/>
      <c r="V88" s="30"/>
      <c r="W88" s="30"/>
      <c r="X88" s="30"/>
    </row>
    <row r="89" ht="15.75" customHeight="1">
      <c r="A89" s="30"/>
      <c r="B89" s="30"/>
      <c r="C89" s="30"/>
      <c r="D89" s="30"/>
      <c r="E89" s="103"/>
      <c r="F89" s="30"/>
      <c r="G89" s="30"/>
      <c r="H89" s="30"/>
      <c r="I89" s="30"/>
      <c r="J89" s="30"/>
      <c r="K89" s="30"/>
      <c r="L89" s="30"/>
      <c r="M89" s="30"/>
      <c r="N89" s="30"/>
      <c r="O89" s="30"/>
      <c r="P89" s="30"/>
      <c r="Q89" s="30"/>
      <c r="R89" s="30"/>
      <c r="S89" s="30"/>
      <c r="T89" s="30"/>
      <c r="U89" s="30"/>
      <c r="V89" s="30"/>
      <c r="W89" s="30"/>
      <c r="X89" s="30"/>
    </row>
    <row r="90" ht="15.75" customHeight="1">
      <c r="A90" s="30"/>
      <c r="B90" s="30"/>
      <c r="C90" s="30"/>
      <c r="D90" s="30"/>
      <c r="E90" s="103"/>
      <c r="F90" s="30"/>
      <c r="G90" s="30"/>
      <c r="H90" s="30"/>
      <c r="I90" s="30"/>
      <c r="J90" s="30"/>
      <c r="K90" s="30"/>
      <c r="L90" s="30"/>
      <c r="M90" s="30"/>
      <c r="N90" s="30"/>
      <c r="O90" s="30"/>
      <c r="P90" s="30"/>
      <c r="Q90" s="30"/>
      <c r="R90" s="30"/>
      <c r="S90" s="30"/>
      <c r="T90" s="30"/>
      <c r="U90" s="30"/>
      <c r="V90" s="30"/>
      <c r="W90" s="30"/>
      <c r="X90" s="30"/>
    </row>
    <row r="91" ht="15.75" customHeight="1">
      <c r="A91" s="30"/>
      <c r="B91" s="30"/>
      <c r="C91" s="30"/>
      <c r="D91" s="30"/>
      <c r="E91" s="103"/>
      <c r="F91" s="30"/>
      <c r="G91" s="30"/>
      <c r="H91" s="30"/>
      <c r="I91" s="30"/>
      <c r="J91" s="30"/>
      <c r="K91" s="30"/>
      <c r="L91" s="30"/>
      <c r="M91" s="30"/>
      <c r="N91" s="30"/>
      <c r="O91" s="30"/>
      <c r="P91" s="30"/>
      <c r="Q91" s="30"/>
      <c r="R91" s="30"/>
      <c r="S91" s="30"/>
      <c r="T91" s="30"/>
      <c r="U91" s="30"/>
      <c r="V91" s="30"/>
      <c r="W91" s="30"/>
      <c r="X91" s="30"/>
    </row>
    <row r="92" ht="15.75" customHeight="1">
      <c r="A92" s="30"/>
      <c r="B92" s="30"/>
      <c r="C92" s="30"/>
      <c r="D92" s="30"/>
      <c r="E92" s="103"/>
      <c r="F92" s="30"/>
      <c r="G92" s="30"/>
      <c r="H92" s="30"/>
      <c r="I92" s="30"/>
      <c r="J92" s="30"/>
      <c r="K92" s="30"/>
      <c r="L92" s="30"/>
      <c r="M92" s="30"/>
      <c r="N92" s="30"/>
      <c r="O92" s="30"/>
      <c r="P92" s="30"/>
      <c r="Q92" s="30"/>
      <c r="R92" s="30"/>
      <c r="S92" s="30"/>
      <c r="T92" s="30"/>
      <c r="U92" s="30"/>
      <c r="V92" s="30"/>
      <c r="W92" s="30"/>
      <c r="X92" s="30"/>
    </row>
    <row r="93" ht="15.75" customHeight="1">
      <c r="A93" s="30"/>
      <c r="B93" s="30"/>
      <c r="C93" s="30"/>
      <c r="D93" s="30"/>
      <c r="E93" s="103"/>
      <c r="F93" s="30"/>
      <c r="G93" s="30"/>
      <c r="H93" s="30"/>
      <c r="I93" s="30"/>
      <c r="J93" s="30"/>
      <c r="K93" s="30"/>
      <c r="L93" s="30"/>
      <c r="M93" s="30"/>
      <c r="N93" s="30"/>
      <c r="O93" s="30"/>
      <c r="P93" s="30"/>
      <c r="Q93" s="30"/>
      <c r="R93" s="30"/>
      <c r="S93" s="30"/>
      <c r="T93" s="30"/>
      <c r="U93" s="30"/>
      <c r="V93" s="30"/>
      <c r="W93" s="30"/>
      <c r="X93" s="30"/>
    </row>
    <row r="94" ht="15.75" customHeight="1">
      <c r="A94" s="30"/>
      <c r="B94" s="30"/>
      <c r="C94" s="30"/>
      <c r="D94" s="30"/>
      <c r="E94" s="103"/>
      <c r="F94" s="30"/>
      <c r="G94" s="30"/>
      <c r="H94" s="30"/>
      <c r="I94" s="30"/>
      <c r="J94" s="30"/>
      <c r="K94" s="30"/>
      <c r="L94" s="30"/>
      <c r="M94" s="30"/>
      <c r="N94" s="30"/>
      <c r="O94" s="30"/>
      <c r="P94" s="30"/>
      <c r="Q94" s="30"/>
      <c r="R94" s="30"/>
      <c r="S94" s="30"/>
      <c r="T94" s="30"/>
      <c r="U94" s="30"/>
      <c r="V94" s="30"/>
      <c r="W94" s="30"/>
      <c r="X94" s="30"/>
    </row>
    <row r="95" ht="15.75" customHeight="1">
      <c r="A95" s="30"/>
      <c r="B95" s="30"/>
      <c r="C95" s="30"/>
      <c r="D95" s="30"/>
      <c r="E95" s="103"/>
      <c r="F95" s="30"/>
      <c r="G95" s="30"/>
      <c r="H95" s="30"/>
      <c r="I95" s="30"/>
      <c r="J95" s="30"/>
      <c r="K95" s="30"/>
      <c r="L95" s="30"/>
      <c r="M95" s="30"/>
      <c r="N95" s="30"/>
      <c r="O95" s="30"/>
      <c r="P95" s="30"/>
      <c r="Q95" s="30"/>
      <c r="R95" s="30"/>
      <c r="S95" s="30"/>
      <c r="T95" s="30"/>
      <c r="U95" s="30"/>
      <c r="V95" s="30"/>
      <c r="W95" s="30"/>
      <c r="X95" s="30"/>
    </row>
    <row r="96" ht="15.75" customHeight="1">
      <c r="A96" s="30"/>
      <c r="B96" s="30"/>
      <c r="C96" s="30"/>
      <c r="D96" s="30"/>
      <c r="E96" s="103"/>
      <c r="F96" s="30"/>
      <c r="G96" s="30"/>
      <c r="H96" s="30"/>
      <c r="I96" s="30"/>
      <c r="J96" s="30"/>
      <c r="K96" s="30"/>
      <c r="L96" s="30"/>
      <c r="M96" s="30"/>
      <c r="N96" s="30"/>
      <c r="O96" s="30"/>
      <c r="P96" s="30"/>
      <c r="Q96" s="30"/>
      <c r="R96" s="30"/>
      <c r="S96" s="30"/>
      <c r="T96" s="30"/>
      <c r="U96" s="30"/>
      <c r="V96" s="30"/>
      <c r="W96" s="30"/>
      <c r="X96" s="30"/>
    </row>
    <row r="97" ht="15.75" customHeight="1">
      <c r="A97" s="30"/>
      <c r="B97" s="30"/>
      <c r="C97" s="30"/>
      <c r="D97" s="30"/>
      <c r="E97" s="103"/>
      <c r="F97" s="30"/>
      <c r="G97" s="30"/>
      <c r="H97" s="30"/>
      <c r="I97" s="30"/>
      <c r="J97" s="30"/>
      <c r="K97" s="30"/>
      <c r="L97" s="30"/>
      <c r="M97" s="30"/>
      <c r="N97" s="30"/>
      <c r="O97" s="30"/>
      <c r="P97" s="30"/>
      <c r="Q97" s="30"/>
      <c r="R97" s="30"/>
      <c r="S97" s="30"/>
      <c r="T97" s="30"/>
      <c r="U97" s="30"/>
      <c r="V97" s="30"/>
      <c r="W97" s="30"/>
      <c r="X97" s="30"/>
    </row>
    <row r="98" ht="15.75" customHeight="1">
      <c r="A98" s="30"/>
      <c r="B98" s="30"/>
      <c r="C98" s="30"/>
      <c r="D98" s="30"/>
      <c r="E98" s="103"/>
      <c r="F98" s="30"/>
      <c r="G98" s="30"/>
      <c r="H98" s="30"/>
      <c r="I98" s="30"/>
      <c r="J98" s="30"/>
      <c r="K98" s="30"/>
      <c r="L98" s="30"/>
      <c r="M98" s="30"/>
      <c r="N98" s="30"/>
      <c r="O98" s="30"/>
      <c r="P98" s="30"/>
      <c r="Q98" s="30"/>
      <c r="R98" s="30"/>
      <c r="S98" s="30"/>
      <c r="T98" s="30"/>
      <c r="U98" s="30"/>
      <c r="V98" s="30"/>
      <c r="W98" s="30"/>
      <c r="X98" s="30"/>
    </row>
    <row r="99" ht="15.75" customHeight="1">
      <c r="A99" s="30"/>
      <c r="B99" s="30"/>
      <c r="C99" s="30"/>
      <c r="D99" s="30"/>
      <c r="E99" s="103"/>
      <c r="F99" s="30"/>
      <c r="G99" s="30"/>
      <c r="H99" s="30"/>
      <c r="I99" s="30"/>
      <c r="J99" s="30"/>
      <c r="K99" s="30"/>
      <c r="L99" s="30"/>
      <c r="M99" s="30"/>
      <c r="N99" s="30"/>
      <c r="O99" s="30"/>
      <c r="P99" s="30"/>
      <c r="Q99" s="30"/>
      <c r="R99" s="30"/>
      <c r="S99" s="30"/>
      <c r="T99" s="30"/>
      <c r="U99" s="30"/>
      <c r="V99" s="30"/>
      <c r="W99" s="30"/>
      <c r="X99" s="30"/>
    </row>
    <row r="100" ht="15.75" customHeight="1">
      <c r="A100" s="30"/>
      <c r="B100" s="30"/>
      <c r="C100" s="30"/>
      <c r="D100" s="30"/>
      <c r="E100" s="103"/>
      <c r="F100" s="30"/>
      <c r="G100" s="30"/>
      <c r="H100" s="30"/>
      <c r="I100" s="30"/>
      <c r="J100" s="30"/>
      <c r="K100" s="30"/>
      <c r="L100" s="30"/>
      <c r="M100" s="30"/>
      <c r="N100" s="30"/>
      <c r="O100" s="30"/>
      <c r="P100" s="30"/>
      <c r="Q100" s="30"/>
      <c r="R100" s="30"/>
      <c r="S100" s="30"/>
      <c r="T100" s="30"/>
      <c r="U100" s="30"/>
      <c r="V100" s="30"/>
      <c r="W100" s="30"/>
      <c r="X100" s="30"/>
    </row>
    <row r="101" ht="15.75" customHeight="1">
      <c r="A101" s="30"/>
      <c r="B101" s="30"/>
      <c r="C101" s="30"/>
      <c r="D101" s="30"/>
      <c r="E101" s="103"/>
      <c r="F101" s="30"/>
      <c r="G101" s="30"/>
      <c r="H101" s="30"/>
      <c r="I101" s="30"/>
      <c r="J101" s="30"/>
      <c r="K101" s="30"/>
      <c r="L101" s="30"/>
      <c r="M101" s="30"/>
      <c r="N101" s="30"/>
      <c r="O101" s="30"/>
      <c r="P101" s="30"/>
      <c r="Q101" s="30"/>
      <c r="R101" s="30"/>
      <c r="S101" s="30"/>
      <c r="T101" s="30"/>
      <c r="U101" s="30"/>
      <c r="V101" s="30"/>
      <c r="W101" s="30"/>
      <c r="X101" s="30"/>
    </row>
    <row r="102" ht="15.75" customHeight="1">
      <c r="A102" s="30"/>
      <c r="B102" s="30"/>
      <c r="C102" s="30"/>
      <c r="D102" s="30"/>
      <c r="E102" s="103"/>
      <c r="F102" s="30"/>
      <c r="G102" s="30"/>
      <c r="H102" s="30"/>
      <c r="I102" s="30"/>
      <c r="J102" s="30"/>
      <c r="K102" s="30"/>
      <c r="L102" s="30"/>
      <c r="M102" s="30"/>
      <c r="N102" s="30"/>
      <c r="O102" s="30"/>
      <c r="P102" s="30"/>
      <c r="Q102" s="30"/>
      <c r="R102" s="30"/>
      <c r="S102" s="30"/>
      <c r="T102" s="30"/>
      <c r="U102" s="30"/>
      <c r="V102" s="30"/>
      <c r="W102" s="30"/>
      <c r="X102" s="30"/>
    </row>
    <row r="103" ht="15.75" customHeight="1">
      <c r="A103" s="30"/>
      <c r="B103" s="30"/>
      <c r="C103" s="30"/>
      <c r="D103" s="30"/>
      <c r="E103" s="103"/>
      <c r="F103" s="30"/>
      <c r="G103" s="30"/>
      <c r="H103" s="30"/>
      <c r="I103" s="30"/>
      <c r="J103" s="30"/>
      <c r="K103" s="30"/>
      <c r="L103" s="30"/>
      <c r="M103" s="30"/>
      <c r="N103" s="30"/>
      <c r="O103" s="30"/>
      <c r="P103" s="30"/>
      <c r="Q103" s="30"/>
      <c r="R103" s="30"/>
      <c r="S103" s="30"/>
      <c r="T103" s="30"/>
      <c r="U103" s="30"/>
      <c r="V103" s="30"/>
      <c r="W103" s="30"/>
      <c r="X103" s="30"/>
    </row>
    <row r="104" ht="15.75" customHeight="1">
      <c r="A104" s="30"/>
      <c r="B104" s="30"/>
      <c r="C104" s="30"/>
      <c r="D104" s="30"/>
      <c r="E104" s="103"/>
      <c r="F104" s="30"/>
      <c r="G104" s="30"/>
      <c r="H104" s="30"/>
      <c r="I104" s="30"/>
      <c r="J104" s="30"/>
      <c r="K104" s="30"/>
      <c r="L104" s="30"/>
      <c r="M104" s="30"/>
      <c r="N104" s="30"/>
      <c r="O104" s="30"/>
      <c r="P104" s="30"/>
      <c r="Q104" s="30"/>
      <c r="R104" s="30"/>
      <c r="S104" s="30"/>
      <c r="T104" s="30"/>
      <c r="U104" s="30"/>
      <c r="V104" s="30"/>
      <c r="W104" s="30"/>
      <c r="X104" s="30"/>
    </row>
    <row r="105" ht="15.75" customHeight="1">
      <c r="A105" s="30"/>
      <c r="B105" s="30"/>
      <c r="C105" s="30"/>
      <c r="D105" s="30"/>
      <c r="E105" s="103"/>
      <c r="F105" s="30"/>
      <c r="G105" s="30"/>
      <c r="H105" s="30"/>
      <c r="I105" s="30"/>
      <c r="J105" s="30"/>
      <c r="K105" s="30"/>
      <c r="L105" s="30"/>
      <c r="M105" s="30"/>
      <c r="N105" s="30"/>
      <c r="O105" s="30"/>
      <c r="P105" s="30"/>
      <c r="Q105" s="30"/>
      <c r="R105" s="30"/>
      <c r="S105" s="30"/>
      <c r="T105" s="30"/>
      <c r="U105" s="30"/>
      <c r="V105" s="30"/>
      <c r="W105" s="30"/>
      <c r="X105" s="30"/>
    </row>
    <row r="106" ht="15.75" customHeight="1">
      <c r="A106" s="30"/>
      <c r="B106" s="30"/>
      <c r="C106" s="30"/>
      <c r="D106" s="30"/>
      <c r="E106" s="103"/>
      <c r="F106" s="30"/>
      <c r="G106" s="30"/>
      <c r="H106" s="30"/>
      <c r="I106" s="30"/>
      <c r="J106" s="30"/>
      <c r="K106" s="30"/>
      <c r="L106" s="30"/>
      <c r="M106" s="30"/>
      <c r="N106" s="30"/>
      <c r="O106" s="30"/>
      <c r="P106" s="30"/>
      <c r="Q106" s="30"/>
      <c r="R106" s="30"/>
      <c r="S106" s="30"/>
      <c r="T106" s="30"/>
      <c r="U106" s="30"/>
      <c r="V106" s="30"/>
      <c r="W106" s="30"/>
      <c r="X106" s="30"/>
    </row>
    <row r="107" ht="15.75" customHeight="1">
      <c r="A107" s="30"/>
      <c r="B107" s="30"/>
      <c r="C107" s="30"/>
      <c r="D107" s="30"/>
      <c r="E107" s="103"/>
      <c r="F107" s="30"/>
      <c r="G107" s="30"/>
      <c r="H107" s="30"/>
      <c r="I107" s="30"/>
      <c r="J107" s="30"/>
      <c r="K107" s="30"/>
      <c r="L107" s="30"/>
      <c r="M107" s="30"/>
      <c r="N107" s="30"/>
      <c r="O107" s="30"/>
      <c r="P107" s="30"/>
      <c r="Q107" s="30"/>
      <c r="R107" s="30"/>
      <c r="S107" s="30"/>
      <c r="T107" s="30"/>
      <c r="U107" s="30"/>
      <c r="V107" s="30"/>
      <c r="W107" s="30"/>
      <c r="X107" s="30"/>
    </row>
    <row r="108" ht="15.75" customHeight="1">
      <c r="A108" s="30"/>
      <c r="B108" s="30"/>
      <c r="C108" s="30"/>
      <c r="D108" s="30"/>
      <c r="E108" s="103"/>
      <c r="F108" s="30"/>
      <c r="G108" s="30"/>
      <c r="H108" s="30"/>
      <c r="I108" s="30"/>
      <c r="J108" s="30"/>
      <c r="K108" s="30"/>
      <c r="L108" s="30"/>
      <c r="M108" s="30"/>
      <c r="N108" s="30"/>
      <c r="O108" s="30"/>
      <c r="P108" s="30"/>
      <c r="Q108" s="30"/>
      <c r="R108" s="30"/>
      <c r="S108" s="30"/>
      <c r="T108" s="30"/>
      <c r="U108" s="30"/>
      <c r="V108" s="30"/>
      <c r="W108" s="30"/>
      <c r="X108" s="30"/>
    </row>
    <row r="109" ht="15.75" customHeight="1">
      <c r="A109" s="30"/>
      <c r="B109" s="30"/>
      <c r="C109" s="30"/>
      <c r="D109" s="30"/>
      <c r="E109" s="103"/>
      <c r="F109" s="30"/>
      <c r="G109" s="30"/>
      <c r="H109" s="30"/>
      <c r="I109" s="30"/>
      <c r="J109" s="30"/>
      <c r="K109" s="30"/>
      <c r="L109" s="30"/>
      <c r="M109" s="30"/>
      <c r="N109" s="30"/>
      <c r="O109" s="30"/>
      <c r="P109" s="30"/>
      <c r="Q109" s="30"/>
      <c r="R109" s="30"/>
      <c r="S109" s="30"/>
      <c r="T109" s="30"/>
      <c r="U109" s="30"/>
      <c r="V109" s="30"/>
      <c r="W109" s="30"/>
      <c r="X109" s="30"/>
    </row>
    <row r="110" ht="15.75" customHeight="1">
      <c r="A110" s="30"/>
      <c r="B110" s="30"/>
      <c r="C110" s="30"/>
      <c r="D110" s="30"/>
      <c r="E110" s="103"/>
      <c r="F110" s="30"/>
      <c r="G110" s="30"/>
      <c r="H110" s="30"/>
      <c r="I110" s="30"/>
      <c r="J110" s="30"/>
      <c r="K110" s="30"/>
      <c r="L110" s="30"/>
      <c r="M110" s="30"/>
      <c r="N110" s="30"/>
      <c r="O110" s="30"/>
      <c r="P110" s="30"/>
      <c r="Q110" s="30"/>
      <c r="R110" s="30"/>
      <c r="S110" s="30"/>
      <c r="T110" s="30"/>
      <c r="U110" s="30"/>
      <c r="V110" s="30"/>
      <c r="W110" s="30"/>
      <c r="X110" s="30"/>
    </row>
    <row r="111" ht="15.75" customHeight="1">
      <c r="A111" s="30"/>
      <c r="B111" s="30"/>
      <c r="C111" s="30"/>
      <c r="D111" s="30"/>
      <c r="E111" s="103"/>
      <c r="F111" s="30"/>
      <c r="G111" s="30"/>
      <c r="H111" s="30"/>
      <c r="I111" s="30"/>
      <c r="J111" s="30"/>
      <c r="K111" s="30"/>
      <c r="L111" s="30"/>
      <c r="M111" s="30"/>
      <c r="N111" s="30"/>
      <c r="O111" s="30"/>
      <c r="P111" s="30"/>
      <c r="Q111" s="30"/>
      <c r="R111" s="30"/>
      <c r="S111" s="30"/>
      <c r="T111" s="30"/>
      <c r="U111" s="30"/>
      <c r="V111" s="30"/>
      <c r="W111" s="30"/>
      <c r="X111" s="30"/>
    </row>
    <row r="112" ht="15.75" customHeight="1">
      <c r="A112" s="30"/>
      <c r="B112" s="30"/>
      <c r="C112" s="30"/>
      <c r="D112" s="30"/>
      <c r="E112" s="103"/>
      <c r="F112" s="30"/>
      <c r="G112" s="30"/>
      <c r="H112" s="30"/>
      <c r="I112" s="30"/>
      <c r="J112" s="30"/>
      <c r="K112" s="30"/>
      <c r="L112" s="30"/>
      <c r="M112" s="30"/>
      <c r="N112" s="30"/>
      <c r="O112" s="30"/>
      <c r="P112" s="30"/>
      <c r="Q112" s="30"/>
      <c r="R112" s="30"/>
      <c r="S112" s="30"/>
      <c r="T112" s="30"/>
      <c r="U112" s="30"/>
      <c r="V112" s="30"/>
      <c r="W112" s="30"/>
      <c r="X112" s="30"/>
    </row>
    <row r="113" ht="15.75" customHeight="1">
      <c r="A113" s="30"/>
      <c r="B113" s="30"/>
      <c r="C113" s="30"/>
      <c r="D113" s="30"/>
      <c r="E113" s="103"/>
      <c r="F113" s="30"/>
      <c r="G113" s="30"/>
      <c r="H113" s="30"/>
      <c r="I113" s="30"/>
      <c r="J113" s="30"/>
      <c r="K113" s="30"/>
      <c r="L113" s="30"/>
      <c r="M113" s="30"/>
      <c r="N113" s="30"/>
      <c r="O113" s="30"/>
      <c r="P113" s="30"/>
      <c r="Q113" s="30"/>
      <c r="R113" s="30"/>
      <c r="S113" s="30"/>
      <c r="T113" s="30"/>
      <c r="U113" s="30"/>
      <c r="V113" s="30"/>
      <c r="W113" s="30"/>
      <c r="X113" s="30"/>
    </row>
    <row r="114" ht="15.75" customHeight="1">
      <c r="A114" s="30"/>
      <c r="B114" s="30"/>
      <c r="C114" s="30"/>
      <c r="D114" s="30"/>
      <c r="E114" s="103"/>
      <c r="F114" s="30"/>
      <c r="G114" s="30"/>
      <c r="H114" s="30"/>
      <c r="I114" s="30"/>
      <c r="J114" s="30"/>
      <c r="K114" s="30"/>
      <c r="L114" s="30"/>
      <c r="M114" s="30"/>
      <c r="N114" s="30"/>
      <c r="O114" s="30"/>
      <c r="P114" s="30"/>
      <c r="Q114" s="30"/>
      <c r="R114" s="30"/>
      <c r="S114" s="30"/>
      <c r="T114" s="30"/>
      <c r="U114" s="30"/>
      <c r="V114" s="30"/>
      <c r="W114" s="30"/>
      <c r="X114" s="30"/>
    </row>
    <row r="115" ht="15.75" customHeight="1">
      <c r="A115" s="30"/>
      <c r="B115" s="30"/>
      <c r="C115" s="30"/>
      <c r="D115" s="30"/>
      <c r="E115" s="103"/>
      <c r="F115" s="30"/>
      <c r="G115" s="30"/>
      <c r="H115" s="30"/>
      <c r="I115" s="30"/>
      <c r="J115" s="30"/>
      <c r="K115" s="30"/>
      <c r="L115" s="30"/>
      <c r="M115" s="30"/>
      <c r="N115" s="30"/>
      <c r="O115" s="30"/>
      <c r="P115" s="30"/>
      <c r="Q115" s="30"/>
      <c r="R115" s="30"/>
      <c r="S115" s="30"/>
      <c r="T115" s="30"/>
      <c r="U115" s="30"/>
      <c r="V115" s="30"/>
      <c r="W115" s="30"/>
      <c r="X115" s="30"/>
    </row>
    <row r="116" ht="15.75" customHeight="1">
      <c r="A116" s="30"/>
      <c r="B116" s="30"/>
      <c r="C116" s="30"/>
      <c r="D116" s="30"/>
      <c r="E116" s="103"/>
      <c r="F116" s="30"/>
      <c r="G116" s="30"/>
      <c r="H116" s="30"/>
      <c r="I116" s="30"/>
      <c r="J116" s="30"/>
      <c r="K116" s="30"/>
      <c r="L116" s="30"/>
      <c r="M116" s="30"/>
      <c r="N116" s="30"/>
      <c r="O116" s="30"/>
      <c r="P116" s="30"/>
      <c r="Q116" s="30"/>
      <c r="R116" s="30"/>
      <c r="S116" s="30"/>
      <c r="T116" s="30"/>
      <c r="U116" s="30"/>
      <c r="V116" s="30"/>
      <c r="W116" s="30"/>
      <c r="X116" s="30"/>
    </row>
    <row r="117" ht="15.75" customHeight="1">
      <c r="A117" s="30"/>
      <c r="B117" s="30"/>
      <c r="C117" s="30"/>
      <c r="D117" s="30"/>
      <c r="E117" s="103"/>
      <c r="F117" s="30"/>
      <c r="G117" s="30"/>
      <c r="H117" s="30"/>
      <c r="I117" s="30"/>
      <c r="J117" s="30"/>
      <c r="K117" s="30"/>
      <c r="L117" s="30"/>
      <c r="M117" s="30"/>
      <c r="N117" s="30"/>
      <c r="O117" s="30"/>
      <c r="P117" s="30"/>
      <c r="Q117" s="30"/>
      <c r="R117" s="30"/>
      <c r="S117" s="30"/>
      <c r="T117" s="30"/>
      <c r="U117" s="30"/>
      <c r="V117" s="30"/>
      <c r="W117" s="30"/>
      <c r="X117" s="30"/>
    </row>
    <row r="118" ht="15.75" customHeight="1">
      <c r="A118" s="30"/>
      <c r="B118" s="30"/>
      <c r="C118" s="30"/>
      <c r="D118" s="30"/>
      <c r="E118" s="103"/>
      <c r="F118" s="30"/>
      <c r="G118" s="30"/>
      <c r="H118" s="30"/>
      <c r="I118" s="30"/>
      <c r="J118" s="30"/>
      <c r="K118" s="30"/>
      <c r="L118" s="30"/>
      <c r="M118" s="30"/>
      <c r="N118" s="30"/>
      <c r="O118" s="30"/>
      <c r="P118" s="30"/>
      <c r="Q118" s="30"/>
      <c r="R118" s="30"/>
      <c r="S118" s="30"/>
      <c r="T118" s="30"/>
      <c r="U118" s="30"/>
      <c r="V118" s="30"/>
      <c r="W118" s="30"/>
      <c r="X118" s="30"/>
    </row>
    <row r="119" ht="15.75" customHeight="1">
      <c r="A119" s="30"/>
      <c r="B119" s="30"/>
      <c r="C119" s="30"/>
      <c r="D119" s="30"/>
      <c r="E119" s="103"/>
      <c r="F119" s="30"/>
      <c r="G119" s="30"/>
      <c r="H119" s="30"/>
      <c r="I119" s="30"/>
      <c r="J119" s="30"/>
      <c r="K119" s="30"/>
      <c r="L119" s="30"/>
      <c r="M119" s="30"/>
      <c r="N119" s="30"/>
      <c r="O119" s="30"/>
      <c r="P119" s="30"/>
      <c r="Q119" s="30"/>
      <c r="R119" s="30"/>
      <c r="S119" s="30"/>
      <c r="T119" s="30"/>
      <c r="U119" s="30"/>
      <c r="V119" s="30"/>
      <c r="W119" s="30"/>
      <c r="X119" s="30"/>
    </row>
    <row r="120" ht="15.75" customHeight="1">
      <c r="A120" s="30"/>
      <c r="B120" s="30"/>
      <c r="C120" s="30"/>
      <c r="D120" s="30"/>
      <c r="E120" s="103"/>
      <c r="F120" s="30"/>
      <c r="G120" s="30"/>
      <c r="H120" s="30"/>
      <c r="I120" s="30"/>
      <c r="J120" s="30"/>
      <c r="K120" s="30"/>
      <c r="L120" s="30"/>
      <c r="M120" s="30"/>
      <c r="N120" s="30"/>
      <c r="O120" s="30"/>
      <c r="P120" s="30"/>
      <c r="Q120" s="30"/>
      <c r="R120" s="30"/>
      <c r="S120" s="30"/>
      <c r="T120" s="30"/>
      <c r="U120" s="30"/>
      <c r="V120" s="30"/>
      <c r="W120" s="30"/>
      <c r="X120" s="30"/>
    </row>
    <row r="121" ht="15.75" customHeight="1">
      <c r="A121" s="30"/>
      <c r="B121" s="30"/>
      <c r="C121" s="30"/>
      <c r="D121" s="30"/>
      <c r="E121" s="103"/>
      <c r="F121" s="30"/>
      <c r="G121" s="30"/>
      <c r="H121" s="30"/>
      <c r="I121" s="30"/>
      <c r="J121" s="30"/>
      <c r="K121" s="30"/>
      <c r="L121" s="30"/>
      <c r="M121" s="30"/>
      <c r="N121" s="30"/>
      <c r="O121" s="30"/>
      <c r="P121" s="30"/>
      <c r="Q121" s="30"/>
      <c r="R121" s="30"/>
      <c r="S121" s="30"/>
      <c r="T121" s="30"/>
      <c r="U121" s="30"/>
      <c r="V121" s="30"/>
      <c r="W121" s="30"/>
      <c r="X121" s="30"/>
    </row>
    <row r="122" ht="15.75" customHeight="1">
      <c r="A122" s="30"/>
      <c r="B122" s="30"/>
      <c r="C122" s="30"/>
      <c r="D122" s="30"/>
      <c r="E122" s="103"/>
      <c r="F122" s="30"/>
      <c r="G122" s="30"/>
      <c r="H122" s="30"/>
      <c r="I122" s="30"/>
      <c r="J122" s="30"/>
      <c r="K122" s="30"/>
      <c r="L122" s="30"/>
      <c r="M122" s="30"/>
      <c r="N122" s="30"/>
      <c r="O122" s="30"/>
      <c r="P122" s="30"/>
      <c r="Q122" s="30"/>
      <c r="R122" s="30"/>
      <c r="S122" s="30"/>
      <c r="T122" s="30"/>
      <c r="U122" s="30"/>
      <c r="V122" s="30"/>
      <c r="W122" s="30"/>
      <c r="X122" s="30"/>
    </row>
    <row r="123" ht="15.75" customHeight="1">
      <c r="A123" s="30"/>
      <c r="B123" s="30"/>
      <c r="C123" s="30"/>
      <c r="D123" s="30"/>
      <c r="E123" s="103"/>
      <c r="F123" s="30"/>
      <c r="G123" s="30"/>
      <c r="H123" s="30"/>
      <c r="I123" s="30"/>
      <c r="J123" s="30"/>
      <c r="K123" s="30"/>
      <c r="L123" s="30"/>
      <c r="M123" s="30"/>
      <c r="N123" s="30"/>
      <c r="O123" s="30"/>
      <c r="P123" s="30"/>
      <c r="Q123" s="30"/>
      <c r="R123" s="30"/>
      <c r="S123" s="30"/>
      <c r="T123" s="30"/>
      <c r="U123" s="30"/>
      <c r="V123" s="30"/>
      <c r="W123" s="30"/>
      <c r="X123" s="30"/>
    </row>
    <row r="124" ht="15.75" customHeight="1">
      <c r="A124" s="30"/>
      <c r="B124" s="30"/>
      <c r="C124" s="30"/>
      <c r="D124" s="30"/>
      <c r="E124" s="103"/>
      <c r="F124" s="30"/>
      <c r="G124" s="30"/>
      <c r="H124" s="30"/>
      <c r="I124" s="30"/>
      <c r="J124" s="30"/>
      <c r="K124" s="30"/>
      <c r="L124" s="30"/>
      <c r="M124" s="30"/>
      <c r="N124" s="30"/>
      <c r="O124" s="30"/>
      <c r="P124" s="30"/>
      <c r="Q124" s="30"/>
      <c r="R124" s="30"/>
      <c r="S124" s="30"/>
      <c r="T124" s="30"/>
      <c r="U124" s="30"/>
      <c r="V124" s="30"/>
      <c r="W124" s="30"/>
      <c r="X124" s="30"/>
    </row>
    <row r="125" ht="15.75" customHeight="1">
      <c r="A125" s="30"/>
      <c r="B125" s="30"/>
      <c r="C125" s="30"/>
      <c r="D125" s="30"/>
      <c r="E125" s="103"/>
      <c r="F125" s="30"/>
      <c r="G125" s="30"/>
      <c r="H125" s="30"/>
      <c r="I125" s="30"/>
      <c r="J125" s="30"/>
      <c r="K125" s="30"/>
      <c r="L125" s="30"/>
      <c r="M125" s="30"/>
      <c r="N125" s="30"/>
      <c r="O125" s="30"/>
      <c r="P125" s="30"/>
      <c r="Q125" s="30"/>
      <c r="R125" s="30"/>
      <c r="S125" s="30"/>
      <c r="T125" s="30"/>
      <c r="U125" s="30"/>
      <c r="V125" s="30"/>
      <c r="W125" s="30"/>
      <c r="X125" s="30"/>
    </row>
    <row r="126" ht="15.75" customHeight="1">
      <c r="A126" s="30"/>
      <c r="B126" s="30"/>
      <c r="C126" s="30"/>
      <c r="D126" s="30"/>
      <c r="E126" s="103"/>
      <c r="F126" s="30"/>
      <c r="G126" s="30"/>
      <c r="H126" s="30"/>
      <c r="I126" s="30"/>
      <c r="J126" s="30"/>
      <c r="K126" s="30"/>
      <c r="L126" s="30"/>
      <c r="M126" s="30"/>
      <c r="N126" s="30"/>
      <c r="O126" s="30"/>
      <c r="P126" s="30"/>
      <c r="Q126" s="30"/>
      <c r="R126" s="30"/>
      <c r="S126" s="30"/>
      <c r="T126" s="30"/>
      <c r="U126" s="30"/>
      <c r="V126" s="30"/>
      <c r="W126" s="30"/>
      <c r="X126" s="30"/>
    </row>
    <row r="127" ht="15.75" customHeight="1">
      <c r="A127" s="30"/>
      <c r="B127" s="30"/>
      <c r="C127" s="30"/>
      <c r="D127" s="30"/>
      <c r="E127" s="103"/>
      <c r="F127" s="30"/>
      <c r="G127" s="30"/>
      <c r="H127" s="30"/>
      <c r="I127" s="30"/>
      <c r="J127" s="30"/>
      <c r="K127" s="30"/>
      <c r="L127" s="30"/>
      <c r="M127" s="30"/>
      <c r="N127" s="30"/>
      <c r="O127" s="30"/>
      <c r="P127" s="30"/>
      <c r="Q127" s="30"/>
      <c r="R127" s="30"/>
      <c r="S127" s="30"/>
      <c r="T127" s="30"/>
      <c r="U127" s="30"/>
      <c r="V127" s="30"/>
      <c r="W127" s="30"/>
      <c r="X127" s="30"/>
    </row>
    <row r="128" ht="15.75" customHeight="1">
      <c r="A128" s="30"/>
      <c r="B128" s="30"/>
      <c r="C128" s="30"/>
      <c r="D128" s="30"/>
      <c r="E128" s="103"/>
      <c r="F128" s="30"/>
      <c r="G128" s="30"/>
      <c r="H128" s="30"/>
      <c r="I128" s="30"/>
      <c r="J128" s="30"/>
      <c r="K128" s="30"/>
      <c r="L128" s="30"/>
      <c r="M128" s="30"/>
      <c r="N128" s="30"/>
      <c r="O128" s="30"/>
      <c r="P128" s="30"/>
      <c r="Q128" s="30"/>
      <c r="R128" s="30"/>
      <c r="S128" s="30"/>
      <c r="T128" s="30"/>
      <c r="U128" s="30"/>
      <c r="V128" s="30"/>
      <c r="W128" s="30"/>
      <c r="X128" s="30"/>
    </row>
    <row r="129" ht="15.75" customHeight="1">
      <c r="A129" s="30"/>
      <c r="B129" s="30"/>
      <c r="C129" s="30"/>
      <c r="D129" s="30"/>
      <c r="E129" s="103"/>
      <c r="F129" s="30"/>
      <c r="G129" s="30"/>
      <c r="H129" s="30"/>
      <c r="I129" s="30"/>
      <c r="J129" s="30"/>
      <c r="K129" s="30"/>
      <c r="L129" s="30"/>
      <c r="M129" s="30"/>
      <c r="N129" s="30"/>
      <c r="O129" s="30"/>
      <c r="P129" s="30"/>
      <c r="Q129" s="30"/>
      <c r="R129" s="30"/>
      <c r="S129" s="30"/>
      <c r="T129" s="30"/>
      <c r="U129" s="30"/>
      <c r="V129" s="30"/>
      <c r="W129" s="30"/>
      <c r="X129" s="30"/>
    </row>
    <row r="130" ht="15.75" customHeight="1">
      <c r="A130" s="30"/>
      <c r="B130" s="30"/>
      <c r="C130" s="30"/>
      <c r="D130" s="30"/>
      <c r="E130" s="103"/>
      <c r="F130" s="30"/>
      <c r="G130" s="30"/>
      <c r="H130" s="30"/>
      <c r="I130" s="30"/>
      <c r="J130" s="30"/>
      <c r="K130" s="30"/>
      <c r="L130" s="30"/>
      <c r="M130" s="30"/>
      <c r="N130" s="30"/>
      <c r="O130" s="30"/>
      <c r="P130" s="30"/>
      <c r="Q130" s="30"/>
      <c r="R130" s="30"/>
      <c r="S130" s="30"/>
      <c r="T130" s="30"/>
      <c r="U130" s="30"/>
      <c r="V130" s="30"/>
      <c r="W130" s="30"/>
      <c r="X130" s="30"/>
    </row>
    <row r="131" ht="15.75" customHeight="1">
      <c r="A131" s="30"/>
      <c r="B131" s="30"/>
      <c r="C131" s="30"/>
      <c r="D131" s="30"/>
      <c r="E131" s="103"/>
      <c r="F131" s="30"/>
      <c r="G131" s="30"/>
      <c r="H131" s="30"/>
      <c r="I131" s="30"/>
      <c r="J131" s="30"/>
      <c r="K131" s="30"/>
      <c r="L131" s="30"/>
      <c r="M131" s="30"/>
      <c r="N131" s="30"/>
      <c r="O131" s="30"/>
      <c r="P131" s="30"/>
      <c r="Q131" s="30"/>
      <c r="R131" s="30"/>
      <c r="S131" s="30"/>
      <c r="T131" s="30"/>
      <c r="U131" s="30"/>
      <c r="V131" s="30"/>
      <c r="W131" s="30"/>
      <c r="X131" s="30"/>
    </row>
    <row r="132" ht="15.75" customHeight="1">
      <c r="A132" s="30"/>
      <c r="B132" s="30"/>
      <c r="C132" s="30"/>
      <c r="D132" s="30"/>
      <c r="E132" s="103"/>
      <c r="F132" s="30"/>
      <c r="G132" s="30"/>
      <c r="H132" s="30"/>
      <c r="I132" s="30"/>
      <c r="J132" s="30"/>
      <c r="K132" s="30"/>
      <c r="L132" s="30"/>
      <c r="M132" s="30"/>
      <c r="N132" s="30"/>
      <c r="O132" s="30"/>
      <c r="P132" s="30"/>
      <c r="Q132" s="30"/>
      <c r="R132" s="30"/>
      <c r="S132" s="30"/>
      <c r="T132" s="30"/>
      <c r="U132" s="30"/>
      <c r="V132" s="30"/>
      <c r="W132" s="30"/>
      <c r="X132" s="30"/>
    </row>
    <row r="133" ht="15.75" customHeight="1">
      <c r="A133" s="30"/>
      <c r="B133" s="30"/>
      <c r="C133" s="30"/>
      <c r="D133" s="30"/>
      <c r="E133" s="103"/>
      <c r="F133" s="30"/>
      <c r="G133" s="30"/>
      <c r="H133" s="30"/>
      <c r="I133" s="30"/>
      <c r="J133" s="30"/>
      <c r="K133" s="30"/>
      <c r="L133" s="30"/>
      <c r="M133" s="30"/>
      <c r="N133" s="30"/>
      <c r="O133" s="30"/>
      <c r="P133" s="30"/>
      <c r="Q133" s="30"/>
      <c r="R133" s="30"/>
      <c r="S133" s="30"/>
      <c r="T133" s="30"/>
      <c r="U133" s="30"/>
      <c r="V133" s="30"/>
      <c r="W133" s="30"/>
      <c r="X133" s="30"/>
    </row>
    <row r="134" ht="15.75" customHeight="1">
      <c r="A134" s="30"/>
      <c r="B134" s="30"/>
      <c r="C134" s="30"/>
      <c r="D134" s="30"/>
      <c r="E134" s="103"/>
      <c r="F134" s="30"/>
      <c r="G134" s="30"/>
      <c r="H134" s="30"/>
      <c r="I134" s="30"/>
      <c r="J134" s="30"/>
      <c r="K134" s="30"/>
      <c r="L134" s="30"/>
      <c r="M134" s="30"/>
      <c r="N134" s="30"/>
      <c r="O134" s="30"/>
      <c r="P134" s="30"/>
      <c r="Q134" s="30"/>
      <c r="R134" s="30"/>
      <c r="S134" s="30"/>
      <c r="T134" s="30"/>
      <c r="U134" s="30"/>
      <c r="V134" s="30"/>
      <c r="W134" s="30"/>
      <c r="X134" s="30"/>
    </row>
    <row r="135" ht="15.75" customHeight="1">
      <c r="A135" s="30"/>
      <c r="B135" s="30"/>
      <c r="C135" s="30"/>
      <c r="D135" s="30"/>
      <c r="E135" s="103"/>
      <c r="F135" s="30"/>
      <c r="G135" s="30"/>
      <c r="H135" s="30"/>
      <c r="I135" s="30"/>
      <c r="J135" s="30"/>
      <c r="K135" s="30"/>
      <c r="L135" s="30"/>
      <c r="M135" s="30"/>
      <c r="N135" s="30"/>
      <c r="O135" s="30"/>
      <c r="P135" s="30"/>
      <c r="Q135" s="30"/>
      <c r="R135" s="30"/>
      <c r="S135" s="30"/>
      <c r="T135" s="30"/>
      <c r="U135" s="30"/>
      <c r="V135" s="30"/>
      <c r="W135" s="30"/>
      <c r="X135" s="30"/>
    </row>
    <row r="136" ht="15.75" customHeight="1">
      <c r="A136" s="30"/>
      <c r="B136" s="30"/>
      <c r="C136" s="30"/>
      <c r="D136" s="30"/>
      <c r="E136" s="103"/>
      <c r="F136" s="30"/>
      <c r="G136" s="30"/>
      <c r="H136" s="30"/>
      <c r="I136" s="30"/>
      <c r="J136" s="30"/>
      <c r="K136" s="30"/>
      <c r="L136" s="30"/>
      <c r="M136" s="30"/>
      <c r="N136" s="30"/>
      <c r="O136" s="30"/>
      <c r="P136" s="30"/>
      <c r="Q136" s="30"/>
      <c r="R136" s="30"/>
      <c r="S136" s="30"/>
      <c r="T136" s="30"/>
      <c r="U136" s="30"/>
      <c r="V136" s="30"/>
      <c r="W136" s="30"/>
      <c r="X136" s="30"/>
    </row>
    <row r="137" ht="15.75" customHeight="1">
      <c r="A137" s="30"/>
      <c r="B137" s="30"/>
      <c r="C137" s="30"/>
      <c r="D137" s="30"/>
      <c r="E137" s="103"/>
      <c r="F137" s="30"/>
      <c r="G137" s="30"/>
      <c r="H137" s="30"/>
      <c r="I137" s="30"/>
      <c r="J137" s="30"/>
      <c r="K137" s="30"/>
      <c r="L137" s="30"/>
      <c r="M137" s="30"/>
      <c r="N137" s="30"/>
      <c r="O137" s="30"/>
      <c r="P137" s="30"/>
      <c r="Q137" s="30"/>
      <c r="R137" s="30"/>
      <c r="S137" s="30"/>
      <c r="T137" s="30"/>
      <c r="U137" s="30"/>
      <c r="V137" s="30"/>
      <c r="W137" s="30"/>
      <c r="X137" s="30"/>
    </row>
    <row r="138" ht="15.75" customHeight="1">
      <c r="A138" s="30"/>
      <c r="B138" s="30"/>
      <c r="C138" s="30"/>
      <c r="D138" s="30"/>
      <c r="E138" s="103"/>
      <c r="F138" s="30"/>
      <c r="G138" s="30"/>
      <c r="H138" s="30"/>
      <c r="I138" s="30"/>
      <c r="J138" s="30"/>
      <c r="K138" s="30"/>
      <c r="L138" s="30"/>
      <c r="M138" s="30"/>
      <c r="N138" s="30"/>
      <c r="O138" s="30"/>
      <c r="P138" s="30"/>
      <c r="Q138" s="30"/>
      <c r="R138" s="30"/>
      <c r="S138" s="30"/>
      <c r="T138" s="30"/>
      <c r="U138" s="30"/>
      <c r="V138" s="30"/>
      <c r="W138" s="30"/>
      <c r="X138" s="30"/>
    </row>
    <row r="139" ht="15.75" customHeight="1">
      <c r="A139" s="30"/>
      <c r="B139" s="30"/>
      <c r="C139" s="30"/>
      <c r="D139" s="30"/>
      <c r="E139" s="103"/>
      <c r="F139" s="30"/>
      <c r="G139" s="30"/>
      <c r="H139" s="30"/>
      <c r="I139" s="30"/>
      <c r="J139" s="30"/>
      <c r="K139" s="30"/>
      <c r="L139" s="30"/>
      <c r="M139" s="30"/>
      <c r="N139" s="30"/>
      <c r="O139" s="30"/>
      <c r="P139" s="30"/>
      <c r="Q139" s="30"/>
      <c r="R139" s="30"/>
      <c r="S139" s="30"/>
      <c r="T139" s="30"/>
      <c r="U139" s="30"/>
      <c r="V139" s="30"/>
      <c r="W139" s="30"/>
      <c r="X139" s="30"/>
    </row>
    <row r="140" ht="15.75" customHeight="1">
      <c r="A140" s="30"/>
      <c r="B140" s="30"/>
      <c r="C140" s="30"/>
      <c r="D140" s="30"/>
      <c r="E140" s="103"/>
      <c r="F140" s="30"/>
      <c r="G140" s="30"/>
      <c r="H140" s="30"/>
      <c r="I140" s="30"/>
      <c r="J140" s="30"/>
      <c r="K140" s="30"/>
      <c r="L140" s="30"/>
      <c r="M140" s="30"/>
      <c r="N140" s="30"/>
      <c r="O140" s="30"/>
      <c r="P140" s="30"/>
      <c r="Q140" s="30"/>
      <c r="R140" s="30"/>
      <c r="S140" s="30"/>
      <c r="T140" s="30"/>
      <c r="U140" s="30"/>
      <c r="V140" s="30"/>
      <c r="W140" s="30"/>
      <c r="X140" s="30"/>
    </row>
    <row r="141" ht="15.75" customHeight="1">
      <c r="A141" s="30"/>
      <c r="B141" s="30"/>
      <c r="C141" s="30"/>
      <c r="D141" s="30"/>
      <c r="E141" s="103"/>
      <c r="F141" s="30"/>
      <c r="G141" s="30"/>
      <c r="H141" s="30"/>
      <c r="I141" s="30"/>
      <c r="J141" s="30"/>
      <c r="K141" s="30"/>
      <c r="L141" s="30"/>
      <c r="M141" s="30"/>
      <c r="N141" s="30"/>
      <c r="O141" s="30"/>
      <c r="P141" s="30"/>
      <c r="Q141" s="30"/>
      <c r="R141" s="30"/>
      <c r="S141" s="30"/>
      <c r="T141" s="30"/>
      <c r="U141" s="30"/>
      <c r="V141" s="30"/>
      <c r="W141" s="30"/>
      <c r="X141" s="30"/>
    </row>
    <row r="142" ht="15.75" customHeight="1">
      <c r="A142" s="30"/>
      <c r="B142" s="30"/>
      <c r="C142" s="30"/>
      <c r="D142" s="30"/>
      <c r="E142" s="103"/>
      <c r="F142" s="30"/>
      <c r="G142" s="30"/>
      <c r="H142" s="30"/>
      <c r="I142" s="30"/>
      <c r="J142" s="30"/>
      <c r="K142" s="30"/>
      <c r="L142" s="30"/>
      <c r="M142" s="30"/>
      <c r="N142" s="30"/>
      <c r="O142" s="30"/>
      <c r="P142" s="30"/>
      <c r="Q142" s="30"/>
      <c r="R142" s="30"/>
      <c r="S142" s="30"/>
      <c r="T142" s="30"/>
      <c r="U142" s="30"/>
      <c r="V142" s="30"/>
      <c r="W142" s="30"/>
      <c r="X142" s="30"/>
    </row>
    <row r="143" ht="15.75" customHeight="1">
      <c r="A143" s="30"/>
      <c r="B143" s="30"/>
      <c r="C143" s="30"/>
      <c r="D143" s="30"/>
      <c r="E143" s="103"/>
      <c r="F143" s="30"/>
      <c r="G143" s="30"/>
      <c r="H143" s="30"/>
      <c r="I143" s="30"/>
      <c r="J143" s="30"/>
      <c r="K143" s="30"/>
      <c r="L143" s="30"/>
      <c r="M143" s="30"/>
      <c r="N143" s="30"/>
      <c r="O143" s="30"/>
      <c r="P143" s="30"/>
      <c r="Q143" s="30"/>
      <c r="R143" s="30"/>
      <c r="S143" s="30"/>
      <c r="T143" s="30"/>
      <c r="U143" s="30"/>
      <c r="V143" s="30"/>
      <c r="W143" s="30"/>
      <c r="X143" s="30"/>
    </row>
    <row r="144" ht="15.75" customHeight="1">
      <c r="A144" s="30"/>
      <c r="B144" s="30"/>
      <c r="C144" s="30"/>
      <c r="D144" s="30"/>
      <c r="E144" s="103"/>
      <c r="F144" s="30"/>
      <c r="G144" s="30"/>
      <c r="H144" s="30"/>
      <c r="I144" s="30"/>
      <c r="J144" s="30"/>
      <c r="K144" s="30"/>
      <c r="L144" s="30"/>
      <c r="M144" s="30"/>
      <c r="N144" s="30"/>
      <c r="O144" s="30"/>
      <c r="P144" s="30"/>
      <c r="Q144" s="30"/>
      <c r="R144" s="30"/>
      <c r="S144" s="30"/>
      <c r="T144" s="30"/>
      <c r="U144" s="30"/>
      <c r="V144" s="30"/>
      <c r="W144" s="30"/>
      <c r="X144" s="30"/>
    </row>
    <row r="145" ht="15.75" customHeight="1">
      <c r="A145" s="30"/>
      <c r="B145" s="30"/>
      <c r="C145" s="30"/>
      <c r="D145" s="30"/>
      <c r="E145" s="103"/>
      <c r="F145" s="30"/>
      <c r="G145" s="30"/>
      <c r="H145" s="30"/>
      <c r="I145" s="30"/>
      <c r="J145" s="30"/>
      <c r="K145" s="30"/>
      <c r="L145" s="30"/>
      <c r="M145" s="30"/>
      <c r="N145" s="30"/>
      <c r="O145" s="30"/>
      <c r="P145" s="30"/>
      <c r="Q145" s="30"/>
      <c r="R145" s="30"/>
      <c r="S145" s="30"/>
      <c r="T145" s="30"/>
      <c r="U145" s="30"/>
      <c r="V145" s="30"/>
      <c r="W145" s="30"/>
      <c r="X145" s="30"/>
    </row>
    <row r="146" ht="15.75" customHeight="1">
      <c r="A146" s="30"/>
      <c r="B146" s="30"/>
      <c r="C146" s="30"/>
      <c r="D146" s="30"/>
      <c r="E146" s="103"/>
      <c r="F146" s="30"/>
      <c r="G146" s="30"/>
      <c r="H146" s="30"/>
      <c r="I146" s="30"/>
      <c r="J146" s="30"/>
      <c r="K146" s="30"/>
      <c r="L146" s="30"/>
      <c r="M146" s="30"/>
      <c r="N146" s="30"/>
      <c r="O146" s="30"/>
      <c r="P146" s="30"/>
      <c r="Q146" s="30"/>
      <c r="R146" s="30"/>
      <c r="S146" s="30"/>
      <c r="T146" s="30"/>
      <c r="U146" s="30"/>
      <c r="V146" s="30"/>
      <c r="W146" s="30"/>
      <c r="X146" s="30"/>
    </row>
    <row r="147" ht="15.75" customHeight="1">
      <c r="A147" s="30"/>
      <c r="B147" s="30"/>
      <c r="C147" s="30"/>
      <c r="D147" s="30"/>
      <c r="E147" s="103"/>
      <c r="F147" s="30"/>
      <c r="G147" s="30"/>
      <c r="H147" s="30"/>
      <c r="I147" s="30"/>
      <c r="J147" s="30"/>
      <c r="K147" s="30"/>
      <c r="L147" s="30"/>
      <c r="M147" s="30"/>
      <c r="N147" s="30"/>
      <c r="O147" s="30"/>
      <c r="P147" s="30"/>
      <c r="Q147" s="30"/>
      <c r="R147" s="30"/>
      <c r="S147" s="30"/>
      <c r="T147" s="30"/>
      <c r="U147" s="30"/>
      <c r="V147" s="30"/>
      <c r="W147" s="30"/>
      <c r="X147" s="30"/>
    </row>
    <row r="148" ht="15.75" customHeight="1">
      <c r="A148" s="30"/>
      <c r="B148" s="30"/>
      <c r="C148" s="30"/>
      <c r="D148" s="30"/>
      <c r="E148" s="103"/>
      <c r="F148" s="30"/>
      <c r="G148" s="30"/>
      <c r="H148" s="30"/>
      <c r="I148" s="30"/>
      <c r="J148" s="30"/>
      <c r="K148" s="30"/>
      <c r="L148" s="30"/>
      <c r="M148" s="30"/>
      <c r="N148" s="30"/>
      <c r="O148" s="30"/>
      <c r="P148" s="30"/>
      <c r="Q148" s="30"/>
      <c r="R148" s="30"/>
      <c r="S148" s="30"/>
      <c r="T148" s="30"/>
      <c r="U148" s="30"/>
      <c r="V148" s="30"/>
      <c r="W148" s="30"/>
      <c r="X148" s="30"/>
    </row>
    <row r="149" ht="15.75" customHeight="1">
      <c r="A149" s="30"/>
      <c r="B149" s="30"/>
      <c r="C149" s="30"/>
      <c r="D149" s="30"/>
      <c r="E149" s="103"/>
      <c r="F149" s="30"/>
      <c r="G149" s="30"/>
      <c r="H149" s="30"/>
      <c r="I149" s="30"/>
      <c r="J149" s="30"/>
      <c r="K149" s="30"/>
      <c r="L149" s="30"/>
      <c r="M149" s="30"/>
      <c r="N149" s="30"/>
      <c r="O149" s="30"/>
      <c r="P149" s="30"/>
      <c r="Q149" s="30"/>
      <c r="R149" s="30"/>
      <c r="S149" s="30"/>
      <c r="T149" s="30"/>
      <c r="U149" s="30"/>
      <c r="V149" s="30"/>
      <c r="W149" s="30"/>
      <c r="X149" s="30"/>
    </row>
    <row r="150" ht="15.75" customHeight="1">
      <c r="A150" s="30"/>
      <c r="B150" s="30"/>
      <c r="C150" s="30"/>
      <c r="D150" s="30"/>
      <c r="E150" s="103"/>
      <c r="F150" s="30"/>
      <c r="G150" s="30"/>
      <c r="H150" s="30"/>
      <c r="I150" s="30"/>
      <c r="J150" s="30"/>
      <c r="K150" s="30"/>
      <c r="L150" s="30"/>
      <c r="M150" s="30"/>
      <c r="N150" s="30"/>
      <c r="O150" s="30"/>
      <c r="P150" s="30"/>
      <c r="Q150" s="30"/>
      <c r="R150" s="30"/>
      <c r="S150" s="30"/>
      <c r="T150" s="30"/>
      <c r="U150" s="30"/>
      <c r="V150" s="30"/>
      <c r="W150" s="30"/>
      <c r="X150" s="30"/>
    </row>
    <row r="151" ht="15.75" customHeight="1">
      <c r="A151" s="30"/>
      <c r="B151" s="30"/>
      <c r="C151" s="30"/>
      <c r="D151" s="30"/>
      <c r="E151" s="103"/>
      <c r="F151" s="30"/>
      <c r="G151" s="30"/>
      <c r="H151" s="30"/>
      <c r="I151" s="30"/>
      <c r="J151" s="30"/>
      <c r="K151" s="30"/>
      <c r="L151" s="30"/>
      <c r="M151" s="30"/>
      <c r="N151" s="30"/>
      <c r="O151" s="30"/>
      <c r="P151" s="30"/>
      <c r="Q151" s="30"/>
      <c r="R151" s="30"/>
      <c r="S151" s="30"/>
      <c r="T151" s="30"/>
      <c r="U151" s="30"/>
      <c r="V151" s="30"/>
      <c r="W151" s="30"/>
      <c r="X151" s="30"/>
    </row>
    <row r="152" ht="15.75" customHeight="1">
      <c r="A152" s="30"/>
      <c r="B152" s="30"/>
      <c r="C152" s="30"/>
      <c r="D152" s="30"/>
      <c r="E152" s="103"/>
      <c r="F152" s="30"/>
      <c r="G152" s="30"/>
      <c r="H152" s="30"/>
      <c r="I152" s="30"/>
      <c r="J152" s="30"/>
      <c r="K152" s="30"/>
      <c r="L152" s="30"/>
      <c r="M152" s="30"/>
      <c r="N152" s="30"/>
      <c r="O152" s="30"/>
      <c r="P152" s="30"/>
      <c r="Q152" s="30"/>
      <c r="R152" s="30"/>
      <c r="S152" s="30"/>
      <c r="T152" s="30"/>
      <c r="U152" s="30"/>
      <c r="V152" s="30"/>
      <c r="W152" s="30"/>
      <c r="X152" s="30"/>
    </row>
    <row r="153" ht="15.75" customHeight="1">
      <c r="A153" s="30"/>
      <c r="B153" s="30"/>
      <c r="C153" s="30"/>
      <c r="D153" s="30"/>
      <c r="E153" s="103"/>
      <c r="F153" s="30"/>
      <c r="G153" s="30"/>
      <c r="H153" s="30"/>
      <c r="I153" s="30"/>
      <c r="J153" s="30"/>
      <c r="K153" s="30"/>
      <c r="L153" s="30"/>
      <c r="M153" s="30"/>
      <c r="N153" s="30"/>
      <c r="O153" s="30"/>
      <c r="P153" s="30"/>
      <c r="Q153" s="30"/>
      <c r="R153" s="30"/>
      <c r="S153" s="30"/>
      <c r="T153" s="30"/>
      <c r="U153" s="30"/>
      <c r="V153" s="30"/>
      <c r="W153" s="30"/>
      <c r="X153" s="30"/>
    </row>
    <row r="154" ht="15.75" customHeight="1">
      <c r="A154" s="30"/>
      <c r="B154" s="30"/>
      <c r="C154" s="30"/>
      <c r="D154" s="30"/>
      <c r="E154" s="103"/>
      <c r="F154" s="30"/>
      <c r="G154" s="30"/>
      <c r="H154" s="30"/>
      <c r="I154" s="30"/>
      <c r="J154" s="30"/>
      <c r="K154" s="30"/>
      <c r="L154" s="30"/>
      <c r="M154" s="30"/>
      <c r="N154" s="30"/>
      <c r="O154" s="30"/>
      <c r="P154" s="30"/>
      <c r="Q154" s="30"/>
      <c r="R154" s="30"/>
      <c r="S154" s="30"/>
      <c r="T154" s="30"/>
      <c r="U154" s="30"/>
      <c r="V154" s="30"/>
      <c r="W154" s="30"/>
      <c r="X154" s="30"/>
    </row>
    <row r="155" ht="15.75" customHeight="1">
      <c r="A155" s="30"/>
      <c r="B155" s="30"/>
      <c r="C155" s="30"/>
      <c r="D155" s="30"/>
      <c r="E155" s="103"/>
      <c r="F155" s="30"/>
      <c r="G155" s="30"/>
      <c r="H155" s="30"/>
      <c r="I155" s="30"/>
      <c r="J155" s="30"/>
      <c r="K155" s="30"/>
      <c r="L155" s="30"/>
      <c r="M155" s="30"/>
      <c r="N155" s="30"/>
      <c r="O155" s="30"/>
      <c r="P155" s="30"/>
      <c r="Q155" s="30"/>
      <c r="R155" s="30"/>
      <c r="S155" s="30"/>
      <c r="T155" s="30"/>
      <c r="U155" s="30"/>
      <c r="V155" s="30"/>
      <c r="W155" s="30"/>
      <c r="X155" s="30"/>
    </row>
    <row r="156" ht="15.75" customHeight="1">
      <c r="A156" s="30"/>
      <c r="B156" s="30"/>
      <c r="C156" s="30"/>
      <c r="D156" s="30"/>
      <c r="E156" s="103"/>
      <c r="F156" s="30"/>
      <c r="G156" s="30"/>
      <c r="H156" s="30"/>
      <c r="I156" s="30"/>
      <c r="J156" s="30"/>
      <c r="K156" s="30"/>
      <c r="L156" s="30"/>
      <c r="M156" s="30"/>
      <c r="N156" s="30"/>
      <c r="O156" s="30"/>
      <c r="P156" s="30"/>
      <c r="Q156" s="30"/>
      <c r="R156" s="30"/>
      <c r="S156" s="30"/>
      <c r="T156" s="30"/>
      <c r="U156" s="30"/>
      <c r="V156" s="30"/>
      <c r="W156" s="30"/>
      <c r="X156" s="30"/>
    </row>
    <row r="157" ht="15.75" customHeight="1">
      <c r="A157" s="30"/>
      <c r="B157" s="30"/>
      <c r="C157" s="30"/>
      <c r="D157" s="30"/>
      <c r="E157" s="103"/>
      <c r="F157" s="30"/>
      <c r="G157" s="30"/>
      <c r="H157" s="30"/>
      <c r="I157" s="30"/>
      <c r="J157" s="30"/>
      <c r="K157" s="30"/>
      <c r="L157" s="30"/>
      <c r="M157" s="30"/>
      <c r="N157" s="30"/>
      <c r="O157" s="30"/>
      <c r="P157" s="30"/>
      <c r="Q157" s="30"/>
      <c r="R157" s="30"/>
      <c r="S157" s="30"/>
      <c r="T157" s="30"/>
      <c r="U157" s="30"/>
      <c r="V157" s="30"/>
      <c r="W157" s="30"/>
      <c r="X157" s="30"/>
    </row>
    <row r="158" ht="15.75" customHeight="1">
      <c r="A158" s="30"/>
      <c r="B158" s="30"/>
      <c r="C158" s="30"/>
      <c r="D158" s="30"/>
      <c r="E158" s="103"/>
      <c r="F158" s="30"/>
      <c r="G158" s="30"/>
      <c r="H158" s="30"/>
      <c r="I158" s="30"/>
      <c r="J158" s="30"/>
      <c r="K158" s="30"/>
      <c r="L158" s="30"/>
      <c r="M158" s="30"/>
      <c r="N158" s="30"/>
      <c r="O158" s="30"/>
      <c r="P158" s="30"/>
      <c r="Q158" s="30"/>
      <c r="R158" s="30"/>
      <c r="S158" s="30"/>
      <c r="T158" s="30"/>
      <c r="U158" s="30"/>
      <c r="V158" s="30"/>
      <c r="W158" s="30"/>
      <c r="X158" s="30"/>
    </row>
    <row r="159" ht="15.75" customHeight="1">
      <c r="A159" s="30"/>
      <c r="B159" s="30"/>
      <c r="C159" s="30"/>
      <c r="D159" s="30"/>
      <c r="E159" s="103"/>
      <c r="F159" s="30"/>
      <c r="G159" s="30"/>
      <c r="H159" s="30"/>
      <c r="I159" s="30"/>
      <c r="J159" s="30"/>
      <c r="K159" s="30"/>
      <c r="L159" s="30"/>
      <c r="M159" s="30"/>
      <c r="N159" s="30"/>
      <c r="O159" s="30"/>
      <c r="P159" s="30"/>
      <c r="Q159" s="30"/>
      <c r="R159" s="30"/>
      <c r="S159" s="30"/>
      <c r="T159" s="30"/>
      <c r="U159" s="30"/>
      <c r="V159" s="30"/>
      <c r="W159" s="30"/>
      <c r="X159" s="30"/>
    </row>
    <row r="160" ht="15.75" customHeight="1">
      <c r="A160" s="30"/>
      <c r="B160" s="30"/>
      <c r="C160" s="30"/>
      <c r="D160" s="30"/>
      <c r="E160" s="103"/>
      <c r="F160" s="30"/>
      <c r="G160" s="30"/>
      <c r="H160" s="30"/>
      <c r="I160" s="30"/>
      <c r="J160" s="30"/>
      <c r="K160" s="30"/>
      <c r="L160" s="30"/>
      <c r="M160" s="30"/>
      <c r="N160" s="30"/>
      <c r="O160" s="30"/>
      <c r="P160" s="30"/>
      <c r="Q160" s="30"/>
      <c r="R160" s="30"/>
      <c r="S160" s="30"/>
      <c r="T160" s="30"/>
      <c r="U160" s="30"/>
      <c r="V160" s="30"/>
      <c r="W160" s="30"/>
      <c r="X160" s="30"/>
    </row>
    <row r="161" ht="15.75" customHeight="1">
      <c r="A161" s="30"/>
      <c r="B161" s="30"/>
      <c r="C161" s="30"/>
      <c r="D161" s="30"/>
      <c r="E161" s="103"/>
      <c r="F161" s="30"/>
      <c r="G161" s="30"/>
      <c r="H161" s="30"/>
      <c r="I161" s="30"/>
      <c r="J161" s="30"/>
      <c r="K161" s="30"/>
      <c r="L161" s="30"/>
      <c r="M161" s="30"/>
      <c r="N161" s="30"/>
      <c r="O161" s="30"/>
      <c r="P161" s="30"/>
      <c r="Q161" s="30"/>
      <c r="R161" s="30"/>
      <c r="S161" s="30"/>
      <c r="T161" s="30"/>
      <c r="U161" s="30"/>
      <c r="V161" s="30"/>
      <c r="W161" s="30"/>
      <c r="X161" s="30"/>
    </row>
    <row r="162" ht="15.75" customHeight="1">
      <c r="A162" s="30"/>
      <c r="B162" s="30"/>
      <c r="C162" s="30"/>
      <c r="D162" s="30"/>
      <c r="E162" s="103"/>
      <c r="F162" s="30"/>
      <c r="G162" s="30"/>
      <c r="H162" s="30"/>
      <c r="I162" s="30"/>
      <c r="J162" s="30"/>
      <c r="K162" s="30"/>
      <c r="L162" s="30"/>
      <c r="M162" s="30"/>
      <c r="N162" s="30"/>
      <c r="O162" s="30"/>
      <c r="P162" s="30"/>
      <c r="Q162" s="30"/>
      <c r="R162" s="30"/>
      <c r="S162" s="30"/>
      <c r="T162" s="30"/>
      <c r="U162" s="30"/>
      <c r="V162" s="30"/>
      <c r="W162" s="30"/>
      <c r="X162" s="30"/>
    </row>
    <row r="163" ht="15.75" customHeight="1">
      <c r="A163" s="30"/>
      <c r="B163" s="30"/>
      <c r="C163" s="30"/>
      <c r="D163" s="30"/>
      <c r="E163" s="103"/>
      <c r="F163" s="30"/>
      <c r="G163" s="30"/>
      <c r="H163" s="30"/>
      <c r="I163" s="30"/>
      <c r="J163" s="30"/>
      <c r="K163" s="30"/>
      <c r="L163" s="30"/>
      <c r="M163" s="30"/>
      <c r="N163" s="30"/>
      <c r="O163" s="30"/>
      <c r="P163" s="30"/>
      <c r="Q163" s="30"/>
      <c r="R163" s="30"/>
      <c r="S163" s="30"/>
      <c r="T163" s="30"/>
      <c r="U163" s="30"/>
      <c r="V163" s="30"/>
      <c r="W163" s="30"/>
      <c r="X163" s="30"/>
    </row>
    <row r="164" ht="15.75" customHeight="1">
      <c r="A164" s="30"/>
      <c r="B164" s="30"/>
      <c r="C164" s="30"/>
      <c r="D164" s="30"/>
      <c r="E164" s="103"/>
      <c r="F164" s="30"/>
      <c r="G164" s="30"/>
      <c r="H164" s="30"/>
      <c r="I164" s="30"/>
      <c r="J164" s="30"/>
      <c r="K164" s="30"/>
      <c r="L164" s="30"/>
      <c r="M164" s="30"/>
      <c r="N164" s="30"/>
      <c r="O164" s="30"/>
      <c r="P164" s="30"/>
      <c r="Q164" s="30"/>
      <c r="R164" s="30"/>
      <c r="S164" s="30"/>
      <c r="T164" s="30"/>
      <c r="U164" s="30"/>
      <c r="V164" s="30"/>
      <c r="W164" s="30"/>
      <c r="X164" s="30"/>
    </row>
    <row r="165" ht="15.75" customHeight="1">
      <c r="A165" s="30"/>
      <c r="B165" s="30"/>
      <c r="C165" s="30"/>
      <c r="D165" s="30"/>
      <c r="E165" s="103"/>
      <c r="F165" s="30"/>
      <c r="G165" s="30"/>
      <c r="H165" s="30"/>
      <c r="I165" s="30"/>
      <c r="J165" s="30"/>
      <c r="K165" s="30"/>
      <c r="L165" s="30"/>
      <c r="M165" s="30"/>
      <c r="N165" s="30"/>
      <c r="O165" s="30"/>
      <c r="P165" s="30"/>
      <c r="Q165" s="30"/>
      <c r="R165" s="30"/>
      <c r="S165" s="30"/>
      <c r="T165" s="30"/>
      <c r="U165" s="30"/>
      <c r="V165" s="30"/>
      <c r="W165" s="30"/>
      <c r="X165" s="30"/>
    </row>
    <row r="166" ht="15.75" customHeight="1">
      <c r="A166" s="30"/>
      <c r="B166" s="30"/>
      <c r="C166" s="30"/>
      <c r="D166" s="30"/>
      <c r="E166" s="103"/>
      <c r="F166" s="30"/>
      <c r="G166" s="30"/>
      <c r="H166" s="30"/>
      <c r="I166" s="30"/>
      <c r="J166" s="30"/>
      <c r="K166" s="30"/>
      <c r="L166" s="30"/>
      <c r="M166" s="30"/>
      <c r="N166" s="30"/>
      <c r="O166" s="30"/>
      <c r="P166" s="30"/>
      <c r="Q166" s="30"/>
      <c r="R166" s="30"/>
      <c r="S166" s="30"/>
      <c r="T166" s="30"/>
      <c r="U166" s="30"/>
      <c r="V166" s="30"/>
      <c r="W166" s="30"/>
      <c r="X166" s="30"/>
    </row>
    <row r="167" ht="15.75" customHeight="1">
      <c r="A167" s="30"/>
      <c r="B167" s="30"/>
      <c r="C167" s="30"/>
      <c r="D167" s="30"/>
      <c r="E167" s="103"/>
      <c r="F167" s="30"/>
      <c r="G167" s="30"/>
      <c r="H167" s="30"/>
      <c r="I167" s="30"/>
      <c r="J167" s="30"/>
      <c r="K167" s="30"/>
      <c r="L167" s="30"/>
      <c r="M167" s="30"/>
      <c r="N167" s="30"/>
      <c r="O167" s="30"/>
      <c r="P167" s="30"/>
      <c r="Q167" s="30"/>
      <c r="R167" s="30"/>
      <c r="S167" s="30"/>
      <c r="T167" s="30"/>
      <c r="U167" s="30"/>
      <c r="V167" s="30"/>
      <c r="W167" s="30"/>
      <c r="X167" s="30"/>
    </row>
    <row r="168" ht="15.75" customHeight="1">
      <c r="A168" s="30"/>
      <c r="B168" s="30"/>
      <c r="C168" s="30"/>
      <c r="D168" s="30"/>
      <c r="E168" s="103"/>
      <c r="F168" s="30"/>
      <c r="G168" s="30"/>
      <c r="H168" s="30"/>
      <c r="I168" s="30"/>
      <c r="J168" s="30"/>
      <c r="K168" s="30"/>
      <c r="L168" s="30"/>
      <c r="M168" s="30"/>
      <c r="N168" s="30"/>
      <c r="O168" s="30"/>
      <c r="P168" s="30"/>
      <c r="Q168" s="30"/>
      <c r="R168" s="30"/>
      <c r="S168" s="30"/>
      <c r="T168" s="30"/>
      <c r="U168" s="30"/>
      <c r="V168" s="30"/>
      <c r="W168" s="30"/>
      <c r="X168" s="30"/>
    </row>
    <row r="169" ht="15.75" customHeight="1">
      <c r="A169" s="30"/>
      <c r="B169" s="30"/>
      <c r="C169" s="30"/>
      <c r="D169" s="30"/>
      <c r="E169" s="103"/>
      <c r="F169" s="30"/>
      <c r="G169" s="30"/>
      <c r="H169" s="30"/>
      <c r="I169" s="30"/>
      <c r="J169" s="30"/>
      <c r="K169" s="30"/>
      <c r="L169" s="30"/>
      <c r="M169" s="30"/>
      <c r="N169" s="30"/>
      <c r="O169" s="30"/>
      <c r="P169" s="30"/>
      <c r="Q169" s="30"/>
      <c r="R169" s="30"/>
      <c r="S169" s="30"/>
      <c r="T169" s="30"/>
      <c r="U169" s="30"/>
      <c r="V169" s="30"/>
      <c r="W169" s="30"/>
      <c r="X169" s="30"/>
    </row>
    <row r="170" ht="15.75" customHeight="1">
      <c r="A170" s="30"/>
      <c r="B170" s="30"/>
      <c r="C170" s="30"/>
      <c r="D170" s="30"/>
      <c r="E170" s="103"/>
      <c r="F170" s="30"/>
      <c r="G170" s="30"/>
      <c r="H170" s="30"/>
      <c r="I170" s="30"/>
      <c r="J170" s="30"/>
      <c r="K170" s="30"/>
      <c r="L170" s="30"/>
      <c r="M170" s="30"/>
      <c r="N170" s="30"/>
      <c r="O170" s="30"/>
      <c r="P170" s="30"/>
      <c r="Q170" s="30"/>
      <c r="R170" s="30"/>
      <c r="S170" s="30"/>
      <c r="T170" s="30"/>
      <c r="U170" s="30"/>
      <c r="V170" s="30"/>
      <c r="W170" s="30"/>
      <c r="X170" s="30"/>
    </row>
    <row r="171" ht="15.75" customHeight="1">
      <c r="A171" s="30"/>
      <c r="B171" s="30"/>
      <c r="C171" s="30"/>
      <c r="D171" s="30"/>
      <c r="E171" s="103"/>
      <c r="F171" s="30"/>
      <c r="G171" s="30"/>
      <c r="H171" s="30"/>
      <c r="I171" s="30"/>
      <c r="J171" s="30"/>
      <c r="K171" s="30"/>
      <c r="L171" s="30"/>
      <c r="M171" s="30"/>
      <c r="N171" s="30"/>
      <c r="O171" s="30"/>
      <c r="P171" s="30"/>
      <c r="Q171" s="30"/>
      <c r="R171" s="30"/>
      <c r="S171" s="30"/>
      <c r="T171" s="30"/>
      <c r="U171" s="30"/>
      <c r="V171" s="30"/>
      <c r="W171" s="30"/>
      <c r="X171" s="30"/>
    </row>
    <row r="172" ht="15.75" customHeight="1">
      <c r="A172" s="30"/>
      <c r="B172" s="30"/>
      <c r="C172" s="30"/>
      <c r="D172" s="30"/>
      <c r="E172" s="103"/>
      <c r="F172" s="30"/>
      <c r="G172" s="30"/>
      <c r="H172" s="30"/>
      <c r="I172" s="30"/>
      <c r="J172" s="30"/>
      <c r="K172" s="30"/>
      <c r="L172" s="30"/>
      <c r="M172" s="30"/>
      <c r="N172" s="30"/>
      <c r="O172" s="30"/>
      <c r="P172" s="30"/>
      <c r="Q172" s="30"/>
      <c r="R172" s="30"/>
      <c r="S172" s="30"/>
      <c r="T172" s="30"/>
      <c r="U172" s="30"/>
      <c r="V172" s="30"/>
      <c r="W172" s="30"/>
      <c r="X172" s="30"/>
    </row>
    <row r="173" ht="15.75" customHeight="1">
      <c r="A173" s="30"/>
      <c r="B173" s="30"/>
      <c r="C173" s="30"/>
      <c r="D173" s="30"/>
      <c r="E173" s="103"/>
      <c r="F173" s="30"/>
      <c r="G173" s="30"/>
      <c r="H173" s="30"/>
      <c r="I173" s="30"/>
      <c r="J173" s="30"/>
      <c r="K173" s="30"/>
      <c r="L173" s="30"/>
      <c r="M173" s="30"/>
      <c r="N173" s="30"/>
      <c r="O173" s="30"/>
      <c r="P173" s="30"/>
      <c r="Q173" s="30"/>
      <c r="R173" s="30"/>
      <c r="S173" s="30"/>
      <c r="T173" s="30"/>
      <c r="U173" s="30"/>
      <c r="V173" s="30"/>
      <c r="W173" s="30"/>
      <c r="X173" s="30"/>
    </row>
    <row r="174" ht="15.75" customHeight="1">
      <c r="A174" s="30"/>
      <c r="B174" s="30"/>
      <c r="C174" s="30"/>
      <c r="D174" s="30"/>
      <c r="E174" s="103"/>
      <c r="F174" s="30"/>
      <c r="G174" s="30"/>
      <c r="H174" s="30"/>
      <c r="I174" s="30"/>
      <c r="J174" s="30"/>
      <c r="K174" s="30"/>
      <c r="L174" s="30"/>
      <c r="M174" s="30"/>
      <c r="N174" s="30"/>
      <c r="O174" s="30"/>
      <c r="P174" s="30"/>
      <c r="Q174" s="30"/>
      <c r="R174" s="30"/>
      <c r="S174" s="30"/>
      <c r="T174" s="30"/>
      <c r="U174" s="30"/>
      <c r="V174" s="30"/>
      <c r="W174" s="30"/>
      <c r="X174" s="30"/>
    </row>
    <row r="175" ht="15.75" customHeight="1">
      <c r="A175" s="30"/>
      <c r="B175" s="30"/>
      <c r="C175" s="30"/>
      <c r="D175" s="30"/>
      <c r="E175" s="103"/>
      <c r="F175" s="30"/>
      <c r="G175" s="30"/>
      <c r="H175" s="30"/>
      <c r="I175" s="30"/>
      <c r="J175" s="30"/>
      <c r="K175" s="30"/>
      <c r="L175" s="30"/>
      <c r="M175" s="30"/>
      <c r="N175" s="30"/>
      <c r="O175" s="30"/>
      <c r="P175" s="30"/>
      <c r="Q175" s="30"/>
      <c r="R175" s="30"/>
      <c r="S175" s="30"/>
      <c r="T175" s="30"/>
      <c r="U175" s="30"/>
      <c r="V175" s="30"/>
      <c r="W175" s="30"/>
      <c r="X175" s="30"/>
    </row>
    <row r="176" ht="15.75" customHeight="1">
      <c r="A176" s="30"/>
      <c r="B176" s="30"/>
      <c r="C176" s="30"/>
      <c r="D176" s="30"/>
      <c r="E176" s="103"/>
      <c r="F176" s="30"/>
      <c r="G176" s="30"/>
      <c r="H176" s="30"/>
      <c r="I176" s="30"/>
      <c r="J176" s="30"/>
      <c r="K176" s="30"/>
      <c r="L176" s="30"/>
      <c r="M176" s="30"/>
      <c r="N176" s="30"/>
      <c r="O176" s="30"/>
      <c r="P176" s="30"/>
      <c r="Q176" s="30"/>
      <c r="R176" s="30"/>
      <c r="S176" s="30"/>
      <c r="T176" s="30"/>
      <c r="U176" s="30"/>
      <c r="V176" s="30"/>
      <c r="W176" s="30"/>
      <c r="X176" s="30"/>
    </row>
    <row r="177" ht="15.75" customHeight="1">
      <c r="A177" s="30"/>
      <c r="B177" s="30"/>
      <c r="C177" s="30"/>
      <c r="D177" s="30"/>
      <c r="E177" s="103"/>
      <c r="F177" s="30"/>
      <c r="G177" s="30"/>
      <c r="H177" s="30"/>
      <c r="I177" s="30"/>
      <c r="J177" s="30"/>
      <c r="K177" s="30"/>
      <c r="L177" s="30"/>
      <c r="M177" s="30"/>
      <c r="N177" s="30"/>
      <c r="O177" s="30"/>
      <c r="P177" s="30"/>
      <c r="Q177" s="30"/>
      <c r="R177" s="30"/>
      <c r="S177" s="30"/>
      <c r="T177" s="30"/>
      <c r="U177" s="30"/>
      <c r="V177" s="30"/>
      <c r="W177" s="30"/>
      <c r="X177" s="30"/>
    </row>
    <row r="178" ht="15.75" customHeight="1">
      <c r="A178" s="30"/>
      <c r="B178" s="30"/>
      <c r="C178" s="30"/>
      <c r="D178" s="30"/>
      <c r="E178" s="103"/>
      <c r="F178" s="30"/>
      <c r="G178" s="30"/>
      <c r="H178" s="30"/>
      <c r="I178" s="30"/>
      <c r="J178" s="30"/>
      <c r="K178" s="30"/>
      <c r="L178" s="30"/>
      <c r="M178" s="30"/>
      <c r="N178" s="30"/>
      <c r="O178" s="30"/>
      <c r="P178" s="30"/>
      <c r="Q178" s="30"/>
      <c r="R178" s="30"/>
      <c r="S178" s="30"/>
      <c r="T178" s="30"/>
      <c r="U178" s="30"/>
      <c r="V178" s="30"/>
      <c r="W178" s="30"/>
      <c r="X178" s="30"/>
    </row>
    <row r="179" ht="15.75" customHeight="1">
      <c r="A179" s="30"/>
      <c r="B179" s="30"/>
      <c r="C179" s="30"/>
      <c r="D179" s="30"/>
      <c r="E179" s="103"/>
      <c r="F179" s="30"/>
      <c r="G179" s="30"/>
      <c r="H179" s="30"/>
      <c r="I179" s="30"/>
      <c r="J179" s="30"/>
      <c r="K179" s="30"/>
      <c r="L179" s="30"/>
      <c r="M179" s="30"/>
      <c r="N179" s="30"/>
      <c r="O179" s="30"/>
      <c r="P179" s="30"/>
      <c r="Q179" s="30"/>
      <c r="R179" s="30"/>
      <c r="S179" s="30"/>
      <c r="T179" s="30"/>
      <c r="U179" s="30"/>
      <c r="V179" s="30"/>
      <c r="W179" s="30"/>
      <c r="X179" s="30"/>
    </row>
    <row r="180" ht="15.75" customHeight="1">
      <c r="A180" s="30"/>
      <c r="B180" s="30"/>
      <c r="C180" s="30"/>
      <c r="D180" s="30"/>
      <c r="E180" s="103"/>
      <c r="F180" s="30"/>
      <c r="G180" s="30"/>
      <c r="H180" s="30"/>
      <c r="I180" s="30"/>
      <c r="J180" s="30"/>
      <c r="K180" s="30"/>
      <c r="L180" s="30"/>
      <c r="M180" s="30"/>
      <c r="N180" s="30"/>
      <c r="O180" s="30"/>
      <c r="P180" s="30"/>
      <c r="Q180" s="30"/>
      <c r="R180" s="30"/>
      <c r="S180" s="30"/>
      <c r="T180" s="30"/>
      <c r="U180" s="30"/>
      <c r="V180" s="30"/>
      <c r="W180" s="30"/>
      <c r="X180" s="30"/>
    </row>
    <row r="181" ht="15.75" customHeight="1">
      <c r="A181" s="30"/>
      <c r="B181" s="30"/>
      <c r="C181" s="30"/>
      <c r="D181" s="30"/>
      <c r="E181" s="103"/>
      <c r="F181" s="30"/>
      <c r="G181" s="30"/>
      <c r="H181" s="30"/>
      <c r="I181" s="30"/>
      <c r="J181" s="30"/>
      <c r="K181" s="30"/>
      <c r="L181" s="30"/>
      <c r="M181" s="30"/>
      <c r="N181" s="30"/>
      <c r="O181" s="30"/>
      <c r="P181" s="30"/>
      <c r="Q181" s="30"/>
      <c r="R181" s="30"/>
      <c r="S181" s="30"/>
      <c r="T181" s="30"/>
      <c r="U181" s="30"/>
      <c r="V181" s="30"/>
      <c r="W181" s="30"/>
      <c r="X181" s="30"/>
    </row>
    <row r="182" ht="15.75" customHeight="1">
      <c r="A182" s="30"/>
      <c r="B182" s="30"/>
      <c r="C182" s="30"/>
      <c r="D182" s="30"/>
      <c r="E182" s="103"/>
      <c r="F182" s="30"/>
      <c r="G182" s="30"/>
      <c r="H182" s="30"/>
      <c r="I182" s="30"/>
      <c r="J182" s="30"/>
      <c r="K182" s="30"/>
      <c r="L182" s="30"/>
      <c r="M182" s="30"/>
      <c r="N182" s="30"/>
      <c r="O182" s="30"/>
      <c r="P182" s="30"/>
      <c r="Q182" s="30"/>
      <c r="R182" s="30"/>
      <c r="S182" s="30"/>
      <c r="T182" s="30"/>
      <c r="U182" s="30"/>
      <c r="V182" s="30"/>
      <c r="W182" s="30"/>
      <c r="X182" s="30"/>
    </row>
    <row r="183" ht="15.75" customHeight="1">
      <c r="A183" s="30"/>
      <c r="B183" s="30"/>
      <c r="C183" s="30"/>
      <c r="D183" s="30"/>
      <c r="E183" s="103"/>
      <c r="F183" s="30"/>
      <c r="G183" s="30"/>
      <c r="H183" s="30"/>
      <c r="I183" s="30"/>
      <c r="J183" s="30"/>
      <c r="K183" s="30"/>
      <c r="L183" s="30"/>
      <c r="M183" s="30"/>
      <c r="N183" s="30"/>
      <c r="O183" s="30"/>
      <c r="P183" s="30"/>
      <c r="Q183" s="30"/>
      <c r="R183" s="30"/>
      <c r="S183" s="30"/>
      <c r="T183" s="30"/>
      <c r="U183" s="30"/>
      <c r="V183" s="30"/>
      <c r="W183" s="30"/>
      <c r="X183" s="30"/>
    </row>
    <row r="184" ht="15.75" customHeight="1">
      <c r="A184" s="30"/>
      <c r="B184" s="30"/>
      <c r="C184" s="30"/>
      <c r="D184" s="30"/>
      <c r="E184" s="103"/>
      <c r="F184" s="30"/>
      <c r="G184" s="30"/>
      <c r="H184" s="30"/>
      <c r="I184" s="30"/>
      <c r="J184" s="30"/>
      <c r="K184" s="30"/>
      <c r="L184" s="30"/>
      <c r="M184" s="30"/>
      <c r="N184" s="30"/>
      <c r="O184" s="30"/>
      <c r="P184" s="30"/>
      <c r="Q184" s="30"/>
      <c r="R184" s="30"/>
      <c r="S184" s="30"/>
      <c r="T184" s="30"/>
      <c r="U184" s="30"/>
      <c r="V184" s="30"/>
      <c r="W184" s="30"/>
      <c r="X184" s="30"/>
    </row>
    <row r="185" ht="15.75" customHeight="1">
      <c r="A185" s="30"/>
      <c r="B185" s="30"/>
      <c r="C185" s="30"/>
      <c r="D185" s="30"/>
      <c r="E185" s="103"/>
      <c r="F185" s="30"/>
      <c r="G185" s="30"/>
      <c r="H185" s="30"/>
      <c r="I185" s="30"/>
      <c r="J185" s="30"/>
      <c r="K185" s="30"/>
      <c r="L185" s="30"/>
      <c r="M185" s="30"/>
      <c r="N185" s="30"/>
      <c r="O185" s="30"/>
      <c r="P185" s="30"/>
      <c r="Q185" s="30"/>
      <c r="R185" s="30"/>
      <c r="S185" s="30"/>
      <c r="T185" s="30"/>
      <c r="U185" s="30"/>
      <c r="V185" s="30"/>
      <c r="W185" s="30"/>
      <c r="X185" s="30"/>
    </row>
    <row r="186" ht="15.75" customHeight="1">
      <c r="A186" s="30"/>
      <c r="B186" s="30"/>
      <c r="C186" s="30"/>
      <c r="D186" s="30"/>
      <c r="E186" s="103"/>
      <c r="F186" s="30"/>
      <c r="G186" s="30"/>
      <c r="H186" s="30"/>
      <c r="I186" s="30"/>
      <c r="J186" s="30"/>
      <c r="K186" s="30"/>
      <c r="L186" s="30"/>
      <c r="M186" s="30"/>
      <c r="N186" s="30"/>
      <c r="O186" s="30"/>
      <c r="P186" s="30"/>
      <c r="Q186" s="30"/>
      <c r="R186" s="30"/>
      <c r="S186" s="30"/>
      <c r="T186" s="30"/>
      <c r="U186" s="30"/>
      <c r="V186" s="30"/>
      <c r="W186" s="30"/>
      <c r="X186" s="30"/>
    </row>
    <row r="187" ht="15.75" customHeight="1">
      <c r="A187" s="30"/>
      <c r="B187" s="30"/>
      <c r="C187" s="30"/>
      <c r="D187" s="30"/>
      <c r="E187" s="103"/>
      <c r="F187" s="30"/>
      <c r="G187" s="30"/>
      <c r="H187" s="30"/>
      <c r="I187" s="30"/>
      <c r="J187" s="30"/>
      <c r="K187" s="30"/>
      <c r="L187" s="30"/>
      <c r="M187" s="30"/>
      <c r="N187" s="30"/>
      <c r="O187" s="30"/>
      <c r="P187" s="30"/>
      <c r="Q187" s="30"/>
      <c r="R187" s="30"/>
      <c r="S187" s="30"/>
      <c r="T187" s="30"/>
      <c r="U187" s="30"/>
      <c r="V187" s="30"/>
      <c r="W187" s="30"/>
      <c r="X187" s="30"/>
    </row>
    <row r="188" ht="15.75" customHeight="1">
      <c r="A188" s="30"/>
      <c r="B188" s="30"/>
      <c r="C188" s="30"/>
      <c r="D188" s="30"/>
      <c r="E188" s="103"/>
      <c r="F188" s="30"/>
      <c r="G188" s="30"/>
      <c r="H188" s="30"/>
      <c r="I188" s="30"/>
      <c r="J188" s="30"/>
      <c r="K188" s="30"/>
      <c r="L188" s="30"/>
      <c r="M188" s="30"/>
      <c r="N188" s="30"/>
      <c r="O188" s="30"/>
      <c r="P188" s="30"/>
      <c r="Q188" s="30"/>
      <c r="R188" s="30"/>
      <c r="S188" s="30"/>
      <c r="T188" s="30"/>
      <c r="U188" s="30"/>
      <c r="V188" s="30"/>
      <c r="W188" s="30"/>
      <c r="X188" s="30"/>
    </row>
    <row r="189" ht="15.75" customHeight="1">
      <c r="A189" s="30"/>
      <c r="B189" s="30"/>
      <c r="C189" s="30"/>
      <c r="D189" s="30"/>
      <c r="E189" s="103"/>
      <c r="F189" s="30"/>
      <c r="G189" s="30"/>
      <c r="H189" s="30"/>
      <c r="I189" s="30"/>
      <c r="J189" s="30"/>
      <c r="K189" s="30"/>
      <c r="L189" s="30"/>
      <c r="M189" s="30"/>
      <c r="N189" s="30"/>
      <c r="O189" s="30"/>
      <c r="P189" s="30"/>
      <c r="Q189" s="30"/>
      <c r="R189" s="30"/>
      <c r="S189" s="30"/>
      <c r="T189" s="30"/>
      <c r="U189" s="30"/>
      <c r="V189" s="30"/>
      <c r="W189" s="30"/>
      <c r="X189" s="30"/>
    </row>
    <row r="190" ht="15.75" customHeight="1">
      <c r="A190" s="30"/>
      <c r="B190" s="30"/>
      <c r="C190" s="30"/>
      <c r="D190" s="30"/>
      <c r="E190" s="103"/>
      <c r="F190" s="30"/>
      <c r="G190" s="30"/>
      <c r="H190" s="30"/>
      <c r="I190" s="30"/>
      <c r="J190" s="30"/>
      <c r="K190" s="30"/>
      <c r="L190" s="30"/>
      <c r="M190" s="30"/>
      <c r="N190" s="30"/>
      <c r="O190" s="30"/>
      <c r="P190" s="30"/>
      <c r="Q190" s="30"/>
      <c r="R190" s="30"/>
      <c r="S190" s="30"/>
      <c r="T190" s="30"/>
      <c r="U190" s="30"/>
      <c r="V190" s="30"/>
      <c r="W190" s="30"/>
      <c r="X190" s="30"/>
    </row>
    <row r="191" ht="15.75" customHeight="1">
      <c r="A191" s="30"/>
      <c r="B191" s="30"/>
      <c r="C191" s="30"/>
      <c r="D191" s="30"/>
      <c r="E191" s="103"/>
      <c r="F191" s="30"/>
      <c r="G191" s="30"/>
      <c r="H191" s="30"/>
      <c r="I191" s="30"/>
      <c r="J191" s="30"/>
      <c r="K191" s="30"/>
      <c r="L191" s="30"/>
      <c r="M191" s="30"/>
      <c r="N191" s="30"/>
      <c r="O191" s="30"/>
      <c r="P191" s="30"/>
      <c r="Q191" s="30"/>
      <c r="R191" s="30"/>
      <c r="S191" s="30"/>
      <c r="T191" s="30"/>
      <c r="U191" s="30"/>
      <c r="V191" s="30"/>
      <c r="W191" s="30"/>
      <c r="X191" s="30"/>
    </row>
    <row r="192" ht="15.75" customHeight="1">
      <c r="A192" s="30"/>
      <c r="B192" s="30"/>
      <c r="C192" s="30"/>
      <c r="D192" s="30"/>
      <c r="E192" s="103"/>
      <c r="F192" s="30"/>
      <c r="G192" s="30"/>
      <c r="H192" s="30"/>
      <c r="I192" s="30"/>
      <c r="J192" s="30"/>
      <c r="K192" s="30"/>
      <c r="L192" s="30"/>
      <c r="M192" s="30"/>
      <c r="N192" s="30"/>
      <c r="O192" s="30"/>
      <c r="P192" s="30"/>
      <c r="Q192" s="30"/>
      <c r="R192" s="30"/>
      <c r="S192" s="30"/>
      <c r="T192" s="30"/>
      <c r="U192" s="30"/>
      <c r="V192" s="30"/>
      <c r="W192" s="30"/>
      <c r="X192" s="30"/>
    </row>
    <row r="193" ht="15.75" customHeight="1">
      <c r="A193" s="30"/>
      <c r="B193" s="30"/>
      <c r="C193" s="30"/>
      <c r="D193" s="30"/>
      <c r="E193" s="103"/>
      <c r="F193" s="30"/>
      <c r="G193" s="30"/>
      <c r="H193" s="30"/>
      <c r="I193" s="30"/>
      <c r="J193" s="30"/>
      <c r="K193" s="30"/>
      <c r="L193" s="30"/>
      <c r="M193" s="30"/>
      <c r="N193" s="30"/>
      <c r="O193" s="30"/>
      <c r="P193" s="30"/>
      <c r="Q193" s="30"/>
      <c r="R193" s="30"/>
      <c r="S193" s="30"/>
      <c r="T193" s="30"/>
      <c r="U193" s="30"/>
      <c r="V193" s="30"/>
      <c r="W193" s="30"/>
      <c r="X193" s="30"/>
    </row>
    <row r="194" ht="15.75" customHeight="1">
      <c r="A194" s="30"/>
      <c r="B194" s="30"/>
      <c r="C194" s="30"/>
      <c r="D194" s="30"/>
      <c r="E194" s="103"/>
      <c r="F194" s="30"/>
      <c r="G194" s="30"/>
      <c r="H194" s="30"/>
      <c r="I194" s="30"/>
      <c r="J194" s="30"/>
      <c r="K194" s="30"/>
      <c r="L194" s="30"/>
      <c r="M194" s="30"/>
      <c r="N194" s="30"/>
      <c r="O194" s="30"/>
      <c r="P194" s="30"/>
      <c r="Q194" s="30"/>
      <c r="R194" s="30"/>
      <c r="S194" s="30"/>
      <c r="T194" s="30"/>
      <c r="U194" s="30"/>
      <c r="V194" s="30"/>
      <c r="W194" s="30"/>
      <c r="X194" s="30"/>
    </row>
    <row r="195" ht="15.75" customHeight="1">
      <c r="A195" s="30"/>
      <c r="B195" s="30"/>
      <c r="C195" s="30"/>
      <c r="D195" s="30"/>
      <c r="E195" s="103"/>
      <c r="F195" s="30"/>
      <c r="G195" s="30"/>
      <c r="H195" s="30"/>
      <c r="I195" s="30"/>
      <c r="J195" s="30"/>
      <c r="K195" s="30"/>
      <c r="L195" s="30"/>
      <c r="M195" s="30"/>
      <c r="N195" s="30"/>
      <c r="O195" s="30"/>
      <c r="P195" s="30"/>
      <c r="Q195" s="30"/>
      <c r="R195" s="30"/>
      <c r="S195" s="30"/>
      <c r="T195" s="30"/>
      <c r="U195" s="30"/>
      <c r="V195" s="30"/>
      <c r="W195" s="30"/>
      <c r="X195" s="30"/>
    </row>
    <row r="196" ht="15.75" customHeight="1">
      <c r="A196" s="30"/>
      <c r="B196" s="30"/>
      <c r="C196" s="30"/>
      <c r="D196" s="30"/>
      <c r="E196" s="103"/>
      <c r="F196" s="30"/>
      <c r="G196" s="30"/>
      <c r="H196" s="30"/>
      <c r="I196" s="30"/>
      <c r="J196" s="30"/>
      <c r="K196" s="30"/>
      <c r="L196" s="30"/>
      <c r="M196" s="30"/>
      <c r="N196" s="30"/>
      <c r="O196" s="30"/>
      <c r="P196" s="30"/>
      <c r="Q196" s="30"/>
      <c r="R196" s="30"/>
      <c r="S196" s="30"/>
      <c r="T196" s="30"/>
      <c r="U196" s="30"/>
      <c r="V196" s="30"/>
      <c r="W196" s="30"/>
      <c r="X196" s="30"/>
    </row>
    <row r="197" ht="15.75" customHeight="1">
      <c r="A197" s="30"/>
      <c r="B197" s="30"/>
      <c r="C197" s="30"/>
      <c r="D197" s="30"/>
      <c r="E197" s="103"/>
      <c r="F197" s="30"/>
      <c r="G197" s="30"/>
      <c r="H197" s="30"/>
      <c r="I197" s="30"/>
      <c r="J197" s="30"/>
      <c r="K197" s="30"/>
      <c r="L197" s="30"/>
      <c r="M197" s="30"/>
      <c r="N197" s="30"/>
      <c r="O197" s="30"/>
      <c r="P197" s="30"/>
      <c r="Q197" s="30"/>
      <c r="R197" s="30"/>
      <c r="S197" s="30"/>
      <c r="T197" s="30"/>
      <c r="U197" s="30"/>
      <c r="V197" s="30"/>
      <c r="W197" s="30"/>
      <c r="X197" s="30"/>
    </row>
    <row r="198" ht="15.75" customHeight="1">
      <c r="A198" s="30"/>
      <c r="B198" s="30"/>
      <c r="C198" s="30"/>
      <c r="D198" s="30"/>
      <c r="E198" s="103"/>
      <c r="F198" s="30"/>
      <c r="G198" s="30"/>
      <c r="H198" s="30"/>
      <c r="I198" s="30"/>
      <c r="J198" s="30"/>
      <c r="K198" s="30"/>
      <c r="L198" s="30"/>
      <c r="M198" s="30"/>
      <c r="N198" s="30"/>
      <c r="O198" s="30"/>
      <c r="P198" s="30"/>
      <c r="Q198" s="30"/>
      <c r="R198" s="30"/>
      <c r="S198" s="30"/>
      <c r="T198" s="30"/>
      <c r="U198" s="30"/>
      <c r="V198" s="30"/>
      <c r="W198" s="30"/>
      <c r="X198" s="30"/>
    </row>
    <row r="199" ht="15.75" customHeight="1">
      <c r="A199" s="30"/>
      <c r="B199" s="30"/>
      <c r="C199" s="30"/>
      <c r="D199" s="30"/>
      <c r="E199" s="103"/>
      <c r="F199" s="30"/>
      <c r="G199" s="30"/>
      <c r="H199" s="30"/>
      <c r="I199" s="30"/>
      <c r="J199" s="30"/>
      <c r="K199" s="30"/>
      <c r="L199" s="30"/>
      <c r="M199" s="30"/>
      <c r="N199" s="30"/>
      <c r="O199" s="30"/>
      <c r="P199" s="30"/>
      <c r="Q199" s="30"/>
      <c r="R199" s="30"/>
      <c r="S199" s="30"/>
      <c r="T199" s="30"/>
      <c r="U199" s="30"/>
      <c r="V199" s="30"/>
      <c r="W199" s="30"/>
      <c r="X199" s="30"/>
    </row>
    <row r="200" ht="15.75" customHeight="1">
      <c r="A200" s="30"/>
      <c r="B200" s="30"/>
      <c r="C200" s="30"/>
      <c r="D200" s="30"/>
      <c r="E200" s="103"/>
      <c r="F200" s="30"/>
      <c r="G200" s="30"/>
      <c r="H200" s="30"/>
      <c r="I200" s="30"/>
      <c r="J200" s="30"/>
      <c r="K200" s="30"/>
      <c r="L200" s="30"/>
      <c r="M200" s="30"/>
      <c r="N200" s="30"/>
      <c r="O200" s="30"/>
      <c r="P200" s="30"/>
      <c r="Q200" s="30"/>
      <c r="R200" s="30"/>
      <c r="S200" s="30"/>
      <c r="T200" s="30"/>
      <c r="U200" s="30"/>
      <c r="V200" s="30"/>
      <c r="W200" s="30"/>
      <c r="X200" s="30"/>
    </row>
    <row r="201" ht="15.75" customHeight="1">
      <c r="A201" s="30"/>
      <c r="B201" s="30"/>
      <c r="C201" s="30"/>
      <c r="D201" s="30"/>
      <c r="E201" s="103"/>
      <c r="F201" s="30"/>
      <c r="G201" s="30"/>
      <c r="H201" s="30"/>
      <c r="I201" s="30"/>
      <c r="J201" s="30"/>
      <c r="K201" s="30"/>
      <c r="L201" s="30"/>
      <c r="M201" s="30"/>
      <c r="N201" s="30"/>
      <c r="O201" s="30"/>
      <c r="P201" s="30"/>
      <c r="Q201" s="30"/>
      <c r="R201" s="30"/>
      <c r="S201" s="30"/>
      <c r="T201" s="30"/>
      <c r="U201" s="30"/>
      <c r="V201" s="30"/>
      <c r="W201" s="30"/>
      <c r="X201" s="30"/>
    </row>
    <row r="202" ht="15.75" customHeight="1">
      <c r="A202" s="30"/>
      <c r="B202" s="30"/>
      <c r="C202" s="30"/>
      <c r="D202" s="30"/>
      <c r="E202" s="103"/>
      <c r="F202" s="30"/>
      <c r="G202" s="30"/>
      <c r="H202" s="30"/>
      <c r="I202" s="30"/>
      <c r="J202" s="30"/>
      <c r="K202" s="30"/>
      <c r="L202" s="30"/>
      <c r="M202" s="30"/>
      <c r="N202" s="30"/>
      <c r="O202" s="30"/>
      <c r="P202" s="30"/>
      <c r="Q202" s="30"/>
      <c r="R202" s="30"/>
      <c r="S202" s="30"/>
      <c r="T202" s="30"/>
      <c r="U202" s="30"/>
      <c r="V202" s="30"/>
      <c r="W202" s="30"/>
      <c r="X202" s="30"/>
    </row>
    <row r="203" ht="15.75" customHeight="1">
      <c r="A203" s="30"/>
      <c r="B203" s="30"/>
      <c r="C203" s="30"/>
      <c r="D203" s="30"/>
      <c r="E203" s="103"/>
      <c r="F203" s="30"/>
      <c r="G203" s="30"/>
      <c r="H203" s="30"/>
      <c r="I203" s="30"/>
      <c r="J203" s="30"/>
      <c r="K203" s="30"/>
      <c r="L203" s="30"/>
      <c r="M203" s="30"/>
      <c r="N203" s="30"/>
      <c r="O203" s="30"/>
      <c r="P203" s="30"/>
      <c r="Q203" s="30"/>
      <c r="R203" s="30"/>
      <c r="S203" s="30"/>
      <c r="T203" s="30"/>
      <c r="U203" s="30"/>
      <c r="V203" s="30"/>
      <c r="W203" s="30"/>
      <c r="X203" s="30"/>
    </row>
    <row r="204" ht="15.75" customHeight="1">
      <c r="A204" s="30"/>
      <c r="B204" s="30"/>
      <c r="C204" s="30"/>
      <c r="D204" s="30"/>
      <c r="E204" s="103"/>
      <c r="F204" s="30"/>
      <c r="G204" s="30"/>
      <c r="H204" s="30"/>
      <c r="I204" s="30"/>
      <c r="J204" s="30"/>
      <c r="K204" s="30"/>
      <c r="L204" s="30"/>
      <c r="M204" s="30"/>
      <c r="N204" s="30"/>
      <c r="O204" s="30"/>
      <c r="P204" s="30"/>
      <c r="Q204" s="30"/>
      <c r="R204" s="30"/>
      <c r="S204" s="30"/>
      <c r="T204" s="30"/>
      <c r="U204" s="30"/>
      <c r="V204" s="30"/>
      <c r="W204" s="30"/>
      <c r="X204" s="30"/>
    </row>
    <row r="205" ht="15.75" customHeight="1">
      <c r="A205" s="30"/>
      <c r="B205" s="30"/>
      <c r="C205" s="30"/>
      <c r="D205" s="30"/>
      <c r="E205" s="103"/>
      <c r="F205" s="30"/>
      <c r="G205" s="30"/>
      <c r="H205" s="30"/>
      <c r="I205" s="30"/>
      <c r="J205" s="30"/>
      <c r="K205" s="30"/>
      <c r="L205" s="30"/>
      <c r="M205" s="30"/>
      <c r="N205" s="30"/>
      <c r="O205" s="30"/>
      <c r="P205" s="30"/>
      <c r="Q205" s="30"/>
      <c r="R205" s="30"/>
      <c r="S205" s="30"/>
      <c r="T205" s="30"/>
      <c r="U205" s="30"/>
      <c r="V205" s="30"/>
      <c r="W205" s="30"/>
      <c r="X205" s="30"/>
    </row>
    <row r="206" ht="15.75" customHeight="1">
      <c r="A206" s="30"/>
      <c r="B206" s="30"/>
      <c r="C206" s="30"/>
      <c r="D206" s="30"/>
      <c r="E206" s="103"/>
      <c r="F206" s="30"/>
      <c r="G206" s="30"/>
      <c r="H206" s="30"/>
      <c r="I206" s="30"/>
      <c r="J206" s="30"/>
      <c r="K206" s="30"/>
      <c r="L206" s="30"/>
      <c r="M206" s="30"/>
      <c r="N206" s="30"/>
      <c r="O206" s="30"/>
      <c r="P206" s="30"/>
      <c r="Q206" s="30"/>
      <c r="R206" s="30"/>
      <c r="S206" s="30"/>
      <c r="T206" s="30"/>
      <c r="U206" s="30"/>
      <c r="V206" s="30"/>
      <c r="W206" s="30"/>
      <c r="X206" s="30"/>
    </row>
    <row r="207" ht="15.75" customHeight="1">
      <c r="A207" s="30"/>
      <c r="B207" s="30"/>
      <c r="C207" s="30"/>
      <c r="D207" s="30"/>
      <c r="E207" s="103"/>
      <c r="F207" s="30"/>
      <c r="G207" s="30"/>
      <c r="H207" s="30"/>
      <c r="I207" s="30"/>
      <c r="J207" s="30"/>
      <c r="K207" s="30"/>
      <c r="L207" s="30"/>
      <c r="M207" s="30"/>
      <c r="N207" s="30"/>
      <c r="O207" s="30"/>
      <c r="P207" s="30"/>
      <c r="Q207" s="30"/>
      <c r="R207" s="30"/>
      <c r="S207" s="30"/>
      <c r="T207" s="30"/>
      <c r="U207" s="30"/>
      <c r="V207" s="30"/>
      <c r="W207" s="30"/>
      <c r="X207" s="30"/>
    </row>
    <row r="208" ht="15.75" customHeight="1">
      <c r="A208" s="30"/>
      <c r="B208" s="30"/>
      <c r="C208" s="30"/>
      <c r="D208" s="30"/>
      <c r="E208" s="103"/>
      <c r="F208" s="30"/>
      <c r="G208" s="30"/>
      <c r="H208" s="30"/>
      <c r="I208" s="30"/>
      <c r="J208" s="30"/>
      <c r="K208" s="30"/>
      <c r="L208" s="30"/>
      <c r="M208" s="30"/>
      <c r="N208" s="30"/>
      <c r="O208" s="30"/>
      <c r="P208" s="30"/>
      <c r="Q208" s="30"/>
      <c r="R208" s="30"/>
      <c r="S208" s="30"/>
      <c r="T208" s="30"/>
      <c r="U208" s="30"/>
      <c r="V208" s="30"/>
      <c r="W208" s="30"/>
      <c r="X208" s="30"/>
    </row>
    <row r="209" ht="15.75" customHeight="1">
      <c r="A209" s="30"/>
      <c r="B209" s="30"/>
      <c r="C209" s="30"/>
      <c r="D209" s="30"/>
      <c r="E209" s="103"/>
      <c r="F209" s="30"/>
      <c r="G209" s="30"/>
      <c r="H209" s="30"/>
      <c r="I209" s="30"/>
      <c r="J209" s="30"/>
      <c r="K209" s="30"/>
      <c r="L209" s="30"/>
      <c r="M209" s="30"/>
      <c r="N209" s="30"/>
      <c r="O209" s="30"/>
      <c r="P209" s="30"/>
      <c r="Q209" s="30"/>
      <c r="R209" s="30"/>
      <c r="S209" s="30"/>
      <c r="T209" s="30"/>
      <c r="U209" s="30"/>
      <c r="V209" s="30"/>
      <c r="W209" s="30"/>
      <c r="X209" s="30"/>
    </row>
    <row r="210" ht="15.75" customHeight="1">
      <c r="A210" s="30"/>
      <c r="B210" s="30"/>
      <c r="C210" s="30"/>
      <c r="D210" s="30"/>
      <c r="E210" s="103"/>
      <c r="F210" s="30"/>
      <c r="G210" s="30"/>
      <c r="H210" s="30"/>
      <c r="I210" s="30"/>
      <c r="J210" s="30"/>
      <c r="K210" s="30"/>
      <c r="L210" s="30"/>
      <c r="M210" s="30"/>
      <c r="N210" s="30"/>
      <c r="O210" s="30"/>
      <c r="P210" s="30"/>
      <c r="Q210" s="30"/>
      <c r="R210" s="30"/>
      <c r="S210" s="30"/>
      <c r="T210" s="30"/>
      <c r="U210" s="30"/>
      <c r="V210" s="30"/>
      <c r="W210" s="30"/>
      <c r="X210" s="30"/>
    </row>
    <row r="211" ht="15.75" customHeight="1">
      <c r="A211" s="30"/>
      <c r="B211" s="30"/>
      <c r="C211" s="30"/>
      <c r="D211" s="30"/>
      <c r="E211" s="103"/>
      <c r="F211" s="30"/>
      <c r="G211" s="30"/>
      <c r="H211" s="30"/>
      <c r="I211" s="30"/>
      <c r="J211" s="30"/>
      <c r="K211" s="30"/>
      <c r="L211" s="30"/>
      <c r="M211" s="30"/>
      <c r="N211" s="30"/>
      <c r="O211" s="30"/>
      <c r="P211" s="30"/>
      <c r="Q211" s="30"/>
      <c r="R211" s="30"/>
      <c r="S211" s="30"/>
      <c r="T211" s="30"/>
      <c r="U211" s="30"/>
      <c r="V211" s="30"/>
      <c r="W211" s="30"/>
      <c r="X211" s="30"/>
    </row>
    <row r="212" ht="15.75" customHeight="1">
      <c r="A212" s="30"/>
      <c r="B212" s="30"/>
      <c r="C212" s="30"/>
      <c r="D212" s="30"/>
      <c r="E212" s="103"/>
      <c r="F212" s="30"/>
      <c r="G212" s="30"/>
      <c r="H212" s="30"/>
      <c r="I212" s="30"/>
      <c r="J212" s="30"/>
      <c r="K212" s="30"/>
      <c r="L212" s="30"/>
      <c r="M212" s="30"/>
      <c r="N212" s="30"/>
      <c r="O212" s="30"/>
      <c r="P212" s="30"/>
      <c r="Q212" s="30"/>
      <c r="R212" s="30"/>
      <c r="S212" s="30"/>
      <c r="T212" s="30"/>
      <c r="U212" s="30"/>
      <c r="V212" s="30"/>
      <c r="W212" s="30"/>
      <c r="X212" s="30"/>
    </row>
    <row r="213" ht="15.75" customHeight="1">
      <c r="A213" s="30"/>
      <c r="B213" s="30"/>
      <c r="C213" s="30"/>
      <c r="D213" s="30"/>
      <c r="E213" s="103"/>
      <c r="F213" s="30"/>
      <c r="G213" s="30"/>
      <c r="H213" s="30"/>
      <c r="I213" s="30"/>
      <c r="J213" s="30"/>
      <c r="K213" s="30"/>
      <c r="L213" s="30"/>
      <c r="M213" s="30"/>
      <c r="N213" s="30"/>
      <c r="O213" s="30"/>
      <c r="P213" s="30"/>
      <c r="Q213" s="30"/>
      <c r="R213" s="30"/>
      <c r="S213" s="30"/>
      <c r="T213" s="30"/>
      <c r="U213" s="30"/>
      <c r="V213" s="30"/>
      <c r="W213" s="30"/>
      <c r="X213" s="30"/>
    </row>
    <row r="214" ht="15.75" customHeight="1">
      <c r="A214" s="30"/>
      <c r="B214" s="30"/>
      <c r="C214" s="30"/>
      <c r="D214" s="30"/>
      <c r="E214" s="103"/>
      <c r="F214" s="30"/>
      <c r="G214" s="30"/>
      <c r="H214" s="30"/>
      <c r="I214" s="30"/>
      <c r="J214" s="30"/>
      <c r="K214" s="30"/>
      <c r="L214" s="30"/>
      <c r="M214" s="30"/>
      <c r="N214" s="30"/>
      <c r="O214" s="30"/>
      <c r="P214" s="30"/>
      <c r="Q214" s="30"/>
      <c r="R214" s="30"/>
      <c r="S214" s="30"/>
      <c r="T214" s="30"/>
      <c r="U214" s="30"/>
      <c r="V214" s="30"/>
      <c r="W214" s="30"/>
      <c r="X214" s="30"/>
    </row>
    <row r="215" ht="15.75" customHeight="1">
      <c r="A215" s="30"/>
      <c r="B215" s="30"/>
      <c r="C215" s="30"/>
      <c r="D215" s="30"/>
      <c r="E215" s="103"/>
      <c r="F215" s="30"/>
      <c r="G215" s="30"/>
      <c r="H215" s="30"/>
      <c r="I215" s="30"/>
      <c r="J215" s="30"/>
      <c r="K215" s="30"/>
      <c r="L215" s="30"/>
      <c r="M215" s="30"/>
      <c r="N215" s="30"/>
      <c r="O215" s="30"/>
      <c r="P215" s="30"/>
      <c r="Q215" s="30"/>
      <c r="R215" s="30"/>
      <c r="S215" s="30"/>
      <c r="T215" s="30"/>
      <c r="U215" s="30"/>
      <c r="V215" s="30"/>
      <c r="W215" s="30"/>
      <c r="X215" s="30"/>
    </row>
    <row r="216" ht="15.75" customHeight="1">
      <c r="A216" s="30"/>
      <c r="B216" s="30"/>
      <c r="C216" s="30"/>
      <c r="D216" s="30"/>
      <c r="E216" s="103"/>
      <c r="F216" s="30"/>
      <c r="G216" s="30"/>
      <c r="H216" s="30"/>
      <c r="I216" s="30"/>
      <c r="J216" s="30"/>
      <c r="K216" s="30"/>
      <c r="L216" s="30"/>
      <c r="M216" s="30"/>
      <c r="N216" s="30"/>
      <c r="O216" s="30"/>
      <c r="P216" s="30"/>
      <c r="Q216" s="30"/>
      <c r="R216" s="30"/>
      <c r="S216" s="30"/>
      <c r="T216" s="30"/>
      <c r="U216" s="30"/>
      <c r="V216" s="30"/>
      <c r="W216" s="30"/>
      <c r="X216" s="30"/>
    </row>
    <row r="217" ht="15.75" customHeight="1">
      <c r="A217" s="30"/>
      <c r="B217" s="30"/>
      <c r="C217" s="30"/>
      <c r="D217" s="30"/>
      <c r="E217" s="103"/>
      <c r="F217" s="30"/>
      <c r="G217" s="30"/>
      <c r="H217" s="30"/>
      <c r="I217" s="30"/>
      <c r="J217" s="30"/>
      <c r="K217" s="30"/>
      <c r="L217" s="30"/>
      <c r="M217" s="30"/>
      <c r="N217" s="30"/>
      <c r="O217" s="30"/>
      <c r="P217" s="30"/>
      <c r="Q217" s="30"/>
      <c r="R217" s="30"/>
      <c r="S217" s="30"/>
      <c r="T217" s="30"/>
      <c r="U217" s="30"/>
      <c r="V217" s="30"/>
      <c r="W217" s="30"/>
      <c r="X217" s="30"/>
    </row>
    <row r="218" ht="15.75" customHeight="1">
      <c r="A218" s="30"/>
      <c r="B218" s="30"/>
      <c r="C218" s="30"/>
      <c r="D218" s="30"/>
      <c r="E218" s="103"/>
      <c r="F218" s="30"/>
      <c r="G218" s="30"/>
      <c r="H218" s="30"/>
      <c r="I218" s="30"/>
      <c r="J218" s="30"/>
      <c r="K218" s="30"/>
      <c r="L218" s="30"/>
      <c r="M218" s="30"/>
      <c r="N218" s="30"/>
      <c r="O218" s="30"/>
      <c r="P218" s="30"/>
      <c r="Q218" s="30"/>
      <c r="R218" s="30"/>
      <c r="S218" s="30"/>
      <c r="T218" s="30"/>
      <c r="U218" s="30"/>
      <c r="V218" s="30"/>
      <c r="W218" s="30"/>
      <c r="X218" s="30"/>
    </row>
    <row r="219" ht="15.75" customHeight="1">
      <c r="A219" s="30"/>
      <c r="B219" s="30"/>
      <c r="C219" s="30"/>
      <c r="D219" s="30"/>
      <c r="E219" s="103"/>
      <c r="F219" s="30"/>
      <c r="G219" s="30"/>
      <c r="H219" s="30"/>
      <c r="I219" s="30"/>
      <c r="J219" s="30"/>
      <c r="K219" s="30"/>
      <c r="L219" s="30"/>
      <c r="M219" s="30"/>
      <c r="N219" s="30"/>
      <c r="O219" s="30"/>
      <c r="P219" s="30"/>
      <c r="Q219" s="30"/>
      <c r="R219" s="30"/>
      <c r="S219" s="30"/>
      <c r="T219" s="30"/>
      <c r="U219" s="30"/>
      <c r="V219" s="30"/>
      <c r="W219" s="30"/>
      <c r="X219" s="30"/>
    </row>
    <row r="220" ht="15.75" customHeight="1">
      <c r="A220" s="30"/>
      <c r="B220" s="30"/>
      <c r="C220" s="30"/>
      <c r="D220" s="30"/>
      <c r="E220" s="103"/>
      <c r="F220" s="30"/>
      <c r="G220" s="30"/>
      <c r="H220" s="30"/>
      <c r="I220" s="30"/>
      <c r="J220" s="30"/>
      <c r="K220" s="30"/>
      <c r="L220" s="30"/>
      <c r="M220" s="30"/>
      <c r="N220" s="30"/>
      <c r="O220" s="30"/>
      <c r="P220" s="30"/>
      <c r="Q220" s="30"/>
      <c r="R220" s="30"/>
      <c r="S220" s="30"/>
      <c r="T220" s="30"/>
      <c r="U220" s="30"/>
      <c r="V220" s="30"/>
      <c r="W220" s="30"/>
      <c r="X220" s="30"/>
    </row>
    <row r="221" ht="15.75" customHeight="1">
      <c r="E221" s="185"/>
    </row>
    <row r="222" ht="15.75" customHeight="1">
      <c r="E222" s="185"/>
    </row>
    <row r="223" ht="15.75" customHeight="1">
      <c r="E223" s="185"/>
    </row>
    <row r="224" ht="15.75" customHeight="1">
      <c r="E224" s="185"/>
    </row>
    <row r="225" ht="15.75" customHeight="1">
      <c r="E225" s="185"/>
    </row>
    <row r="226" ht="15.75" customHeight="1">
      <c r="E226" s="185"/>
    </row>
    <row r="227" ht="15.75" customHeight="1">
      <c r="E227" s="185"/>
    </row>
    <row r="228" ht="15.75" customHeight="1">
      <c r="E228" s="185"/>
    </row>
    <row r="229" ht="15.75" customHeight="1">
      <c r="E229" s="185"/>
    </row>
    <row r="230" ht="15.75" customHeight="1">
      <c r="E230" s="185"/>
    </row>
    <row r="231" ht="15.75" customHeight="1">
      <c r="E231" s="185"/>
    </row>
    <row r="232" ht="15.75" customHeight="1">
      <c r="E232" s="185"/>
    </row>
    <row r="233" ht="15.75" customHeight="1">
      <c r="E233" s="185"/>
    </row>
    <row r="234" ht="15.75" customHeight="1">
      <c r="E234" s="185"/>
    </row>
    <row r="235" ht="15.75" customHeight="1">
      <c r="E235" s="185"/>
    </row>
    <row r="236" ht="15.75" customHeight="1">
      <c r="E236" s="185"/>
    </row>
    <row r="237" ht="15.75" customHeight="1">
      <c r="E237" s="185"/>
    </row>
    <row r="238" ht="15.75" customHeight="1">
      <c r="E238" s="185"/>
    </row>
    <row r="239" ht="15.75" customHeight="1">
      <c r="E239" s="185"/>
    </row>
    <row r="240" ht="15.75" customHeight="1">
      <c r="E240" s="185"/>
    </row>
    <row r="241" ht="15.75" customHeight="1">
      <c r="E241" s="185"/>
    </row>
    <row r="242" ht="15.75" customHeight="1">
      <c r="E242" s="185"/>
    </row>
    <row r="243" ht="15.75" customHeight="1">
      <c r="E243" s="185"/>
    </row>
    <row r="244" ht="15.75" customHeight="1">
      <c r="E244" s="185"/>
    </row>
    <row r="245" ht="15.75" customHeight="1">
      <c r="E245" s="185"/>
    </row>
    <row r="246" ht="15.75" customHeight="1">
      <c r="E246" s="185"/>
    </row>
    <row r="247" ht="15.75" customHeight="1">
      <c r="E247" s="185"/>
    </row>
    <row r="248" ht="15.75" customHeight="1">
      <c r="E248" s="185"/>
    </row>
    <row r="249" ht="15.75" customHeight="1">
      <c r="E249" s="185"/>
    </row>
    <row r="250" ht="15.75" customHeight="1">
      <c r="E250" s="185"/>
    </row>
    <row r="251" ht="15.75" customHeight="1">
      <c r="E251" s="185"/>
    </row>
    <row r="252" ht="15.75" customHeight="1">
      <c r="E252" s="185"/>
    </row>
    <row r="253" ht="15.75" customHeight="1">
      <c r="E253" s="185"/>
    </row>
    <row r="254" ht="15.75" customHeight="1">
      <c r="E254" s="185"/>
    </row>
    <row r="255" ht="15.75" customHeight="1">
      <c r="E255" s="185"/>
    </row>
    <row r="256" ht="15.75" customHeight="1">
      <c r="E256" s="185"/>
    </row>
    <row r="257" ht="15.75" customHeight="1">
      <c r="E257" s="185"/>
    </row>
    <row r="258" ht="15.75" customHeight="1">
      <c r="E258" s="185"/>
    </row>
    <row r="259" ht="15.75" customHeight="1">
      <c r="E259" s="185"/>
    </row>
    <row r="260" ht="15.75" customHeight="1">
      <c r="E260" s="185"/>
    </row>
    <row r="261" ht="15.75" customHeight="1">
      <c r="E261" s="185"/>
    </row>
    <row r="262" ht="15.75" customHeight="1">
      <c r="E262" s="185"/>
    </row>
    <row r="263" ht="15.75" customHeight="1">
      <c r="E263" s="185"/>
    </row>
    <row r="264" ht="15.75" customHeight="1">
      <c r="E264" s="185"/>
    </row>
    <row r="265" ht="15.75" customHeight="1">
      <c r="E265" s="185"/>
    </row>
    <row r="266" ht="15.75" customHeight="1">
      <c r="E266" s="185"/>
    </row>
    <row r="267" ht="15.75" customHeight="1">
      <c r="E267" s="185"/>
    </row>
    <row r="268" ht="15.75" customHeight="1">
      <c r="E268" s="185"/>
    </row>
    <row r="269" ht="15.75" customHeight="1">
      <c r="E269" s="185"/>
    </row>
    <row r="270" ht="15.75" customHeight="1">
      <c r="E270" s="185"/>
    </row>
    <row r="271" ht="15.75" customHeight="1">
      <c r="E271" s="185"/>
    </row>
    <row r="272" ht="15.75" customHeight="1">
      <c r="E272" s="185"/>
    </row>
    <row r="273" ht="15.75" customHeight="1">
      <c r="E273" s="185"/>
    </row>
    <row r="274" ht="15.75" customHeight="1">
      <c r="E274" s="185"/>
    </row>
    <row r="275" ht="15.75" customHeight="1">
      <c r="E275" s="185"/>
    </row>
    <row r="276" ht="15.75" customHeight="1">
      <c r="E276" s="185"/>
    </row>
    <row r="277" ht="15.75" customHeight="1">
      <c r="E277" s="185"/>
    </row>
    <row r="278" ht="15.75" customHeight="1">
      <c r="E278" s="185"/>
    </row>
    <row r="279" ht="15.75" customHeight="1">
      <c r="E279" s="185"/>
    </row>
    <row r="280" ht="15.75" customHeight="1">
      <c r="E280" s="185"/>
    </row>
    <row r="281" ht="15.75" customHeight="1">
      <c r="E281" s="185"/>
    </row>
    <row r="282" ht="15.75" customHeight="1">
      <c r="E282" s="185"/>
    </row>
    <row r="283" ht="15.75" customHeight="1">
      <c r="E283" s="185"/>
    </row>
    <row r="284" ht="15.75" customHeight="1">
      <c r="E284" s="185"/>
    </row>
    <row r="285" ht="15.75" customHeight="1">
      <c r="E285" s="185"/>
    </row>
    <row r="286" ht="15.75" customHeight="1">
      <c r="E286" s="185"/>
    </row>
    <row r="287" ht="15.75" customHeight="1">
      <c r="E287" s="185"/>
    </row>
    <row r="288" ht="15.75" customHeight="1">
      <c r="E288" s="185"/>
    </row>
    <row r="289" ht="15.75" customHeight="1">
      <c r="E289" s="185"/>
    </row>
    <row r="290" ht="15.75" customHeight="1">
      <c r="E290" s="185"/>
    </row>
    <row r="291" ht="15.75" customHeight="1">
      <c r="E291" s="185"/>
    </row>
    <row r="292" ht="15.75" customHeight="1">
      <c r="E292" s="185"/>
    </row>
    <row r="293" ht="15.75" customHeight="1">
      <c r="E293" s="185"/>
    </row>
    <row r="294" ht="15.75" customHeight="1">
      <c r="E294" s="185"/>
    </row>
    <row r="295" ht="15.75" customHeight="1">
      <c r="E295" s="185"/>
    </row>
    <row r="296" ht="15.75" customHeight="1">
      <c r="E296" s="185"/>
    </row>
    <row r="297" ht="15.75" customHeight="1">
      <c r="E297" s="185"/>
    </row>
    <row r="298" ht="15.75" customHeight="1">
      <c r="E298" s="185"/>
    </row>
    <row r="299" ht="15.75" customHeight="1">
      <c r="E299" s="185"/>
    </row>
    <row r="300" ht="15.75" customHeight="1">
      <c r="E300" s="185"/>
    </row>
    <row r="301" ht="15.75" customHeight="1">
      <c r="E301" s="185"/>
    </row>
    <row r="302" ht="15.75" customHeight="1">
      <c r="E302" s="185"/>
    </row>
    <row r="303" ht="15.75" customHeight="1">
      <c r="E303" s="185"/>
    </row>
    <row r="304" ht="15.75" customHeight="1">
      <c r="E304" s="185"/>
    </row>
    <row r="305" ht="15.75" customHeight="1">
      <c r="E305" s="185"/>
    </row>
    <row r="306" ht="15.75" customHeight="1">
      <c r="E306" s="185"/>
    </row>
    <row r="307" ht="15.75" customHeight="1">
      <c r="E307" s="185"/>
    </row>
    <row r="308" ht="15.75" customHeight="1">
      <c r="E308" s="185"/>
    </row>
    <row r="309" ht="15.75" customHeight="1">
      <c r="E309" s="185"/>
    </row>
    <row r="310" ht="15.75" customHeight="1">
      <c r="E310" s="185"/>
    </row>
    <row r="311" ht="15.75" customHeight="1">
      <c r="E311" s="185"/>
    </row>
    <row r="312" ht="15.75" customHeight="1">
      <c r="E312" s="185"/>
    </row>
    <row r="313" ht="15.75" customHeight="1">
      <c r="E313" s="185"/>
    </row>
    <row r="314" ht="15.75" customHeight="1">
      <c r="E314" s="185"/>
    </row>
    <row r="315" ht="15.75" customHeight="1">
      <c r="E315" s="185"/>
    </row>
    <row r="316" ht="15.75" customHeight="1">
      <c r="E316" s="185"/>
    </row>
    <row r="317" ht="15.75" customHeight="1">
      <c r="E317" s="185"/>
    </row>
    <row r="318" ht="15.75" customHeight="1">
      <c r="E318" s="185"/>
    </row>
    <row r="319" ht="15.75" customHeight="1">
      <c r="E319" s="185"/>
    </row>
    <row r="320" ht="15.75" customHeight="1">
      <c r="E320" s="185"/>
    </row>
    <row r="321" ht="15.75" customHeight="1">
      <c r="E321" s="185"/>
    </row>
    <row r="322" ht="15.75" customHeight="1">
      <c r="E322" s="185"/>
    </row>
    <row r="323" ht="15.75" customHeight="1">
      <c r="E323" s="185"/>
    </row>
    <row r="324" ht="15.75" customHeight="1">
      <c r="E324" s="185"/>
    </row>
    <row r="325" ht="15.75" customHeight="1">
      <c r="E325" s="185"/>
    </row>
    <row r="326" ht="15.75" customHeight="1">
      <c r="E326" s="185"/>
    </row>
    <row r="327" ht="15.75" customHeight="1">
      <c r="E327" s="185"/>
    </row>
    <row r="328" ht="15.75" customHeight="1">
      <c r="E328" s="185"/>
    </row>
    <row r="329" ht="15.75" customHeight="1">
      <c r="E329" s="185"/>
    </row>
    <row r="330" ht="15.75" customHeight="1">
      <c r="E330" s="185"/>
    </row>
    <row r="331" ht="15.75" customHeight="1">
      <c r="E331" s="185"/>
    </row>
    <row r="332" ht="15.75" customHeight="1">
      <c r="E332" s="185"/>
    </row>
    <row r="333" ht="15.75" customHeight="1">
      <c r="E333" s="185"/>
    </row>
    <row r="334" ht="15.75" customHeight="1">
      <c r="E334" s="185"/>
    </row>
    <row r="335" ht="15.75" customHeight="1">
      <c r="E335" s="185"/>
    </row>
    <row r="336" ht="15.75" customHeight="1">
      <c r="E336" s="185"/>
    </row>
    <row r="337" ht="15.75" customHeight="1">
      <c r="E337" s="185"/>
    </row>
    <row r="338" ht="15.75" customHeight="1">
      <c r="E338" s="185"/>
    </row>
    <row r="339" ht="15.75" customHeight="1">
      <c r="E339" s="185"/>
    </row>
    <row r="340" ht="15.75" customHeight="1">
      <c r="E340" s="185"/>
    </row>
    <row r="341" ht="15.75" customHeight="1">
      <c r="E341" s="185"/>
    </row>
    <row r="342" ht="15.75" customHeight="1">
      <c r="E342" s="185"/>
    </row>
    <row r="343" ht="15.75" customHeight="1">
      <c r="E343" s="185"/>
    </row>
    <row r="344" ht="15.75" customHeight="1">
      <c r="E344" s="185"/>
    </row>
    <row r="345" ht="15.75" customHeight="1">
      <c r="E345" s="185"/>
    </row>
    <row r="346" ht="15.75" customHeight="1">
      <c r="E346" s="185"/>
    </row>
    <row r="347" ht="15.75" customHeight="1">
      <c r="E347" s="185"/>
    </row>
    <row r="348" ht="15.75" customHeight="1">
      <c r="E348" s="185"/>
    </row>
    <row r="349" ht="15.75" customHeight="1">
      <c r="E349" s="185"/>
    </row>
    <row r="350" ht="15.75" customHeight="1">
      <c r="E350" s="185"/>
    </row>
    <row r="351" ht="15.75" customHeight="1">
      <c r="E351" s="185"/>
    </row>
    <row r="352" ht="15.75" customHeight="1">
      <c r="E352" s="185"/>
    </row>
    <row r="353" ht="15.75" customHeight="1">
      <c r="E353" s="185"/>
    </row>
    <row r="354" ht="15.75" customHeight="1">
      <c r="E354" s="185"/>
    </row>
    <row r="355" ht="15.75" customHeight="1">
      <c r="E355" s="185"/>
    </row>
    <row r="356" ht="15.75" customHeight="1">
      <c r="E356" s="185"/>
    </row>
    <row r="357" ht="15.75" customHeight="1">
      <c r="E357" s="185"/>
    </row>
    <row r="358" ht="15.75" customHeight="1">
      <c r="E358" s="185"/>
    </row>
    <row r="359" ht="15.75" customHeight="1">
      <c r="E359" s="185"/>
    </row>
    <row r="360" ht="15.75" customHeight="1">
      <c r="E360" s="185"/>
    </row>
    <row r="361" ht="15.75" customHeight="1">
      <c r="E361" s="185"/>
    </row>
    <row r="362" ht="15.75" customHeight="1">
      <c r="E362" s="185"/>
    </row>
    <row r="363" ht="15.75" customHeight="1">
      <c r="E363" s="185"/>
    </row>
    <row r="364" ht="15.75" customHeight="1">
      <c r="E364" s="185"/>
    </row>
    <row r="365" ht="15.75" customHeight="1">
      <c r="E365" s="185"/>
    </row>
    <row r="366" ht="15.75" customHeight="1">
      <c r="E366" s="185"/>
    </row>
    <row r="367" ht="15.75" customHeight="1">
      <c r="E367" s="185"/>
    </row>
    <row r="368" ht="15.75" customHeight="1">
      <c r="E368" s="185"/>
    </row>
    <row r="369" ht="15.75" customHeight="1">
      <c r="E369" s="185"/>
    </row>
    <row r="370" ht="15.75" customHeight="1">
      <c r="E370" s="185"/>
    </row>
    <row r="371" ht="15.75" customHeight="1">
      <c r="E371" s="185"/>
    </row>
    <row r="372" ht="15.75" customHeight="1">
      <c r="E372" s="185"/>
    </row>
    <row r="373" ht="15.75" customHeight="1">
      <c r="E373" s="185"/>
    </row>
    <row r="374" ht="15.75" customHeight="1">
      <c r="E374" s="185"/>
    </row>
    <row r="375" ht="15.75" customHeight="1">
      <c r="E375" s="185"/>
    </row>
    <row r="376" ht="15.75" customHeight="1">
      <c r="E376" s="185"/>
    </row>
    <row r="377" ht="15.75" customHeight="1">
      <c r="E377" s="185"/>
    </row>
    <row r="378" ht="15.75" customHeight="1">
      <c r="E378" s="185"/>
    </row>
    <row r="379" ht="15.75" customHeight="1">
      <c r="E379" s="185"/>
    </row>
    <row r="380" ht="15.75" customHeight="1">
      <c r="E380" s="185"/>
    </row>
    <row r="381" ht="15.75" customHeight="1">
      <c r="E381" s="185"/>
    </row>
    <row r="382" ht="15.75" customHeight="1">
      <c r="E382" s="185"/>
    </row>
    <row r="383" ht="15.75" customHeight="1">
      <c r="E383" s="185"/>
    </row>
    <row r="384" ht="15.75" customHeight="1">
      <c r="E384" s="185"/>
    </row>
    <row r="385" ht="15.75" customHeight="1">
      <c r="E385" s="185"/>
    </row>
    <row r="386" ht="15.75" customHeight="1">
      <c r="E386" s="185"/>
    </row>
    <row r="387" ht="15.75" customHeight="1">
      <c r="E387" s="185"/>
    </row>
    <row r="388" ht="15.75" customHeight="1">
      <c r="E388" s="185"/>
    </row>
    <row r="389" ht="15.75" customHeight="1">
      <c r="E389" s="185"/>
    </row>
    <row r="390" ht="15.75" customHeight="1">
      <c r="E390" s="185"/>
    </row>
    <row r="391" ht="15.75" customHeight="1">
      <c r="E391" s="185"/>
    </row>
    <row r="392" ht="15.75" customHeight="1">
      <c r="E392" s="185"/>
    </row>
    <row r="393" ht="15.75" customHeight="1">
      <c r="E393" s="185"/>
    </row>
    <row r="394" ht="15.75" customHeight="1">
      <c r="E394" s="185"/>
    </row>
    <row r="395" ht="15.75" customHeight="1">
      <c r="E395" s="185"/>
    </row>
    <row r="396" ht="15.75" customHeight="1">
      <c r="E396" s="185"/>
    </row>
    <row r="397" ht="15.75" customHeight="1">
      <c r="E397" s="185"/>
    </row>
    <row r="398" ht="15.75" customHeight="1">
      <c r="E398" s="185"/>
    </row>
    <row r="399" ht="15.75" customHeight="1">
      <c r="E399" s="185"/>
    </row>
    <row r="400" ht="15.75" customHeight="1">
      <c r="E400" s="185"/>
    </row>
    <row r="401" ht="15.75" customHeight="1">
      <c r="E401" s="185"/>
    </row>
    <row r="402" ht="15.75" customHeight="1">
      <c r="E402" s="185"/>
    </row>
    <row r="403" ht="15.75" customHeight="1">
      <c r="E403" s="185"/>
    </row>
    <row r="404" ht="15.75" customHeight="1">
      <c r="E404" s="185"/>
    </row>
    <row r="405" ht="15.75" customHeight="1">
      <c r="E405" s="185"/>
    </row>
    <row r="406" ht="15.75" customHeight="1">
      <c r="E406" s="185"/>
    </row>
    <row r="407" ht="15.75" customHeight="1">
      <c r="E407" s="185"/>
    </row>
    <row r="408" ht="15.75" customHeight="1">
      <c r="E408" s="185"/>
    </row>
    <row r="409" ht="15.75" customHeight="1">
      <c r="E409" s="185"/>
    </row>
    <row r="410" ht="15.75" customHeight="1">
      <c r="E410" s="185"/>
    </row>
    <row r="411" ht="15.75" customHeight="1">
      <c r="E411" s="185"/>
    </row>
    <row r="412" ht="15.75" customHeight="1">
      <c r="E412" s="185"/>
    </row>
    <row r="413" ht="15.75" customHeight="1">
      <c r="E413" s="185"/>
    </row>
    <row r="414" ht="15.75" customHeight="1">
      <c r="E414" s="185"/>
    </row>
    <row r="415" ht="15.75" customHeight="1">
      <c r="E415" s="185"/>
    </row>
    <row r="416" ht="15.75" customHeight="1">
      <c r="E416" s="185"/>
    </row>
    <row r="417" ht="15.75" customHeight="1">
      <c r="E417" s="185"/>
    </row>
    <row r="418" ht="15.75" customHeight="1">
      <c r="E418" s="185"/>
    </row>
    <row r="419" ht="15.75" customHeight="1">
      <c r="E419" s="185"/>
    </row>
    <row r="420" ht="15.75" customHeight="1">
      <c r="E420" s="185"/>
    </row>
    <row r="421" ht="15.75" customHeight="1">
      <c r="E421" s="185"/>
    </row>
    <row r="422" ht="15.75" customHeight="1">
      <c r="E422" s="185"/>
    </row>
    <row r="423" ht="15.75" customHeight="1">
      <c r="E423" s="185"/>
    </row>
    <row r="424" ht="15.75" customHeight="1">
      <c r="E424" s="185"/>
    </row>
    <row r="425" ht="15.75" customHeight="1">
      <c r="E425" s="185"/>
    </row>
    <row r="426" ht="15.75" customHeight="1">
      <c r="E426" s="185"/>
    </row>
    <row r="427" ht="15.75" customHeight="1">
      <c r="E427" s="185"/>
    </row>
    <row r="428" ht="15.75" customHeight="1">
      <c r="E428" s="185"/>
    </row>
    <row r="429" ht="15.75" customHeight="1">
      <c r="E429" s="185"/>
    </row>
    <row r="430" ht="15.75" customHeight="1">
      <c r="E430" s="185"/>
    </row>
    <row r="431" ht="15.75" customHeight="1">
      <c r="E431" s="185"/>
    </row>
    <row r="432" ht="15.75" customHeight="1">
      <c r="E432" s="185"/>
    </row>
    <row r="433" ht="15.75" customHeight="1">
      <c r="E433" s="185"/>
    </row>
    <row r="434" ht="15.75" customHeight="1">
      <c r="E434" s="185"/>
    </row>
    <row r="435" ht="15.75" customHeight="1">
      <c r="E435" s="185"/>
    </row>
    <row r="436" ht="15.75" customHeight="1">
      <c r="E436" s="185"/>
    </row>
    <row r="437" ht="15.75" customHeight="1">
      <c r="E437" s="185"/>
    </row>
    <row r="438" ht="15.75" customHeight="1">
      <c r="E438" s="185"/>
    </row>
    <row r="439" ht="15.75" customHeight="1">
      <c r="E439" s="185"/>
    </row>
    <row r="440" ht="15.75" customHeight="1">
      <c r="E440" s="185"/>
    </row>
    <row r="441" ht="15.75" customHeight="1">
      <c r="E441" s="185"/>
    </row>
    <row r="442" ht="15.75" customHeight="1">
      <c r="E442" s="185"/>
    </row>
    <row r="443" ht="15.75" customHeight="1">
      <c r="E443" s="185"/>
    </row>
    <row r="444" ht="15.75" customHeight="1">
      <c r="E444" s="185"/>
    </row>
    <row r="445" ht="15.75" customHeight="1">
      <c r="E445" s="185"/>
    </row>
    <row r="446" ht="15.75" customHeight="1">
      <c r="E446" s="185"/>
    </row>
    <row r="447" ht="15.75" customHeight="1">
      <c r="E447" s="185"/>
    </row>
    <row r="448" ht="15.75" customHeight="1">
      <c r="E448" s="185"/>
    </row>
    <row r="449" ht="15.75" customHeight="1">
      <c r="E449" s="185"/>
    </row>
    <row r="450" ht="15.75" customHeight="1">
      <c r="E450" s="185"/>
    </row>
    <row r="451" ht="15.75" customHeight="1">
      <c r="E451" s="185"/>
    </row>
    <row r="452" ht="15.75" customHeight="1">
      <c r="E452" s="185"/>
    </row>
    <row r="453" ht="15.75" customHeight="1">
      <c r="E453" s="185"/>
    </row>
    <row r="454" ht="15.75" customHeight="1">
      <c r="E454" s="185"/>
    </row>
    <row r="455" ht="15.75" customHeight="1">
      <c r="E455" s="185"/>
    </row>
    <row r="456" ht="15.75" customHeight="1">
      <c r="E456" s="185"/>
    </row>
    <row r="457" ht="15.75" customHeight="1">
      <c r="E457" s="185"/>
    </row>
    <row r="458" ht="15.75" customHeight="1">
      <c r="E458" s="185"/>
    </row>
    <row r="459" ht="15.75" customHeight="1">
      <c r="E459" s="185"/>
    </row>
    <row r="460" ht="15.75" customHeight="1">
      <c r="E460" s="185"/>
    </row>
    <row r="461" ht="15.75" customHeight="1">
      <c r="E461" s="185"/>
    </row>
    <row r="462" ht="15.75" customHeight="1">
      <c r="E462" s="185"/>
    </row>
    <row r="463" ht="15.75" customHeight="1">
      <c r="E463" s="185"/>
    </row>
    <row r="464" ht="15.75" customHeight="1">
      <c r="E464" s="185"/>
    </row>
    <row r="465" ht="15.75" customHeight="1">
      <c r="E465" s="185"/>
    </row>
    <row r="466" ht="15.75" customHeight="1">
      <c r="E466" s="185"/>
    </row>
    <row r="467" ht="15.75" customHeight="1">
      <c r="E467" s="185"/>
    </row>
    <row r="468" ht="15.75" customHeight="1">
      <c r="E468" s="185"/>
    </row>
    <row r="469" ht="15.75" customHeight="1">
      <c r="E469" s="185"/>
    </row>
    <row r="470" ht="15.75" customHeight="1">
      <c r="E470" s="185"/>
    </row>
    <row r="471" ht="15.75" customHeight="1">
      <c r="E471" s="185"/>
    </row>
    <row r="472" ht="15.75" customHeight="1">
      <c r="E472" s="185"/>
    </row>
    <row r="473" ht="15.75" customHeight="1">
      <c r="E473" s="185"/>
    </row>
    <row r="474" ht="15.75" customHeight="1">
      <c r="E474" s="185"/>
    </row>
    <row r="475" ht="15.75" customHeight="1">
      <c r="E475" s="185"/>
    </row>
    <row r="476" ht="15.75" customHeight="1">
      <c r="E476" s="185"/>
    </row>
    <row r="477" ht="15.75" customHeight="1">
      <c r="E477" s="185"/>
    </row>
    <row r="478" ht="15.75" customHeight="1">
      <c r="E478" s="185"/>
    </row>
    <row r="479" ht="15.75" customHeight="1">
      <c r="E479" s="185"/>
    </row>
    <row r="480" ht="15.75" customHeight="1">
      <c r="E480" s="185"/>
    </row>
    <row r="481" ht="15.75" customHeight="1">
      <c r="E481" s="185"/>
    </row>
    <row r="482" ht="15.75" customHeight="1">
      <c r="E482" s="185"/>
    </row>
    <row r="483" ht="15.75" customHeight="1">
      <c r="E483" s="185"/>
    </row>
    <row r="484" ht="15.75" customHeight="1">
      <c r="E484" s="185"/>
    </row>
    <row r="485" ht="15.75" customHeight="1">
      <c r="E485" s="185"/>
    </row>
    <row r="486" ht="15.75" customHeight="1">
      <c r="E486" s="185"/>
    </row>
    <row r="487" ht="15.75" customHeight="1">
      <c r="E487" s="185"/>
    </row>
    <row r="488" ht="15.75" customHeight="1">
      <c r="E488" s="185"/>
    </row>
    <row r="489" ht="15.75" customHeight="1">
      <c r="E489" s="185"/>
    </row>
    <row r="490" ht="15.75" customHeight="1">
      <c r="E490" s="185"/>
    </row>
    <row r="491" ht="15.75" customHeight="1">
      <c r="E491" s="185"/>
    </row>
    <row r="492" ht="15.75" customHeight="1">
      <c r="E492" s="185"/>
    </row>
    <row r="493" ht="15.75" customHeight="1">
      <c r="E493" s="185"/>
    </row>
    <row r="494" ht="15.75" customHeight="1">
      <c r="E494" s="185"/>
    </row>
    <row r="495" ht="15.75" customHeight="1">
      <c r="E495" s="185"/>
    </row>
    <row r="496" ht="15.75" customHeight="1">
      <c r="E496" s="185"/>
    </row>
    <row r="497" ht="15.75" customHeight="1">
      <c r="E497" s="185"/>
    </row>
    <row r="498" ht="15.75" customHeight="1">
      <c r="E498" s="185"/>
    </row>
    <row r="499" ht="15.75" customHeight="1">
      <c r="E499" s="185"/>
    </row>
    <row r="500" ht="15.75" customHeight="1">
      <c r="E500" s="185"/>
    </row>
    <row r="501" ht="15.75" customHeight="1">
      <c r="E501" s="185"/>
    </row>
    <row r="502" ht="15.75" customHeight="1">
      <c r="E502" s="185"/>
    </row>
    <row r="503" ht="15.75" customHeight="1">
      <c r="E503" s="185"/>
    </row>
    <row r="504" ht="15.75" customHeight="1">
      <c r="E504" s="185"/>
    </row>
    <row r="505" ht="15.75" customHeight="1">
      <c r="E505" s="185"/>
    </row>
    <row r="506" ht="15.75" customHeight="1">
      <c r="E506" s="185"/>
    </row>
    <row r="507" ht="15.75" customHeight="1">
      <c r="E507" s="185"/>
    </row>
    <row r="508" ht="15.75" customHeight="1">
      <c r="E508" s="185"/>
    </row>
    <row r="509" ht="15.75" customHeight="1">
      <c r="E509" s="185"/>
    </row>
    <row r="510" ht="15.75" customHeight="1">
      <c r="E510" s="185"/>
    </row>
    <row r="511" ht="15.75" customHeight="1">
      <c r="E511" s="185"/>
    </row>
    <row r="512" ht="15.75" customHeight="1">
      <c r="E512" s="185"/>
    </row>
    <row r="513" ht="15.75" customHeight="1">
      <c r="E513" s="185"/>
    </row>
    <row r="514" ht="15.75" customHeight="1">
      <c r="E514" s="185"/>
    </row>
    <row r="515" ht="15.75" customHeight="1">
      <c r="E515" s="185"/>
    </row>
    <row r="516" ht="15.75" customHeight="1">
      <c r="E516" s="185"/>
    </row>
    <row r="517" ht="15.75" customHeight="1">
      <c r="E517" s="185"/>
    </row>
    <row r="518" ht="15.75" customHeight="1">
      <c r="E518" s="185"/>
    </row>
    <row r="519" ht="15.75" customHeight="1">
      <c r="E519" s="185"/>
    </row>
    <row r="520" ht="15.75" customHeight="1">
      <c r="E520" s="185"/>
    </row>
    <row r="521" ht="15.75" customHeight="1">
      <c r="E521" s="185"/>
    </row>
    <row r="522" ht="15.75" customHeight="1">
      <c r="E522" s="185"/>
    </row>
    <row r="523" ht="15.75" customHeight="1">
      <c r="E523" s="185"/>
    </row>
    <row r="524" ht="15.75" customHeight="1">
      <c r="E524" s="185"/>
    </row>
    <row r="525" ht="15.75" customHeight="1">
      <c r="E525" s="185"/>
    </row>
    <row r="526" ht="15.75" customHeight="1">
      <c r="E526" s="185"/>
    </row>
    <row r="527" ht="15.75" customHeight="1">
      <c r="E527" s="185"/>
    </row>
    <row r="528" ht="15.75" customHeight="1">
      <c r="E528" s="185"/>
    </row>
    <row r="529" ht="15.75" customHeight="1">
      <c r="E529" s="185"/>
    </row>
    <row r="530" ht="15.75" customHeight="1">
      <c r="E530" s="185"/>
    </row>
    <row r="531" ht="15.75" customHeight="1">
      <c r="E531" s="185"/>
    </row>
    <row r="532" ht="15.75" customHeight="1">
      <c r="E532" s="185"/>
    </row>
    <row r="533" ht="15.75" customHeight="1">
      <c r="E533" s="185"/>
    </row>
    <row r="534" ht="15.75" customHeight="1">
      <c r="E534" s="185"/>
    </row>
    <row r="535" ht="15.75" customHeight="1">
      <c r="E535" s="185"/>
    </row>
    <row r="536" ht="15.75" customHeight="1">
      <c r="E536" s="185"/>
    </row>
    <row r="537" ht="15.75" customHeight="1">
      <c r="E537" s="185"/>
    </row>
    <row r="538" ht="15.75" customHeight="1">
      <c r="E538" s="185"/>
    </row>
    <row r="539" ht="15.75" customHeight="1">
      <c r="E539" s="185"/>
    </row>
    <row r="540" ht="15.75" customHeight="1">
      <c r="E540" s="185"/>
    </row>
    <row r="541" ht="15.75" customHeight="1">
      <c r="E541" s="185"/>
    </row>
    <row r="542" ht="15.75" customHeight="1">
      <c r="E542" s="185"/>
    </row>
    <row r="543" ht="15.75" customHeight="1">
      <c r="E543" s="185"/>
    </row>
    <row r="544" ht="15.75" customHeight="1">
      <c r="E544" s="185"/>
    </row>
    <row r="545" ht="15.75" customHeight="1">
      <c r="E545" s="185"/>
    </row>
    <row r="546" ht="15.75" customHeight="1">
      <c r="E546" s="185"/>
    </row>
    <row r="547" ht="15.75" customHeight="1">
      <c r="E547" s="185"/>
    </row>
    <row r="548" ht="15.75" customHeight="1">
      <c r="E548" s="185"/>
    </row>
    <row r="549" ht="15.75" customHeight="1">
      <c r="E549" s="185"/>
    </row>
    <row r="550" ht="15.75" customHeight="1">
      <c r="E550" s="185"/>
    </row>
    <row r="551" ht="15.75" customHeight="1">
      <c r="E551" s="185"/>
    </row>
    <row r="552" ht="15.75" customHeight="1">
      <c r="E552" s="185"/>
    </row>
    <row r="553" ht="15.75" customHeight="1">
      <c r="E553" s="185"/>
    </row>
    <row r="554" ht="15.75" customHeight="1">
      <c r="E554" s="185"/>
    </row>
    <row r="555" ht="15.75" customHeight="1">
      <c r="E555" s="185"/>
    </row>
    <row r="556" ht="15.75" customHeight="1">
      <c r="E556" s="185"/>
    </row>
    <row r="557" ht="15.75" customHeight="1">
      <c r="E557" s="185"/>
    </row>
    <row r="558" ht="15.75" customHeight="1">
      <c r="E558" s="185"/>
    </row>
    <row r="559" ht="15.75" customHeight="1">
      <c r="E559" s="185"/>
    </row>
    <row r="560" ht="15.75" customHeight="1">
      <c r="E560" s="185"/>
    </row>
    <row r="561" ht="15.75" customHeight="1">
      <c r="E561" s="185"/>
    </row>
    <row r="562" ht="15.75" customHeight="1">
      <c r="E562" s="185"/>
    </row>
    <row r="563" ht="15.75" customHeight="1">
      <c r="E563" s="185"/>
    </row>
    <row r="564" ht="15.75" customHeight="1">
      <c r="E564" s="185"/>
    </row>
    <row r="565" ht="15.75" customHeight="1">
      <c r="E565" s="185"/>
    </row>
    <row r="566" ht="15.75" customHeight="1">
      <c r="E566" s="185"/>
    </row>
    <row r="567" ht="15.75" customHeight="1">
      <c r="E567" s="185"/>
    </row>
    <row r="568" ht="15.75" customHeight="1">
      <c r="E568" s="185"/>
    </row>
    <row r="569" ht="15.75" customHeight="1">
      <c r="E569" s="185"/>
    </row>
    <row r="570" ht="15.75" customHeight="1">
      <c r="E570" s="185"/>
    </row>
    <row r="571" ht="15.75" customHeight="1">
      <c r="E571" s="185"/>
    </row>
    <row r="572" ht="15.75" customHeight="1">
      <c r="E572" s="185"/>
    </row>
    <row r="573" ht="15.75" customHeight="1">
      <c r="E573" s="185"/>
    </row>
    <row r="574" ht="15.75" customHeight="1">
      <c r="E574" s="185"/>
    </row>
    <row r="575" ht="15.75" customHeight="1">
      <c r="E575" s="185"/>
    </row>
    <row r="576" ht="15.75" customHeight="1">
      <c r="E576" s="185"/>
    </row>
    <row r="577" ht="15.75" customHeight="1">
      <c r="E577" s="185"/>
    </row>
    <row r="578" ht="15.75" customHeight="1">
      <c r="E578" s="185"/>
    </row>
    <row r="579" ht="15.75" customHeight="1">
      <c r="E579" s="185"/>
    </row>
    <row r="580" ht="15.75" customHeight="1">
      <c r="E580" s="185"/>
    </row>
    <row r="581" ht="15.75" customHeight="1">
      <c r="E581" s="185"/>
    </row>
    <row r="582" ht="15.75" customHeight="1">
      <c r="E582" s="185"/>
    </row>
    <row r="583" ht="15.75" customHeight="1">
      <c r="E583" s="185"/>
    </row>
    <row r="584" ht="15.75" customHeight="1">
      <c r="E584" s="185"/>
    </row>
    <row r="585" ht="15.75" customHeight="1">
      <c r="E585" s="185"/>
    </row>
    <row r="586" ht="15.75" customHeight="1">
      <c r="E586" s="185"/>
    </row>
    <row r="587" ht="15.75" customHeight="1">
      <c r="E587" s="185"/>
    </row>
    <row r="588" ht="15.75" customHeight="1">
      <c r="E588" s="185"/>
    </row>
    <row r="589" ht="15.75" customHeight="1">
      <c r="E589" s="185"/>
    </row>
    <row r="590" ht="15.75" customHeight="1">
      <c r="E590" s="185"/>
    </row>
    <row r="591" ht="15.75" customHeight="1">
      <c r="E591" s="185"/>
    </row>
    <row r="592" ht="15.75" customHeight="1">
      <c r="E592" s="185"/>
    </row>
    <row r="593" ht="15.75" customHeight="1">
      <c r="E593" s="185"/>
    </row>
    <row r="594" ht="15.75" customHeight="1">
      <c r="E594" s="185"/>
    </row>
    <row r="595" ht="15.75" customHeight="1">
      <c r="E595" s="185"/>
    </row>
    <row r="596" ht="15.75" customHeight="1">
      <c r="E596" s="185"/>
    </row>
    <row r="597" ht="15.75" customHeight="1">
      <c r="E597" s="185"/>
    </row>
    <row r="598" ht="15.75" customHeight="1">
      <c r="E598" s="185"/>
    </row>
    <row r="599" ht="15.75" customHeight="1">
      <c r="E599" s="185"/>
    </row>
    <row r="600" ht="15.75" customHeight="1">
      <c r="E600" s="185"/>
    </row>
    <row r="601" ht="15.75" customHeight="1">
      <c r="E601" s="185"/>
    </row>
    <row r="602" ht="15.75" customHeight="1">
      <c r="E602" s="185"/>
    </row>
    <row r="603" ht="15.75" customHeight="1">
      <c r="E603" s="185"/>
    </row>
    <row r="604" ht="15.75" customHeight="1">
      <c r="E604" s="185"/>
    </row>
    <row r="605" ht="15.75" customHeight="1">
      <c r="E605" s="185"/>
    </row>
    <row r="606" ht="15.75" customHeight="1">
      <c r="E606" s="185"/>
    </row>
    <row r="607" ht="15.75" customHeight="1">
      <c r="E607" s="185"/>
    </row>
    <row r="608" ht="15.75" customHeight="1">
      <c r="E608" s="185"/>
    </row>
    <row r="609" ht="15.75" customHeight="1">
      <c r="E609" s="185"/>
    </row>
    <row r="610" ht="15.75" customHeight="1">
      <c r="E610" s="185"/>
    </row>
    <row r="611" ht="15.75" customHeight="1">
      <c r="E611" s="185"/>
    </row>
    <row r="612" ht="15.75" customHeight="1">
      <c r="E612" s="185"/>
    </row>
    <row r="613" ht="15.75" customHeight="1">
      <c r="E613" s="185"/>
    </row>
    <row r="614" ht="15.75" customHeight="1">
      <c r="E614" s="185"/>
    </row>
    <row r="615" ht="15.75" customHeight="1">
      <c r="E615" s="185"/>
    </row>
    <row r="616" ht="15.75" customHeight="1">
      <c r="E616" s="185"/>
    </row>
    <row r="617" ht="15.75" customHeight="1">
      <c r="E617" s="185"/>
    </row>
    <row r="618" ht="15.75" customHeight="1">
      <c r="E618" s="185"/>
    </row>
    <row r="619" ht="15.75" customHeight="1">
      <c r="E619" s="185"/>
    </row>
    <row r="620" ht="15.75" customHeight="1">
      <c r="E620" s="185"/>
    </row>
    <row r="621" ht="15.75" customHeight="1">
      <c r="E621" s="185"/>
    </row>
    <row r="622" ht="15.75" customHeight="1">
      <c r="E622" s="185"/>
    </row>
    <row r="623" ht="15.75" customHeight="1">
      <c r="E623" s="185"/>
    </row>
    <row r="624" ht="15.75" customHeight="1">
      <c r="E624" s="185"/>
    </row>
    <row r="625" ht="15.75" customHeight="1">
      <c r="E625" s="185"/>
    </row>
    <row r="626" ht="15.75" customHeight="1">
      <c r="E626" s="185"/>
    </row>
    <row r="627" ht="15.75" customHeight="1">
      <c r="E627" s="185"/>
    </row>
    <row r="628" ht="15.75" customHeight="1">
      <c r="E628" s="185"/>
    </row>
    <row r="629" ht="15.75" customHeight="1">
      <c r="E629" s="185"/>
    </row>
    <row r="630" ht="15.75" customHeight="1">
      <c r="E630" s="185"/>
    </row>
    <row r="631" ht="15.75" customHeight="1">
      <c r="E631" s="185"/>
    </row>
    <row r="632" ht="15.75" customHeight="1">
      <c r="E632" s="185"/>
    </row>
    <row r="633" ht="15.75" customHeight="1">
      <c r="E633" s="185"/>
    </row>
    <row r="634" ht="15.75" customHeight="1">
      <c r="E634" s="185"/>
    </row>
    <row r="635" ht="15.75" customHeight="1">
      <c r="E635" s="185"/>
    </row>
    <row r="636" ht="15.75" customHeight="1">
      <c r="E636" s="185"/>
    </row>
    <row r="637" ht="15.75" customHeight="1">
      <c r="E637" s="185"/>
    </row>
    <row r="638" ht="15.75" customHeight="1">
      <c r="E638" s="185"/>
    </row>
    <row r="639" ht="15.75" customHeight="1">
      <c r="E639" s="185"/>
    </row>
    <row r="640" ht="15.75" customHeight="1">
      <c r="E640" s="185"/>
    </row>
    <row r="641" ht="15.75" customHeight="1">
      <c r="E641" s="185"/>
    </row>
    <row r="642" ht="15.75" customHeight="1">
      <c r="E642" s="185"/>
    </row>
    <row r="643" ht="15.75" customHeight="1">
      <c r="E643" s="185"/>
    </row>
    <row r="644" ht="15.75" customHeight="1">
      <c r="E644" s="185"/>
    </row>
    <row r="645" ht="15.75" customHeight="1">
      <c r="E645" s="185"/>
    </row>
    <row r="646" ht="15.75" customHeight="1">
      <c r="E646" s="185"/>
    </row>
    <row r="647" ht="15.75" customHeight="1">
      <c r="E647" s="185"/>
    </row>
    <row r="648" ht="15.75" customHeight="1">
      <c r="E648" s="185"/>
    </row>
    <row r="649" ht="15.75" customHeight="1">
      <c r="E649" s="185"/>
    </row>
    <row r="650" ht="15.75" customHeight="1">
      <c r="E650" s="185"/>
    </row>
    <row r="651" ht="15.75" customHeight="1">
      <c r="E651" s="185"/>
    </row>
    <row r="652" ht="15.75" customHeight="1">
      <c r="E652" s="185"/>
    </row>
    <row r="653" ht="15.75" customHeight="1">
      <c r="E653" s="185"/>
    </row>
    <row r="654" ht="15.75" customHeight="1">
      <c r="E654" s="185"/>
    </row>
    <row r="655" ht="15.75" customHeight="1">
      <c r="E655" s="185"/>
    </row>
    <row r="656" ht="15.75" customHeight="1">
      <c r="E656" s="185"/>
    </row>
    <row r="657" ht="15.75" customHeight="1">
      <c r="E657" s="185"/>
    </row>
    <row r="658" ht="15.75" customHeight="1">
      <c r="E658" s="185"/>
    </row>
    <row r="659" ht="15.75" customHeight="1">
      <c r="E659" s="185"/>
    </row>
    <row r="660" ht="15.75" customHeight="1">
      <c r="E660" s="185"/>
    </row>
    <row r="661" ht="15.75" customHeight="1">
      <c r="E661" s="185"/>
    </row>
    <row r="662" ht="15.75" customHeight="1">
      <c r="E662" s="185"/>
    </row>
    <row r="663" ht="15.75" customHeight="1">
      <c r="E663" s="185"/>
    </row>
    <row r="664" ht="15.75" customHeight="1">
      <c r="E664" s="185"/>
    </row>
    <row r="665" ht="15.75" customHeight="1">
      <c r="E665" s="185"/>
    </row>
    <row r="666" ht="15.75" customHeight="1">
      <c r="E666" s="185"/>
    </row>
    <row r="667" ht="15.75" customHeight="1">
      <c r="E667" s="185"/>
    </row>
    <row r="668" ht="15.75" customHeight="1">
      <c r="E668" s="185"/>
    </row>
    <row r="669" ht="15.75" customHeight="1">
      <c r="E669" s="185"/>
    </row>
    <row r="670" ht="15.75" customHeight="1">
      <c r="E670" s="185"/>
    </row>
    <row r="671" ht="15.75" customHeight="1">
      <c r="E671" s="185"/>
    </row>
    <row r="672" ht="15.75" customHeight="1">
      <c r="E672" s="185"/>
    </row>
    <row r="673" ht="15.75" customHeight="1">
      <c r="E673" s="185"/>
    </row>
    <row r="674" ht="15.75" customHeight="1">
      <c r="E674" s="185"/>
    </row>
    <row r="675" ht="15.75" customHeight="1">
      <c r="E675" s="185"/>
    </row>
    <row r="676" ht="15.75" customHeight="1">
      <c r="E676" s="185"/>
    </row>
    <row r="677" ht="15.75" customHeight="1">
      <c r="E677" s="185"/>
    </row>
    <row r="678" ht="15.75" customHeight="1">
      <c r="E678" s="185"/>
    </row>
    <row r="679" ht="15.75" customHeight="1">
      <c r="E679" s="185"/>
    </row>
    <row r="680" ht="15.75" customHeight="1">
      <c r="E680" s="185"/>
    </row>
    <row r="681" ht="15.75" customHeight="1">
      <c r="E681" s="185"/>
    </row>
    <row r="682" ht="15.75" customHeight="1">
      <c r="E682" s="185"/>
    </row>
    <row r="683" ht="15.75" customHeight="1">
      <c r="E683" s="185"/>
    </row>
    <row r="684" ht="15.75" customHeight="1">
      <c r="E684" s="185"/>
    </row>
    <row r="685" ht="15.75" customHeight="1">
      <c r="E685" s="185"/>
    </row>
    <row r="686" ht="15.75" customHeight="1">
      <c r="E686" s="185"/>
    </row>
    <row r="687" ht="15.75" customHeight="1">
      <c r="E687" s="185"/>
    </row>
    <row r="688" ht="15.75" customHeight="1">
      <c r="E688" s="185"/>
    </row>
    <row r="689" ht="15.75" customHeight="1">
      <c r="E689" s="185"/>
    </row>
    <row r="690" ht="15.75" customHeight="1">
      <c r="E690" s="185"/>
    </row>
    <row r="691" ht="15.75" customHeight="1">
      <c r="E691" s="185"/>
    </row>
    <row r="692" ht="15.75" customHeight="1">
      <c r="E692" s="185"/>
    </row>
    <row r="693" ht="15.75" customHeight="1">
      <c r="E693" s="185"/>
    </row>
    <row r="694" ht="15.75" customHeight="1">
      <c r="E694" s="185"/>
    </row>
    <row r="695" ht="15.75" customHeight="1">
      <c r="E695" s="185"/>
    </row>
    <row r="696" ht="15.75" customHeight="1">
      <c r="E696" s="185"/>
    </row>
    <row r="697" ht="15.75" customHeight="1">
      <c r="E697" s="185"/>
    </row>
    <row r="698" ht="15.75" customHeight="1">
      <c r="E698" s="185"/>
    </row>
    <row r="699" ht="15.75" customHeight="1">
      <c r="E699" s="185"/>
    </row>
    <row r="700" ht="15.75" customHeight="1">
      <c r="E700" s="185"/>
    </row>
    <row r="701" ht="15.75" customHeight="1">
      <c r="E701" s="185"/>
    </row>
    <row r="702" ht="15.75" customHeight="1">
      <c r="E702" s="185"/>
    </row>
    <row r="703" ht="15.75" customHeight="1">
      <c r="E703" s="185"/>
    </row>
    <row r="704" ht="15.75" customHeight="1">
      <c r="E704" s="185"/>
    </row>
    <row r="705" ht="15.75" customHeight="1">
      <c r="E705" s="185"/>
    </row>
    <row r="706" ht="15.75" customHeight="1">
      <c r="E706" s="185"/>
    </row>
    <row r="707" ht="15.75" customHeight="1">
      <c r="E707" s="185"/>
    </row>
    <row r="708" ht="15.75" customHeight="1">
      <c r="E708" s="185"/>
    </row>
    <row r="709" ht="15.75" customHeight="1">
      <c r="E709" s="185"/>
    </row>
    <row r="710" ht="15.75" customHeight="1">
      <c r="E710" s="185"/>
    </row>
    <row r="711" ht="15.75" customHeight="1">
      <c r="E711" s="185"/>
    </row>
    <row r="712" ht="15.75" customHeight="1">
      <c r="E712" s="185"/>
    </row>
    <row r="713" ht="15.75" customHeight="1">
      <c r="E713" s="185"/>
    </row>
    <row r="714" ht="15.75" customHeight="1">
      <c r="E714" s="185"/>
    </row>
    <row r="715" ht="15.75" customHeight="1">
      <c r="E715" s="185"/>
    </row>
    <row r="716" ht="15.75" customHeight="1">
      <c r="E716" s="185"/>
    </row>
    <row r="717" ht="15.75" customHeight="1">
      <c r="E717" s="185"/>
    </row>
    <row r="718" ht="15.75" customHeight="1">
      <c r="E718" s="185"/>
    </row>
    <row r="719" ht="15.75" customHeight="1">
      <c r="E719" s="185"/>
    </row>
    <row r="720" ht="15.75" customHeight="1">
      <c r="E720" s="185"/>
    </row>
    <row r="721" ht="15.75" customHeight="1">
      <c r="E721" s="185"/>
    </row>
    <row r="722" ht="15.75" customHeight="1">
      <c r="E722" s="185"/>
    </row>
    <row r="723" ht="15.75" customHeight="1">
      <c r="E723" s="185"/>
    </row>
    <row r="724" ht="15.75" customHeight="1">
      <c r="E724" s="185"/>
    </row>
    <row r="725" ht="15.75" customHeight="1">
      <c r="E725" s="185"/>
    </row>
    <row r="726" ht="15.75" customHeight="1">
      <c r="E726" s="185"/>
    </row>
    <row r="727" ht="15.75" customHeight="1">
      <c r="E727" s="185"/>
    </row>
    <row r="728" ht="15.75" customHeight="1">
      <c r="E728" s="185"/>
    </row>
    <row r="729" ht="15.75" customHeight="1">
      <c r="E729" s="185"/>
    </row>
    <row r="730" ht="15.75" customHeight="1">
      <c r="E730" s="185"/>
    </row>
    <row r="731" ht="15.75" customHeight="1">
      <c r="E731" s="185"/>
    </row>
    <row r="732" ht="15.75" customHeight="1">
      <c r="E732" s="185"/>
    </row>
    <row r="733" ht="15.75" customHeight="1">
      <c r="E733" s="185"/>
    </row>
    <row r="734" ht="15.75" customHeight="1">
      <c r="E734" s="185"/>
    </row>
    <row r="735" ht="15.75" customHeight="1">
      <c r="E735" s="185"/>
    </row>
    <row r="736" ht="15.75" customHeight="1">
      <c r="E736" s="185"/>
    </row>
    <row r="737" ht="15.75" customHeight="1">
      <c r="E737" s="185"/>
    </row>
    <row r="738" ht="15.75" customHeight="1">
      <c r="E738" s="185"/>
    </row>
    <row r="739" ht="15.75" customHeight="1">
      <c r="E739" s="185"/>
    </row>
    <row r="740" ht="15.75" customHeight="1">
      <c r="E740" s="185"/>
    </row>
    <row r="741" ht="15.75" customHeight="1">
      <c r="E741" s="185"/>
    </row>
    <row r="742" ht="15.75" customHeight="1">
      <c r="E742" s="185"/>
    </row>
    <row r="743" ht="15.75" customHeight="1">
      <c r="E743" s="185"/>
    </row>
    <row r="744" ht="15.75" customHeight="1">
      <c r="E744" s="185"/>
    </row>
    <row r="745" ht="15.75" customHeight="1">
      <c r="E745" s="185"/>
    </row>
    <row r="746" ht="15.75" customHeight="1">
      <c r="E746" s="185"/>
    </row>
    <row r="747" ht="15.75" customHeight="1">
      <c r="E747" s="185"/>
    </row>
    <row r="748" ht="15.75" customHeight="1">
      <c r="E748" s="185"/>
    </row>
    <row r="749" ht="15.75" customHeight="1">
      <c r="E749" s="185"/>
    </row>
    <row r="750" ht="15.75" customHeight="1">
      <c r="E750" s="185"/>
    </row>
    <row r="751" ht="15.75" customHeight="1">
      <c r="E751" s="185"/>
    </row>
    <row r="752" ht="15.75" customHeight="1">
      <c r="E752" s="185"/>
    </row>
    <row r="753" ht="15.75" customHeight="1">
      <c r="E753" s="185"/>
    </row>
    <row r="754" ht="15.75" customHeight="1">
      <c r="E754" s="185"/>
    </row>
    <row r="755" ht="15.75" customHeight="1">
      <c r="E755" s="185"/>
    </row>
    <row r="756" ht="15.75" customHeight="1">
      <c r="E756" s="185"/>
    </row>
    <row r="757" ht="15.75" customHeight="1">
      <c r="E757" s="185"/>
    </row>
    <row r="758" ht="15.75" customHeight="1">
      <c r="E758" s="185"/>
    </row>
    <row r="759" ht="15.75" customHeight="1">
      <c r="E759" s="185"/>
    </row>
    <row r="760" ht="15.75" customHeight="1">
      <c r="E760" s="185"/>
    </row>
    <row r="761" ht="15.75" customHeight="1">
      <c r="E761" s="185"/>
    </row>
    <row r="762" ht="15.75" customHeight="1">
      <c r="E762" s="185"/>
    </row>
    <row r="763" ht="15.75" customHeight="1">
      <c r="E763" s="185"/>
    </row>
    <row r="764" ht="15.75" customHeight="1">
      <c r="E764" s="185"/>
    </row>
    <row r="765" ht="15.75" customHeight="1">
      <c r="E765" s="185"/>
    </row>
    <row r="766" ht="15.75" customHeight="1">
      <c r="E766" s="185"/>
    </row>
    <row r="767" ht="15.75" customHeight="1">
      <c r="E767" s="185"/>
    </row>
    <row r="768" ht="15.75" customHeight="1">
      <c r="E768" s="185"/>
    </row>
    <row r="769" ht="15.75" customHeight="1">
      <c r="E769" s="185"/>
    </row>
    <row r="770" ht="15.75" customHeight="1">
      <c r="E770" s="185"/>
    </row>
    <row r="771" ht="15.75" customHeight="1">
      <c r="E771" s="185"/>
    </row>
    <row r="772" ht="15.75" customHeight="1">
      <c r="E772" s="185"/>
    </row>
    <row r="773" ht="15.75" customHeight="1">
      <c r="E773" s="185"/>
    </row>
    <row r="774" ht="15.75" customHeight="1">
      <c r="E774" s="185"/>
    </row>
    <row r="775" ht="15.75" customHeight="1">
      <c r="E775" s="185"/>
    </row>
    <row r="776" ht="15.75" customHeight="1">
      <c r="E776" s="185"/>
    </row>
    <row r="777" ht="15.75" customHeight="1">
      <c r="E777" s="185"/>
    </row>
    <row r="778" ht="15.75" customHeight="1">
      <c r="E778" s="185"/>
    </row>
    <row r="779" ht="15.75" customHeight="1">
      <c r="E779" s="185"/>
    </row>
    <row r="780" ht="15.75" customHeight="1">
      <c r="E780" s="185"/>
    </row>
    <row r="781" ht="15.75" customHeight="1">
      <c r="E781" s="185"/>
    </row>
    <row r="782" ht="15.75" customHeight="1">
      <c r="E782" s="185"/>
    </row>
    <row r="783" ht="15.75" customHeight="1">
      <c r="E783" s="185"/>
    </row>
    <row r="784" ht="15.75" customHeight="1">
      <c r="E784" s="185"/>
    </row>
    <row r="785" ht="15.75" customHeight="1">
      <c r="E785" s="185"/>
    </row>
    <row r="786" ht="15.75" customHeight="1">
      <c r="E786" s="185"/>
    </row>
    <row r="787" ht="15.75" customHeight="1">
      <c r="E787" s="185"/>
    </row>
    <row r="788" ht="15.75" customHeight="1">
      <c r="E788" s="185"/>
    </row>
    <row r="789" ht="15.75" customHeight="1">
      <c r="E789" s="185"/>
    </row>
    <row r="790" ht="15.75" customHeight="1">
      <c r="E790" s="185"/>
    </row>
    <row r="791" ht="15.75" customHeight="1">
      <c r="E791" s="185"/>
    </row>
    <row r="792" ht="15.75" customHeight="1">
      <c r="E792" s="185"/>
    </row>
    <row r="793" ht="15.75" customHeight="1">
      <c r="E793" s="185"/>
    </row>
    <row r="794" ht="15.75" customHeight="1">
      <c r="E794" s="185"/>
    </row>
    <row r="795" ht="15.75" customHeight="1">
      <c r="E795" s="185"/>
    </row>
    <row r="796" ht="15.75" customHeight="1">
      <c r="E796" s="185"/>
    </row>
    <row r="797" ht="15.75" customHeight="1">
      <c r="E797" s="185"/>
    </row>
    <row r="798" ht="15.75" customHeight="1">
      <c r="E798" s="185"/>
    </row>
    <row r="799" ht="15.75" customHeight="1">
      <c r="E799" s="185"/>
    </row>
    <row r="800" ht="15.75" customHeight="1">
      <c r="E800" s="185"/>
    </row>
    <row r="801" ht="15.75" customHeight="1">
      <c r="E801" s="185"/>
    </row>
    <row r="802" ht="15.75" customHeight="1">
      <c r="E802" s="185"/>
    </row>
    <row r="803" ht="15.75" customHeight="1">
      <c r="E803" s="185"/>
    </row>
    <row r="804" ht="15.75" customHeight="1">
      <c r="E804" s="185"/>
    </row>
    <row r="805" ht="15.75" customHeight="1">
      <c r="E805" s="185"/>
    </row>
    <row r="806" ht="15.75" customHeight="1">
      <c r="E806" s="185"/>
    </row>
    <row r="807" ht="15.75" customHeight="1">
      <c r="E807" s="185"/>
    </row>
    <row r="808" ht="15.75" customHeight="1">
      <c r="E808" s="185"/>
    </row>
    <row r="809" ht="15.75" customHeight="1">
      <c r="E809" s="185"/>
    </row>
    <row r="810" ht="15.75" customHeight="1">
      <c r="E810" s="185"/>
    </row>
    <row r="811" ht="15.75" customHeight="1">
      <c r="E811" s="185"/>
    </row>
    <row r="812" ht="15.75" customHeight="1">
      <c r="E812" s="185"/>
    </row>
    <row r="813" ht="15.75" customHeight="1">
      <c r="E813" s="185"/>
    </row>
    <row r="814" ht="15.75" customHeight="1">
      <c r="E814" s="185"/>
    </row>
    <row r="815" ht="15.75" customHeight="1">
      <c r="E815" s="185"/>
    </row>
    <row r="816" ht="15.75" customHeight="1">
      <c r="E816" s="185"/>
    </row>
    <row r="817" ht="15.75" customHeight="1">
      <c r="E817" s="185"/>
    </row>
    <row r="818" ht="15.75" customHeight="1">
      <c r="E818" s="185"/>
    </row>
    <row r="819" ht="15.75" customHeight="1">
      <c r="E819" s="185"/>
    </row>
    <row r="820" ht="15.75" customHeight="1">
      <c r="E820" s="185"/>
    </row>
    <row r="821" ht="15.75" customHeight="1">
      <c r="E821" s="185"/>
    </row>
    <row r="822" ht="15.75" customHeight="1">
      <c r="E822" s="185"/>
    </row>
    <row r="823" ht="15.75" customHeight="1">
      <c r="E823" s="185"/>
    </row>
    <row r="824" ht="15.75" customHeight="1">
      <c r="E824" s="185"/>
    </row>
    <row r="825" ht="15.75" customHeight="1">
      <c r="E825" s="185"/>
    </row>
    <row r="826" ht="15.75" customHeight="1">
      <c r="E826" s="185"/>
    </row>
    <row r="827" ht="15.75" customHeight="1">
      <c r="E827" s="185"/>
    </row>
    <row r="828" ht="15.75" customHeight="1">
      <c r="E828" s="185"/>
    </row>
    <row r="829" ht="15.75" customHeight="1">
      <c r="E829" s="185"/>
    </row>
    <row r="830" ht="15.75" customHeight="1">
      <c r="E830" s="185"/>
    </row>
    <row r="831" ht="15.75" customHeight="1">
      <c r="E831" s="185"/>
    </row>
    <row r="832" ht="15.75" customHeight="1">
      <c r="E832" s="185"/>
    </row>
    <row r="833" ht="15.75" customHeight="1">
      <c r="E833" s="185"/>
    </row>
    <row r="834" ht="15.75" customHeight="1">
      <c r="E834" s="185"/>
    </row>
    <row r="835" ht="15.75" customHeight="1">
      <c r="E835" s="185"/>
    </row>
    <row r="836" ht="15.75" customHeight="1">
      <c r="E836" s="185"/>
    </row>
    <row r="837" ht="15.75" customHeight="1">
      <c r="E837" s="185"/>
    </row>
    <row r="838" ht="15.75" customHeight="1">
      <c r="E838" s="185"/>
    </row>
    <row r="839" ht="15.75" customHeight="1">
      <c r="E839" s="185"/>
    </row>
    <row r="840" ht="15.75" customHeight="1">
      <c r="E840" s="185"/>
    </row>
    <row r="841" ht="15.75" customHeight="1">
      <c r="E841" s="185"/>
    </row>
    <row r="842" ht="15.75" customHeight="1">
      <c r="E842" s="185"/>
    </row>
    <row r="843" ht="15.75" customHeight="1">
      <c r="E843" s="185"/>
    </row>
    <row r="844" ht="15.75" customHeight="1">
      <c r="E844" s="185"/>
    </row>
    <row r="845" ht="15.75" customHeight="1">
      <c r="E845" s="185"/>
    </row>
    <row r="846" ht="15.75" customHeight="1">
      <c r="E846" s="185"/>
    </row>
    <row r="847" ht="15.75" customHeight="1">
      <c r="E847" s="185"/>
    </row>
    <row r="848" ht="15.75" customHeight="1">
      <c r="E848" s="185"/>
    </row>
    <row r="849" ht="15.75" customHeight="1">
      <c r="E849" s="185"/>
    </row>
    <row r="850" ht="15.75" customHeight="1">
      <c r="E850" s="185"/>
    </row>
    <row r="851" ht="15.75" customHeight="1">
      <c r="E851" s="185"/>
    </row>
    <row r="852" ht="15.75" customHeight="1">
      <c r="E852" s="185"/>
    </row>
    <row r="853" ht="15.75" customHeight="1">
      <c r="E853" s="185"/>
    </row>
    <row r="854" ht="15.75" customHeight="1">
      <c r="E854" s="185"/>
    </row>
    <row r="855" ht="15.75" customHeight="1">
      <c r="E855" s="185"/>
    </row>
    <row r="856" ht="15.75" customHeight="1">
      <c r="E856" s="185"/>
    </row>
    <row r="857" ht="15.75" customHeight="1">
      <c r="E857" s="185"/>
    </row>
    <row r="858" ht="15.75" customHeight="1">
      <c r="E858" s="185"/>
    </row>
    <row r="859" ht="15.75" customHeight="1">
      <c r="E859" s="185"/>
    </row>
    <row r="860" ht="15.75" customHeight="1">
      <c r="E860" s="185"/>
    </row>
    <row r="861" ht="15.75" customHeight="1">
      <c r="E861" s="185"/>
    </row>
    <row r="862" ht="15.75" customHeight="1">
      <c r="E862" s="185"/>
    </row>
    <row r="863" ht="15.75" customHeight="1">
      <c r="E863" s="185"/>
    </row>
    <row r="864" ht="15.75" customHeight="1">
      <c r="E864" s="185"/>
    </row>
    <row r="865" ht="15.75" customHeight="1">
      <c r="E865" s="185"/>
    </row>
    <row r="866" ht="15.75" customHeight="1">
      <c r="E866" s="185"/>
    </row>
    <row r="867" ht="15.75" customHeight="1">
      <c r="E867" s="185"/>
    </row>
    <row r="868" ht="15.75" customHeight="1">
      <c r="E868" s="185"/>
    </row>
    <row r="869" ht="15.75" customHeight="1">
      <c r="E869" s="185"/>
    </row>
    <row r="870" ht="15.75" customHeight="1">
      <c r="E870" s="185"/>
    </row>
    <row r="871" ht="15.75" customHeight="1">
      <c r="E871" s="185"/>
    </row>
    <row r="872" ht="15.75" customHeight="1">
      <c r="E872" s="185"/>
    </row>
    <row r="873" ht="15.75" customHeight="1">
      <c r="E873" s="185"/>
    </row>
    <row r="874" ht="15.75" customHeight="1">
      <c r="E874" s="185"/>
    </row>
    <row r="875" ht="15.75" customHeight="1">
      <c r="E875" s="185"/>
    </row>
    <row r="876" ht="15.75" customHeight="1">
      <c r="E876" s="185"/>
    </row>
    <row r="877" ht="15.75" customHeight="1">
      <c r="E877" s="185"/>
    </row>
    <row r="878" ht="15.75" customHeight="1">
      <c r="E878" s="185"/>
    </row>
    <row r="879" ht="15.75" customHeight="1">
      <c r="E879" s="185"/>
    </row>
    <row r="880" ht="15.75" customHeight="1">
      <c r="E880" s="185"/>
    </row>
    <row r="881" ht="15.75" customHeight="1">
      <c r="E881" s="185"/>
    </row>
    <row r="882" ht="15.75" customHeight="1">
      <c r="E882" s="185"/>
    </row>
    <row r="883" ht="15.75" customHeight="1">
      <c r="E883" s="185"/>
    </row>
    <row r="884" ht="15.75" customHeight="1">
      <c r="E884" s="185"/>
    </row>
    <row r="885" ht="15.75" customHeight="1">
      <c r="E885" s="185"/>
    </row>
    <row r="886" ht="15.75" customHeight="1">
      <c r="E886" s="185"/>
    </row>
    <row r="887" ht="15.75" customHeight="1">
      <c r="E887" s="185"/>
    </row>
    <row r="888" ht="15.75" customHeight="1">
      <c r="E888" s="185"/>
    </row>
    <row r="889" ht="15.75" customHeight="1">
      <c r="E889" s="185"/>
    </row>
    <row r="890" ht="15.75" customHeight="1">
      <c r="E890" s="185"/>
    </row>
    <row r="891" ht="15.75" customHeight="1">
      <c r="E891" s="185"/>
    </row>
    <row r="892" ht="15.75" customHeight="1">
      <c r="E892" s="185"/>
    </row>
    <row r="893" ht="15.75" customHeight="1">
      <c r="E893" s="185"/>
    </row>
    <row r="894" ht="15.75" customHeight="1">
      <c r="E894" s="185"/>
    </row>
    <row r="895" ht="15.75" customHeight="1">
      <c r="E895" s="185"/>
    </row>
    <row r="896" ht="15.75" customHeight="1">
      <c r="E896" s="185"/>
    </row>
    <row r="897" ht="15.75" customHeight="1">
      <c r="E897" s="185"/>
    </row>
    <row r="898" ht="15.75" customHeight="1">
      <c r="E898" s="185"/>
    </row>
    <row r="899" ht="15.75" customHeight="1">
      <c r="E899" s="185"/>
    </row>
    <row r="900" ht="15.75" customHeight="1">
      <c r="E900" s="185"/>
    </row>
    <row r="901" ht="15.75" customHeight="1">
      <c r="E901" s="185"/>
    </row>
    <row r="902" ht="15.75" customHeight="1">
      <c r="E902" s="185"/>
    </row>
    <row r="903" ht="15.75" customHeight="1">
      <c r="E903" s="185"/>
    </row>
    <row r="904" ht="15.75" customHeight="1">
      <c r="E904" s="185"/>
    </row>
    <row r="905" ht="15.75" customHeight="1">
      <c r="E905" s="185"/>
    </row>
    <row r="906" ht="15.75" customHeight="1">
      <c r="E906" s="185"/>
    </row>
    <row r="907" ht="15.75" customHeight="1">
      <c r="E907" s="185"/>
    </row>
    <row r="908" ht="15.75" customHeight="1">
      <c r="E908" s="185"/>
    </row>
    <row r="909" ht="15.75" customHeight="1">
      <c r="E909" s="185"/>
    </row>
    <row r="910" ht="15.75" customHeight="1">
      <c r="E910" s="185"/>
    </row>
    <row r="911" ht="15.75" customHeight="1">
      <c r="E911" s="185"/>
    </row>
    <row r="912" ht="15.75" customHeight="1">
      <c r="E912" s="185"/>
    </row>
    <row r="913" ht="15.75" customHeight="1">
      <c r="E913" s="185"/>
    </row>
    <row r="914" ht="15.75" customHeight="1">
      <c r="E914" s="185"/>
    </row>
    <row r="915" ht="15.75" customHeight="1">
      <c r="E915" s="185"/>
    </row>
    <row r="916" ht="15.75" customHeight="1">
      <c r="E916" s="185"/>
    </row>
    <row r="917" ht="15.75" customHeight="1">
      <c r="E917" s="185"/>
    </row>
    <row r="918" ht="15.75" customHeight="1">
      <c r="E918" s="185"/>
    </row>
    <row r="919" ht="15.75" customHeight="1">
      <c r="E919" s="185"/>
    </row>
    <row r="920" ht="15.75" customHeight="1">
      <c r="E920" s="185"/>
    </row>
    <row r="921" ht="15.75" customHeight="1">
      <c r="E921" s="185"/>
    </row>
    <row r="922" ht="15.75" customHeight="1">
      <c r="E922" s="185"/>
    </row>
    <row r="923" ht="15.75" customHeight="1">
      <c r="E923" s="185"/>
    </row>
    <row r="924" ht="15.75" customHeight="1">
      <c r="E924" s="185"/>
    </row>
    <row r="925" ht="15.75" customHeight="1">
      <c r="E925" s="185"/>
    </row>
    <row r="926" ht="15.75" customHeight="1">
      <c r="E926" s="185"/>
    </row>
    <row r="927" ht="15.75" customHeight="1">
      <c r="E927" s="185"/>
    </row>
    <row r="928" ht="15.75" customHeight="1">
      <c r="E928" s="185"/>
    </row>
    <row r="929" ht="15.75" customHeight="1">
      <c r="E929" s="185"/>
    </row>
    <row r="930" ht="15.75" customHeight="1">
      <c r="E930" s="185"/>
    </row>
    <row r="931" ht="15.75" customHeight="1">
      <c r="E931" s="185"/>
    </row>
    <row r="932" ht="15.75" customHeight="1">
      <c r="E932" s="185"/>
    </row>
    <row r="933" ht="15.75" customHeight="1">
      <c r="E933" s="185"/>
    </row>
    <row r="934" ht="15.75" customHeight="1">
      <c r="E934" s="185"/>
    </row>
    <row r="935" ht="15.75" customHeight="1">
      <c r="E935" s="185"/>
    </row>
    <row r="936" ht="15.75" customHeight="1">
      <c r="E936" s="185"/>
    </row>
    <row r="937" ht="15.75" customHeight="1">
      <c r="E937" s="185"/>
    </row>
    <row r="938" ht="15.75" customHeight="1">
      <c r="E938" s="185"/>
    </row>
    <row r="939" ht="15.75" customHeight="1">
      <c r="E939" s="185"/>
    </row>
    <row r="940" ht="15.75" customHeight="1">
      <c r="E940" s="185"/>
    </row>
    <row r="941" ht="15.75" customHeight="1">
      <c r="E941" s="185"/>
    </row>
    <row r="942" ht="15.75" customHeight="1">
      <c r="E942" s="185"/>
    </row>
    <row r="943" ht="15.75" customHeight="1">
      <c r="E943" s="185"/>
    </row>
    <row r="944" ht="15.75" customHeight="1">
      <c r="E944" s="185"/>
    </row>
    <row r="945" ht="15.75" customHeight="1">
      <c r="E945" s="185"/>
    </row>
    <row r="946" ht="15.75" customHeight="1">
      <c r="E946" s="185"/>
    </row>
    <row r="947" ht="15.75" customHeight="1">
      <c r="E947" s="185"/>
    </row>
    <row r="948" ht="15.75" customHeight="1">
      <c r="E948" s="185"/>
    </row>
    <row r="949" ht="15.75" customHeight="1">
      <c r="E949" s="185"/>
    </row>
    <row r="950" ht="15.75" customHeight="1">
      <c r="E950" s="185"/>
    </row>
    <row r="951" ht="15.75" customHeight="1">
      <c r="E951" s="185"/>
    </row>
    <row r="952" ht="15.75" customHeight="1">
      <c r="E952" s="185"/>
    </row>
    <row r="953" ht="15.75" customHeight="1">
      <c r="E953" s="185"/>
    </row>
    <row r="954" ht="15.75" customHeight="1">
      <c r="E954" s="185"/>
    </row>
    <row r="955" ht="15.75" customHeight="1">
      <c r="E955" s="185"/>
    </row>
    <row r="956" ht="15.75" customHeight="1">
      <c r="E956" s="185"/>
    </row>
    <row r="957" ht="15.75" customHeight="1">
      <c r="E957" s="185"/>
    </row>
    <row r="958" ht="15.75" customHeight="1">
      <c r="E958" s="185"/>
    </row>
    <row r="959" ht="15.75" customHeight="1">
      <c r="E959" s="185"/>
    </row>
    <row r="960" ht="15.75" customHeight="1">
      <c r="E960" s="185"/>
    </row>
    <row r="961" ht="15.75" customHeight="1">
      <c r="E961" s="185"/>
    </row>
    <row r="962" ht="15.75" customHeight="1">
      <c r="E962" s="185"/>
    </row>
    <row r="963" ht="15.75" customHeight="1">
      <c r="E963" s="185"/>
    </row>
    <row r="964" ht="15.75" customHeight="1">
      <c r="E964" s="185"/>
    </row>
    <row r="965" ht="15.75" customHeight="1">
      <c r="E965" s="185"/>
    </row>
    <row r="966" ht="15.75" customHeight="1">
      <c r="E966" s="185"/>
    </row>
    <row r="967" ht="15.75" customHeight="1">
      <c r="E967" s="185"/>
    </row>
    <row r="968" ht="15.75" customHeight="1">
      <c r="E968" s="185"/>
    </row>
    <row r="969" ht="15.75" customHeight="1">
      <c r="E969" s="185"/>
    </row>
    <row r="970" ht="15.75" customHeight="1">
      <c r="E970" s="185"/>
    </row>
    <row r="971" ht="15.75" customHeight="1">
      <c r="E971" s="185"/>
    </row>
    <row r="972" ht="15.75" customHeight="1">
      <c r="E972" s="185"/>
    </row>
    <row r="973" ht="15.75" customHeight="1">
      <c r="E973" s="185"/>
    </row>
    <row r="974" ht="15.75" customHeight="1">
      <c r="E974" s="185"/>
    </row>
    <row r="975" ht="15.75" customHeight="1">
      <c r="E975" s="185"/>
    </row>
    <row r="976" ht="15.75" customHeight="1">
      <c r="E976" s="185"/>
    </row>
    <row r="977" ht="15.75" customHeight="1">
      <c r="E977" s="185"/>
    </row>
    <row r="978" ht="15.75" customHeight="1">
      <c r="E978" s="185"/>
    </row>
    <row r="979" ht="15.75" customHeight="1">
      <c r="E979" s="185"/>
    </row>
    <row r="980" ht="15.75" customHeight="1">
      <c r="E980" s="185"/>
    </row>
    <row r="981" ht="15.75" customHeight="1">
      <c r="E981" s="185"/>
    </row>
    <row r="982" ht="15.75" customHeight="1">
      <c r="E982" s="185"/>
    </row>
    <row r="983" ht="15.75" customHeight="1">
      <c r="E983" s="185"/>
    </row>
    <row r="984" ht="15.75" customHeight="1">
      <c r="E984" s="185"/>
    </row>
    <row r="985" ht="15.75" customHeight="1">
      <c r="E985" s="185"/>
    </row>
    <row r="986" ht="15.75" customHeight="1">
      <c r="E986" s="185"/>
    </row>
    <row r="987" ht="15.75" customHeight="1">
      <c r="E987" s="185"/>
    </row>
    <row r="988" ht="15.75" customHeight="1">
      <c r="E988" s="185"/>
    </row>
    <row r="989" ht="15.75" customHeight="1">
      <c r="E989" s="185"/>
    </row>
    <row r="990" ht="15.75" customHeight="1">
      <c r="E990" s="185"/>
    </row>
    <row r="991" ht="15.75" customHeight="1">
      <c r="E991" s="185"/>
    </row>
    <row r="992" ht="15.75" customHeight="1">
      <c r="E992" s="185"/>
    </row>
    <row r="993" ht="15.75" customHeight="1">
      <c r="E993" s="185"/>
    </row>
    <row r="994" ht="15.75" customHeight="1">
      <c r="E994" s="185"/>
    </row>
    <row r="995" ht="15.75" customHeight="1">
      <c r="E995" s="185"/>
    </row>
    <row r="996" ht="15.75" customHeight="1">
      <c r="E996" s="185"/>
    </row>
    <row r="997" ht="15.75" customHeight="1">
      <c r="E997" s="185"/>
    </row>
    <row r="998" ht="15.75" customHeight="1">
      <c r="E998" s="185"/>
    </row>
    <row r="999" ht="15.75" customHeight="1">
      <c r="E999" s="185"/>
    </row>
    <row r="1000" ht="15.75" customHeight="1">
      <c r="E1000" s="185"/>
    </row>
  </sheetData>
  <conditionalFormatting sqref="F2:F11 G11:R11 E18">
    <cfRule type="expression" dxfId="0" priority="1">
      <formula>isformula(F2)</formula>
    </cfRule>
  </conditionalFormatting>
  <dataValidations>
    <dataValidation type="list" allowBlank="1" showErrorMessage="1" sqref="B2:B10">
      <formula1>Activity!$D$2:$D$26</formula1>
    </dataValidation>
  </dataValidations>
  <hyperlinks>
    <hyperlink r:id="rId1" ref="C1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75"/>
    <col customWidth="1" min="2" max="2" width="36.75"/>
    <col customWidth="1" min="3" max="3" width="28.38"/>
    <col customWidth="1" min="4" max="4" width="9.38"/>
    <col customWidth="1" min="5" max="16" width="10.13"/>
    <col customWidth="1" min="17" max="17" width="5.13"/>
    <col customWidth="1" min="18" max="18" width="10.5"/>
    <col customWidth="1" min="19" max="19" width="10.63"/>
    <col customWidth="1" min="20" max="22" width="5.13"/>
  </cols>
  <sheetData>
    <row r="1">
      <c r="A1" s="15"/>
      <c r="B1" s="18" t="s">
        <v>3</v>
      </c>
      <c r="C1" s="20" t="s">
        <v>14</v>
      </c>
      <c r="D1" s="4" t="s">
        <v>1</v>
      </c>
      <c r="E1" s="5">
        <v>46023.0</v>
      </c>
      <c r="F1" s="5">
        <v>46054.0</v>
      </c>
      <c r="G1" s="5">
        <v>46082.0</v>
      </c>
      <c r="H1" s="5">
        <v>46113.0</v>
      </c>
      <c r="I1" s="5">
        <v>46143.0</v>
      </c>
      <c r="J1" s="5">
        <v>46174.0</v>
      </c>
      <c r="K1" s="5">
        <v>46204.0</v>
      </c>
      <c r="L1" s="5">
        <v>46235.0</v>
      </c>
      <c r="M1" s="5">
        <v>46266.0</v>
      </c>
      <c r="N1" s="5">
        <v>46296.0</v>
      </c>
      <c r="O1" s="5">
        <v>46327.0</v>
      </c>
      <c r="P1" s="5">
        <v>46357.0</v>
      </c>
      <c r="Q1" s="38"/>
      <c r="R1" s="41" t="s">
        <v>4</v>
      </c>
      <c r="S1" s="42" t="s">
        <v>18</v>
      </c>
      <c r="T1" s="43"/>
      <c r="U1" s="43"/>
      <c r="V1" s="43"/>
    </row>
    <row r="2" ht="15.75" customHeight="1">
      <c r="A2" s="15"/>
      <c r="B2" s="44" t="s">
        <v>19</v>
      </c>
      <c r="C2" s="46"/>
      <c r="D2" s="48"/>
      <c r="E2" s="51"/>
      <c r="F2" s="51"/>
      <c r="G2" s="51"/>
      <c r="H2" s="51"/>
      <c r="I2" s="51"/>
      <c r="J2" s="51"/>
      <c r="K2" s="51"/>
      <c r="L2" s="51"/>
      <c r="M2" s="51"/>
      <c r="N2" s="51"/>
      <c r="O2" s="51"/>
      <c r="P2" s="51"/>
      <c r="Q2" s="58"/>
      <c r="R2" s="58"/>
      <c r="S2" s="58"/>
      <c r="T2" s="58"/>
      <c r="U2" s="58"/>
      <c r="V2" s="58"/>
    </row>
    <row r="3" ht="15.75" customHeight="1">
      <c r="A3" s="15"/>
      <c r="B3" s="62" t="s">
        <v>24</v>
      </c>
      <c r="C3" s="64" t="s">
        <v>28</v>
      </c>
      <c r="D3" s="68">
        <v>93101.0</v>
      </c>
      <c r="E3" s="70">
        <v>5250.0</v>
      </c>
      <c r="F3" s="70">
        <f t="shared" ref="F3:P3" si="1">$E3</f>
        <v>5250</v>
      </c>
      <c r="G3" s="70">
        <f t="shared" si="1"/>
        <v>5250</v>
      </c>
      <c r="H3" s="70">
        <f t="shared" si="1"/>
        <v>5250</v>
      </c>
      <c r="I3" s="70">
        <f t="shared" si="1"/>
        <v>5250</v>
      </c>
      <c r="J3" s="70">
        <f t="shared" si="1"/>
        <v>5250</v>
      </c>
      <c r="K3" s="70">
        <f t="shared" si="1"/>
        <v>5250</v>
      </c>
      <c r="L3" s="70">
        <f t="shared" si="1"/>
        <v>5250</v>
      </c>
      <c r="M3" s="70">
        <f t="shared" si="1"/>
        <v>5250</v>
      </c>
      <c r="N3" s="70">
        <f t="shared" si="1"/>
        <v>5250</v>
      </c>
      <c r="O3" s="70">
        <f t="shared" si="1"/>
        <v>5250</v>
      </c>
      <c r="P3" s="70">
        <f t="shared" si="1"/>
        <v>5250</v>
      </c>
      <c r="Q3" s="74"/>
      <c r="R3" s="74"/>
      <c r="S3" s="74"/>
      <c r="T3" s="74"/>
      <c r="U3" s="74"/>
      <c r="V3" s="74"/>
    </row>
    <row r="4" ht="15.75" customHeight="1">
      <c r="A4" s="15"/>
      <c r="B4" s="79"/>
      <c r="C4" s="64" t="s">
        <v>36</v>
      </c>
      <c r="D4" s="68">
        <v>93102.0</v>
      </c>
      <c r="E4" s="70">
        <v>1500.0</v>
      </c>
      <c r="F4" s="70">
        <f t="shared" ref="F4:P4" si="2">$E4</f>
        <v>1500</v>
      </c>
      <c r="G4" s="70">
        <f t="shared" si="2"/>
        <v>1500</v>
      </c>
      <c r="H4" s="70">
        <f t="shared" si="2"/>
        <v>1500</v>
      </c>
      <c r="I4" s="70">
        <f t="shared" si="2"/>
        <v>1500</v>
      </c>
      <c r="J4" s="70">
        <f t="shared" si="2"/>
        <v>1500</v>
      </c>
      <c r="K4" s="70">
        <f t="shared" si="2"/>
        <v>1500</v>
      </c>
      <c r="L4" s="70">
        <f t="shared" si="2"/>
        <v>1500</v>
      </c>
      <c r="M4" s="70">
        <f t="shared" si="2"/>
        <v>1500</v>
      </c>
      <c r="N4" s="70">
        <f t="shared" si="2"/>
        <v>1500</v>
      </c>
      <c r="O4" s="70">
        <f t="shared" si="2"/>
        <v>1500</v>
      </c>
      <c r="P4" s="70">
        <f t="shared" si="2"/>
        <v>1500</v>
      </c>
      <c r="Q4" s="74"/>
      <c r="R4" s="74"/>
      <c r="S4" s="74"/>
      <c r="T4" s="74"/>
      <c r="U4" s="74"/>
      <c r="V4" s="74"/>
    </row>
    <row r="5" ht="15.75" customHeight="1">
      <c r="A5" s="15"/>
      <c r="B5" s="79"/>
      <c r="C5" s="64" t="s">
        <v>40</v>
      </c>
      <c r="D5" s="68">
        <v>93103.0</v>
      </c>
      <c r="E5" s="70">
        <v>18000.0</v>
      </c>
      <c r="F5" s="70">
        <f t="shared" ref="F5:P5" si="3">$E5</f>
        <v>18000</v>
      </c>
      <c r="G5" s="70">
        <f t="shared" si="3"/>
        <v>18000</v>
      </c>
      <c r="H5" s="70">
        <f t="shared" si="3"/>
        <v>18000</v>
      </c>
      <c r="I5" s="70">
        <f t="shared" si="3"/>
        <v>18000</v>
      </c>
      <c r="J5" s="70">
        <f t="shared" si="3"/>
        <v>18000</v>
      </c>
      <c r="K5" s="70">
        <f t="shared" si="3"/>
        <v>18000</v>
      </c>
      <c r="L5" s="70">
        <f t="shared" si="3"/>
        <v>18000</v>
      </c>
      <c r="M5" s="70">
        <f t="shared" si="3"/>
        <v>18000</v>
      </c>
      <c r="N5" s="70">
        <f t="shared" si="3"/>
        <v>18000</v>
      </c>
      <c r="O5" s="70">
        <f t="shared" si="3"/>
        <v>18000</v>
      </c>
      <c r="P5" s="70">
        <f t="shared" si="3"/>
        <v>18000</v>
      </c>
      <c r="Q5" s="74"/>
      <c r="R5" s="74"/>
      <c r="S5" s="74"/>
      <c r="T5" s="74"/>
      <c r="U5" s="74"/>
      <c r="V5" s="74"/>
    </row>
    <row r="6" ht="15.75" customHeight="1">
      <c r="A6" s="15"/>
      <c r="B6" s="79"/>
      <c r="C6" s="64" t="s">
        <v>43</v>
      </c>
      <c r="D6" s="68">
        <v>93104.0</v>
      </c>
      <c r="E6" s="70">
        <v>4200.0</v>
      </c>
      <c r="F6" s="70">
        <f t="shared" ref="F6:P6" si="4">$E6</f>
        <v>4200</v>
      </c>
      <c r="G6" s="70">
        <f t="shared" si="4"/>
        <v>4200</v>
      </c>
      <c r="H6" s="70">
        <f t="shared" si="4"/>
        <v>4200</v>
      </c>
      <c r="I6" s="70">
        <f t="shared" si="4"/>
        <v>4200</v>
      </c>
      <c r="J6" s="70">
        <f t="shared" si="4"/>
        <v>4200</v>
      </c>
      <c r="K6" s="70">
        <f t="shared" si="4"/>
        <v>4200</v>
      </c>
      <c r="L6" s="70">
        <f t="shared" si="4"/>
        <v>4200</v>
      </c>
      <c r="M6" s="70">
        <f t="shared" si="4"/>
        <v>4200</v>
      </c>
      <c r="N6" s="70">
        <f t="shared" si="4"/>
        <v>4200</v>
      </c>
      <c r="O6" s="70">
        <f t="shared" si="4"/>
        <v>4200</v>
      </c>
      <c r="P6" s="70">
        <f t="shared" si="4"/>
        <v>4200</v>
      </c>
      <c r="Q6" s="74"/>
      <c r="R6" s="74"/>
      <c r="S6" s="74"/>
      <c r="T6" s="74"/>
      <c r="U6" s="74"/>
      <c r="V6" s="74"/>
    </row>
    <row r="7" ht="15.75" customHeight="1">
      <c r="A7" s="15"/>
      <c r="B7" s="79"/>
      <c r="C7" s="64" t="s">
        <v>48</v>
      </c>
      <c r="D7" s="68">
        <v>93105.0</v>
      </c>
      <c r="E7" s="93">
        <v>1500.0</v>
      </c>
      <c r="F7" s="70">
        <f t="shared" ref="F7:P7" si="5">$E7</f>
        <v>1500</v>
      </c>
      <c r="G7" s="70">
        <f t="shared" si="5"/>
        <v>1500</v>
      </c>
      <c r="H7" s="70">
        <f t="shared" si="5"/>
        <v>1500</v>
      </c>
      <c r="I7" s="70">
        <f t="shared" si="5"/>
        <v>1500</v>
      </c>
      <c r="J7" s="70">
        <f t="shared" si="5"/>
        <v>1500</v>
      </c>
      <c r="K7" s="70">
        <f t="shared" si="5"/>
        <v>1500</v>
      </c>
      <c r="L7" s="70">
        <f t="shared" si="5"/>
        <v>1500</v>
      </c>
      <c r="M7" s="70">
        <f t="shared" si="5"/>
        <v>1500</v>
      </c>
      <c r="N7" s="70">
        <f t="shared" si="5"/>
        <v>1500</v>
      </c>
      <c r="O7" s="70">
        <f t="shared" si="5"/>
        <v>1500</v>
      </c>
      <c r="P7" s="70">
        <f t="shared" si="5"/>
        <v>1500</v>
      </c>
      <c r="Q7" s="74"/>
      <c r="R7" s="74"/>
      <c r="S7" s="74"/>
      <c r="T7" s="74"/>
      <c r="U7" s="74"/>
      <c r="V7" s="74"/>
    </row>
    <row r="8" ht="15.75" customHeight="1">
      <c r="A8" s="15"/>
      <c r="B8" s="98"/>
      <c r="C8" s="64" t="s">
        <v>53</v>
      </c>
      <c r="D8" s="68">
        <v>93106.0</v>
      </c>
      <c r="E8" s="93">
        <v>700.0</v>
      </c>
      <c r="F8" s="70">
        <f t="shared" ref="F8:P8" si="6">$E8</f>
        <v>700</v>
      </c>
      <c r="G8" s="70">
        <f t="shared" si="6"/>
        <v>700</v>
      </c>
      <c r="H8" s="70">
        <f t="shared" si="6"/>
        <v>700</v>
      </c>
      <c r="I8" s="70">
        <f t="shared" si="6"/>
        <v>700</v>
      </c>
      <c r="J8" s="70">
        <f t="shared" si="6"/>
        <v>700</v>
      </c>
      <c r="K8" s="70">
        <f t="shared" si="6"/>
        <v>700</v>
      </c>
      <c r="L8" s="70">
        <f t="shared" si="6"/>
        <v>700</v>
      </c>
      <c r="M8" s="70">
        <f t="shared" si="6"/>
        <v>700</v>
      </c>
      <c r="N8" s="70">
        <f t="shared" si="6"/>
        <v>700</v>
      </c>
      <c r="O8" s="70">
        <f t="shared" si="6"/>
        <v>700</v>
      </c>
      <c r="P8" s="70">
        <f t="shared" si="6"/>
        <v>700</v>
      </c>
      <c r="Q8" s="74"/>
      <c r="R8" s="74"/>
      <c r="S8" s="74"/>
      <c r="T8" s="74"/>
      <c r="U8" s="74"/>
      <c r="V8" s="74"/>
    </row>
    <row r="9" ht="15.75" customHeight="1">
      <c r="A9" s="15"/>
      <c r="B9" s="58"/>
      <c r="C9" s="58"/>
      <c r="D9" s="58"/>
      <c r="E9" s="58"/>
      <c r="F9" s="58"/>
      <c r="G9" s="58"/>
      <c r="H9" s="58"/>
      <c r="I9" s="58"/>
      <c r="J9" s="58"/>
      <c r="K9" s="58"/>
      <c r="L9" s="58"/>
      <c r="M9" s="58"/>
      <c r="N9" s="58"/>
      <c r="O9" s="58"/>
      <c r="P9" s="58"/>
      <c r="Q9" s="58"/>
      <c r="R9" s="58"/>
      <c r="S9" s="58"/>
      <c r="T9" s="58"/>
      <c r="U9" s="58"/>
      <c r="V9" s="58"/>
    </row>
    <row r="10" ht="15.75" customHeight="1">
      <c r="A10" s="15"/>
      <c r="B10" s="104"/>
      <c r="C10" s="105" t="s">
        <v>55</v>
      </c>
      <c r="D10" s="58"/>
      <c r="E10" s="58"/>
      <c r="F10" s="58"/>
      <c r="G10" s="58"/>
      <c r="H10" s="58"/>
      <c r="I10" s="58"/>
      <c r="J10" s="58"/>
      <c r="K10" s="58"/>
      <c r="L10" s="58"/>
      <c r="M10" s="58"/>
      <c r="N10" s="58"/>
      <c r="O10" s="58"/>
      <c r="P10" s="58"/>
      <c r="Q10" s="58"/>
      <c r="R10" s="58"/>
      <c r="S10" s="58"/>
      <c r="T10" s="58"/>
      <c r="U10" s="58"/>
      <c r="V10" s="58"/>
    </row>
    <row r="11" ht="15.75" customHeight="1">
      <c r="A11" s="15"/>
      <c r="B11" s="106" t="s">
        <v>57</v>
      </c>
      <c r="C11" s="58"/>
      <c r="D11" s="58"/>
      <c r="E11" s="58"/>
      <c r="F11" s="58"/>
      <c r="G11" s="58"/>
      <c r="H11" s="58"/>
      <c r="I11" s="58"/>
      <c r="J11" s="58"/>
      <c r="K11" s="58"/>
      <c r="L11" s="58"/>
      <c r="M11" s="58"/>
      <c r="N11" s="58"/>
      <c r="O11" s="58"/>
      <c r="P11" s="58"/>
      <c r="Q11" s="58"/>
      <c r="R11" s="58"/>
      <c r="S11" s="58"/>
      <c r="T11" s="58"/>
      <c r="U11" s="58"/>
      <c r="V11" s="58"/>
    </row>
    <row r="12" ht="15.75" customHeight="1">
      <c r="A12" s="15"/>
      <c r="B12" s="106" t="s">
        <v>59</v>
      </c>
      <c r="C12" s="58"/>
      <c r="D12" s="58"/>
      <c r="E12" s="58"/>
      <c r="F12" s="58"/>
      <c r="G12" s="58"/>
      <c r="H12" s="58"/>
      <c r="I12" s="58"/>
      <c r="J12" s="58"/>
      <c r="K12" s="58"/>
      <c r="L12" s="58"/>
      <c r="M12" s="58"/>
      <c r="N12" s="58"/>
      <c r="O12" s="58"/>
      <c r="P12" s="58"/>
      <c r="Q12" s="58"/>
      <c r="R12" s="58"/>
      <c r="S12" s="58"/>
      <c r="T12" s="58"/>
      <c r="U12" s="58"/>
      <c r="V12" s="58"/>
    </row>
    <row r="13" ht="15.75" customHeight="1">
      <c r="A13" s="15"/>
      <c r="B13" s="109"/>
      <c r="C13" s="46"/>
      <c r="D13" s="46"/>
      <c r="E13" s="46"/>
      <c r="F13" s="46"/>
      <c r="G13" s="46"/>
      <c r="H13" s="46"/>
      <c r="I13" s="46"/>
      <c r="J13" s="46"/>
      <c r="K13" s="46"/>
      <c r="L13" s="46"/>
      <c r="M13" s="46"/>
      <c r="N13" s="46"/>
      <c r="O13" s="46"/>
      <c r="P13" s="46"/>
      <c r="Q13" s="58"/>
      <c r="R13" s="58"/>
      <c r="S13" s="58"/>
      <c r="T13" s="58"/>
      <c r="U13" s="58"/>
      <c r="V13" s="58"/>
    </row>
    <row r="14">
      <c r="A14" s="110"/>
      <c r="B14" s="111" t="s">
        <v>62</v>
      </c>
      <c r="C14" s="112" t="s">
        <v>63</v>
      </c>
      <c r="D14" s="113">
        <f t="shared" ref="D14:D15" si="7">sum(E14:P14)</f>
        <v>0</v>
      </c>
      <c r="E14" s="115"/>
      <c r="F14" s="115"/>
      <c r="G14" s="115"/>
      <c r="H14" s="115"/>
      <c r="I14" s="115"/>
      <c r="J14" s="115"/>
      <c r="K14" s="115"/>
      <c r="L14" s="115"/>
      <c r="M14" s="115"/>
      <c r="N14" s="115"/>
      <c r="O14" s="115"/>
      <c r="P14" s="115"/>
      <c r="Q14" s="117"/>
      <c r="R14" s="118"/>
      <c r="S14" s="118"/>
      <c r="T14" s="118"/>
      <c r="U14" s="118"/>
      <c r="V14" s="118"/>
    </row>
    <row r="15">
      <c r="A15" s="110"/>
      <c r="B15" s="120" t="s">
        <v>67</v>
      </c>
      <c r="C15" s="112" t="s">
        <v>68</v>
      </c>
      <c r="D15" s="113">
        <f t="shared" si="7"/>
        <v>0</v>
      </c>
      <c r="E15" s="121"/>
      <c r="F15" s="115"/>
      <c r="G15" s="115"/>
      <c r="H15" s="115"/>
      <c r="I15" s="115"/>
      <c r="J15" s="115"/>
      <c r="K15" s="115"/>
      <c r="L15" s="115"/>
      <c r="M15" s="115"/>
      <c r="N15" s="115"/>
      <c r="O15" s="115"/>
      <c r="P15" s="115"/>
      <c r="Q15" s="117"/>
      <c r="R15" s="118"/>
      <c r="S15" s="118"/>
      <c r="T15" s="118"/>
      <c r="U15" s="118"/>
      <c r="V15" s="118"/>
    </row>
    <row r="16" ht="15.75" customHeight="1">
      <c r="A16" s="110"/>
      <c r="B16" s="98"/>
      <c r="C16" s="123" t="s">
        <v>54</v>
      </c>
      <c r="D16" s="124">
        <f t="shared" ref="D16:P16" si="8">sum(D17:D22)</f>
        <v>0</v>
      </c>
      <c r="E16" s="126">
        <f t="shared" si="8"/>
        <v>0</v>
      </c>
      <c r="F16" s="126">
        <f t="shared" si="8"/>
        <v>0</v>
      </c>
      <c r="G16" s="126">
        <f t="shared" si="8"/>
        <v>0</v>
      </c>
      <c r="H16" s="126">
        <f t="shared" si="8"/>
        <v>0</v>
      </c>
      <c r="I16" s="126">
        <f t="shared" si="8"/>
        <v>0</v>
      </c>
      <c r="J16" s="126">
        <f t="shared" si="8"/>
        <v>0</v>
      </c>
      <c r="K16" s="126">
        <f t="shared" si="8"/>
        <v>0</v>
      </c>
      <c r="L16" s="126">
        <f t="shared" si="8"/>
        <v>0</v>
      </c>
      <c r="M16" s="126">
        <f t="shared" si="8"/>
        <v>0</v>
      </c>
      <c r="N16" s="126">
        <f t="shared" si="8"/>
        <v>0</v>
      </c>
      <c r="O16" s="126">
        <f t="shared" si="8"/>
        <v>0</v>
      </c>
      <c r="P16" s="126">
        <f t="shared" si="8"/>
        <v>0</v>
      </c>
      <c r="Q16" s="118"/>
      <c r="R16" s="118"/>
      <c r="S16" s="118"/>
      <c r="T16" s="118"/>
      <c r="U16" s="118"/>
      <c r="V16" s="118"/>
    </row>
    <row r="17" ht="30.75" customHeight="1">
      <c r="A17" s="15"/>
      <c r="B17" s="127" t="s">
        <v>70</v>
      </c>
      <c r="C17" s="128" t="s">
        <v>28</v>
      </c>
      <c r="D17" s="129">
        <f t="shared" ref="D17:D22" si="11">SUM(E17:P17)</f>
        <v>0</v>
      </c>
      <c r="E17" s="130">
        <f>E$3*E14*E15</f>
        <v>0</v>
      </c>
      <c r="F17" s="131"/>
      <c r="G17" s="130"/>
      <c r="H17" s="130">
        <f t="shared" ref="H17:K17" si="9">H$3*H14*H15</f>
        <v>0</v>
      </c>
      <c r="I17" s="130">
        <f t="shared" si="9"/>
        <v>0</v>
      </c>
      <c r="J17" s="130">
        <f t="shared" si="9"/>
        <v>0</v>
      </c>
      <c r="K17" s="130">
        <f t="shared" si="9"/>
        <v>0</v>
      </c>
      <c r="L17" s="130"/>
      <c r="M17" s="130"/>
      <c r="N17" s="130">
        <f t="shared" ref="N17:P17" si="10">N$3*N14*N15</f>
        <v>0</v>
      </c>
      <c r="O17" s="130">
        <f t="shared" si="10"/>
        <v>0</v>
      </c>
      <c r="P17" s="130">
        <f t="shared" si="10"/>
        <v>0</v>
      </c>
      <c r="Q17" s="74"/>
      <c r="R17" s="133">
        <v>0.0</v>
      </c>
      <c r="S17" s="133">
        <v>0.0</v>
      </c>
      <c r="T17" s="74"/>
      <c r="U17" s="74"/>
      <c r="V17" s="74"/>
    </row>
    <row r="18" ht="30.75" customHeight="1">
      <c r="A18" s="15"/>
      <c r="B18" s="79"/>
      <c r="C18" s="128" t="s">
        <v>36</v>
      </c>
      <c r="D18" s="129">
        <f t="shared" si="11"/>
        <v>0</v>
      </c>
      <c r="E18" s="130">
        <f>E$4*E14*E15</f>
        <v>0</v>
      </c>
      <c r="F18" s="131"/>
      <c r="G18" s="130"/>
      <c r="H18" s="130">
        <f>(H14*H15*H4)</f>
        <v>0</v>
      </c>
      <c r="I18" s="130">
        <f t="shared" ref="I18:K18" si="12">I$4*I14*I15</f>
        <v>0</v>
      </c>
      <c r="J18" s="130">
        <f t="shared" si="12"/>
        <v>0</v>
      </c>
      <c r="K18" s="130">
        <f t="shared" si="12"/>
        <v>0</v>
      </c>
      <c r="L18" s="130" t="str">
        <f>F18</f>
        <v/>
      </c>
      <c r="M18" s="130" t="str">
        <f>L18</f>
        <v/>
      </c>
      <c r="N18" s="130">
        <f>N4*N14*N15</f>
        <v>0</v>
      </c>
      <c r="O18" s="130">
        <f t="shared" ref="O18:P18" si="13">O$4*O14*O15</f>
        <v>0</v>
      </c>
      <c r="P18" s="130">
        <f t="shared" si="13"/>
        <v>0</v>
      </c>
      <c r="Q18" s="74"/>
      <c r="R18" s="133">
        <v>0.0</v>
      </c>
      <c r="S18" s="133">
        <v>0.0</v>
      </c>
      <c r="T18" s="74"/>
      <c r="U18" s="74"/>
      <c r="V18" s="74"/>
    </row>
    <row r="19" ht="30.75" customHeight="1">
      <c r="A19" s="15"/>
      <c r="B19" s="79"/>
      <c r="C19" s="128" t="s">
        <v>40</v>
      </c>
      <c r="D19" s="129">
        <f t="shared" si="11"/>
        <v>0</v>
      </c>
      <c r="E19" s="130">
        <f>E$5*E14</f>
        <v>0</v>
      </c>
      <c r="F19" s="130"/>
      <c r="G19" s="130"/>
      <c r="H19" s="130"/>
      <c r="I19" s="130">
        <f t="shared" ref="I19:K19" si="14">I$5*I14</f>
        <v>0</v>
      </c>
      <c r="J19" s="130">
        <f t="shared" si="14"/>
        <v>0</v>
      </c>
      <c r="K19" s="130">
        <f t="shared" si="14"/>
        <v>0</v>
      </c>
      <c r="L19" s="130"/>
      <c r="M19" s="130"/>
      <c r="N19" s="130"/>
      <c r="O19" s="130">
        <f t="shared" ref="O19:P19" si="15">O$5*O14</f>
        <v>0</v>
      </c>
      <c r="P19" s="130">
        <f t="shared" si="15"/>
        <v>0</v>
      </c>
      <c r="Q19" s="74"/>
      <c r="R19" s="133">
        <v>0.0</v>
      </c>
      <c r="S19" s="133">
        <v>0.0</v>
      </c>
      <c r="T19" s="74"/>
      <c r="U19" s="74"/>
      <c r="V19" s="74"/>
    </row>
    <row r="20" ht="30.75" customHeight="1">
      <c r="A20" s="15"/>
      <c r="B20" s="79"/>
      <c r="C20" s="128" t="s">
        <v>43</v>
      </c>
      <c r="D20" s="129">
        <f t="shared" si="11"/>
        <v>0</v>
      </c>
      <c r="E20" s="130">
        <f>E$6*E14*E15</f>
        <v>0</v>
      </c>
      <c r="F20" s="130"/>
      <c r="G20" s="130"/>
      <c r="H20" s="130"/>
      <c r="I20" s="130">
        <f t="shared" ref="I20:K20" si="16">I$6*I14*I15</f>
        <v>0</v>
      </c>
      <c r="J20" s="130">
        <f t="shared" si="16"/>
        <v>0</v>
      </c>
      <c r="K20" s="130">
        <f t="shared" si="16"/>
        <v>0</v>
      </c>
      <c r="L20" s="130" t="str">
        <f>F20</f>
        <v/>
      </c>
      <c r="M20" s="130" t="str">
        <f>L20</f>
        <v/>
      </c>
      <c r="N20" s="130"/>
      <c r="O20" s="130">
        <f t="shared" ref="O20:P20" si="17">O$6*O14*O15</f>
        <v>0</v>
      </c>
      <c r="P20" s="130">
        <f t="shared" si="17"/>
        <v>0</v>
      </c>
      <c r="Q20" s="74"/>
      <c r="R20" s="133">
        <v>0.0</v>
      </c>
      <c r="S20" s="133">
        <v>0.0</v>
      </c>
      <c r="T20" s="74"/>
      <c r="U20" s="74"/>
      <c r="V20" s="74"/>
    </row>
    <row r="21" ht="30.75" customHeight="1">
      <c r="A21" s="15"/>
      <c r="B21" s="79"/>
      <c r="C21" s="128" t="s">
        <v>48</v>
      </c>
      <c r="D21" s="129">
        <f t="shared" si="11"/>
        <v>0</v>
      </c>
      <c r="E21" s="130">
        <f>E$7*E14</f>
        <v>0</v>
      </c>
      <c r="F21" s="130"/>
      <c r="G21" s="130"/>
      <c r="H21" s="130"/>
      <c r="I21" s="130">
        <f t="shared" ref="I21:K21" si="18">I$7*I14</f>
        <v>0</v>
      </c>
      <c r="J21" s="130">
        <f t="shared" si="18"/>
        <v>0</v>
      </c>
      <c r="K21" s="130">
        <f t="shared" si="18"/>
        <v>0</v>
      </c>
      <c r="L21" s="130"/>
      <c r="M21" s="130"/>
      <c r="N21" s="130"/>
      <c r="O21" s="130">
        <f t="shared" ref="O21:P21" si="19">O$7*O14</f>
        <v>0</v>
      </c>
      <c r="P21" s="130">
        <f t="shared" si="19"/>
        <v>0</v>
      </c>
      <c r="Q21" s="74"/>
      <c r="R21" s="133">
        <v>0.0</v>
      </c>
      <c r="S21" s="133">
        <v>0.0</v>
      </c>
      <c r="T21" s="74"/>
      <c r="U21" s="74"/>
      <c r="V21" s="74"/>
    </row>
    <row r="22" ht="30.75" customHeight="1">
      <c r="A22" s="15"/>
      <c r="B22" s="98"/>
      <c r="C22" s="128" t="s">
        <v>53</v>
      </c>
      <c r="D22" s="129">
        <f t="shared" si="11"/>
        <v>0</v>
      </c>
      <c r="E22" s="130">
        <f>E$8*E14</f>
        <v>0</v>
      </c>
      <c r="F22" s="130"/>
      <c r="G22" s="130"/>
      <c r="H22" s="130">
        <f t="shared" ref="H22:K22" si="20">H$8*H14</f>
        <v>0</v>
      </c>
      <c r="I22" s="130">
        <f t="shared" si="20"/>
        <v>0</v>
      </c>
      <c r="J22" s="130">
        <f t="shared" si="20"/>
        <v>0</v>
      </c>
      <c r="K22" s="130">
        <f t="shared" si="20"/>
        <v>0</v>
      </c>
      <c r="L22" s="130"/>
      <c r="M22" s="130"/>
      <c r="N22" s="130">
        <f t="shared" ref="N22:P22" si="21">N$8*N14</f>
        <v>0</v>
      </c>
      <c r="O22" s="130">
        <f t="shared" si="21"/>
        <v>0</v>
      </c>
      <c r="P22" s="130">
        <f t="shared" si="21"/>
        <v>0</v>
      </c>
      <c r="Q22" s="74"/>
      <c r="R22" s="133">
        <v>0.0</v>
      </c>
      <c r="S22" s="133">
        <v>0.0</v>
      </c>
      <c r="T22" s="74"/>
      <c r="U22" s="74"/>
      <c r="V22" s="74"/>
    </row>
    <row r="23" ht="15.75" customHeight="1">
      <c r="A23" s="15"/>
      <c r="B23" s="58"/>
      <c r="C23" s="58"/>
      <c r="D23" s="147"/>
      <c r="E23" s="58"/>
      <c r="F23" s="58"/>
      <c r="G23" s="58"/>
      <c r="H23" s="58"/>
      <c r="I23" s="58"/>
      <c r="J23" s="58"/>
      <c r="K23" s="58"/>
      <c r="L23" s="58"/>
      <c r="M23" s="58"/>
      <c r="N23" s="58"/>
      <c r="O23" s="58"/>
      <c r="P23" s="58"/>
      <c r="Q23" s="58"/>
      <c r="R23" s="58"/>
      <c r="S23" s="58"/>
      <c r="T23" s="58"/>
      <c r="U23" s="58"/>
      <c r="V23" s="58"/>
    </row>
    <row r="24" ht="15.75" customHeight="1">
      <c r="A24" s="15"/>
      <c r="B24" s="109"/>
      <c r="C24" s="58"/>
      <c r="D24" s="147"/>
      <c r="E24" s="58"/>
      <c r="F24" s="58"/>
      <c r="G24" s="58"/>
      <c r="H24" s="58"/>
      <c r="I24" s="58"/>
      <c r="J24" s="58"/>
      <c r="K24" s="58"/>
      <c r="L24" s="58"/>
      <c r="M24" s="58"/>
      <c r="N24" s="58"/>
      <c r="O24" s="58"/>
      <c r="P24" s="58"/>
      <c r="Q24" s="58"/>
      <c r="R24" s="58"/>
      <c r="S24" s="58"/>
      <c r="T24" s="58"/>
      <c r="U24" s="58"/>
      <c r="V24" s="58"/>
    </row>
    <row r="25">
      <c r="A25" s="15"/>
      <c r="B25" s="148" t="s">
        <v>62</v>
      </c>
      <c r="C25" s="149" t="s">
        <v>63</v>
      </c>
      <c r="D25" s="150">
        <f t="shared" ref="D25:D26" si="22">sum(E25:P25)</f>
        <v>4</v>
      </c>
      <c r="E25" s="151"/>
      <c r="F25" s="151"/>
      <c r="G25" s="151"/>
      <c r="H25" s="151">
        <v>1.0</v>
      </c>
      <c r="I25" s="151"/>
      <c r="J25" s="151"/>
      <c r="K25" s="151">
        <v>1.0</v>
      </c>
      <c r="L25" s="151"/>
      <c r="M25" s="151">
        <v>2.0</v>
      </c>
      <c r="N25" s="151"/>
      <c r="O25" s="151"/>
      <c r="P25" s="151"/>
      <c r="Q25" s="152"/>
      <c r="R25" s="74"/>
      <c r="S25" s="74"/>
      <c r="T25" s="74"/>
      <c r="U25" s="74"/>
      <c r="V25" s="74"/>
    </row>
    <row r="26" ht="15.75" customHeight="1">
      <c r="A26" s="15"/>
      <c r="B26" s="153" t="s">
        <v>72</v>
      </c>
      <c r="C26" s="149" t="s">
        <v>68</v>
      </c>
      <c r="D26" s="150">
        <f t="shared" si="22"/>
        <v>6</v>
      </c>
      <c r="E26" s="154"/>
      <c r="F26" s="151"/>
      <c r="G26" s="151"/>
      <c r="H26" s="151">
        <v>2.0</v>
      </c>
      <c r="I26" s="151"/>
      <c r="J26" s="151"/>
      <c r="K26" s="151">
        <v>2.0</v>
      </c>
      <c r="L26" s="151"/>
      <c r="M26" s="151">
        <v>2.0</v>
      </c>
      <c r="N26" s="151"/>
      <c r="O26" s="151"/>
      <c r="P26" s="151"/>
      <c r="Q26" s="152"/>
      <c r="R26" s="74"/>
      <c r="S26" s="74"/>
      <c r="T26" s="74"/>
      <c r="U26" s="74"/>
      <c r="V26" s="74"/>
    </row>
    <row r="27" ht="15.75" customHeight="1">
      <c r="A27" s="15"/>
      <c r="B27" s="98"/>
      <c r="C27" s="155" t="s">
        <v>54</v>
      </c>
      <c r="D27" s="156">
        <f t="shared" ref="D27:P27" si="23">sum(D28:D33)</f>
        <v>168400</v>
      </c>
      <c r="E27" s="157">
        <f t="shared" si="23"/>
        <v>0</v>
      </c>
      <c r="F27" s="157">
        <f t="shared" si="23"/>
        <v>0</v>
      </c>
      <c r="G27" s="157">
        <f t="shared" si="23"/>
        <v>0</v>
      </c>
      <c r="H27" s="157">
        <f t="shared" si="23"/>
        <v>42100</v>
      </c>
      <c r="I27" s="157">
        <f t="shared" si="23"/>
        <v>0</v>
      </c>
      <c r="J27" s="157">
        <f t="shared" si="23"/>
        <v>0</v>
      </c>
      <c r="K27" s="157">
        <f t="shared" si="23"/>
        <v>42100</v>
      </c>
      <c r="L27" s="157">
        <f t="shared" si="23"/>
        <v>0</v>
      </c>
      <c r="M27" s="157">
        <f t="shared" si="23"/>
        <v>84200</v>
      </c>
      <c r="N27" s="157">
        <f t="shared" si="23"/>
        <v>0</v>
      </c>
      <c r="O27" s="157">
        <f t="shared" si="23"/>
        <v>0</v>
      </c>
      <c r="P27" s="157">
        <f t="shared" si="23"/>
        <v>0</v>
      </c>
      <c r="Q27" s="74"/>
      <c r="R27" s="74"/>
      <c r="S27" s="74"/>
      <c r="T27" s="74"/>
      <c r="U27" s="74"/>
      <c r="V27" s="74"/>
    </row>
    <row r="28" ht="15.75" customHeight="1">
      <c r="A28" s="15"/>
      <c r="B28" s="159" t="s">
        <v>74</v>
      </c>
      <c r="C28" s="128" t="s">
        <v>28</v>
      </c>
      <c r="D28" s="160">
        <f t="shared" ref="D28:D33" si="26">SUM(E28:P28)</f>
        <v>42000</v>
      </c>
      <c r="E28" s="130">
        <f>E$3*E25*E26</f>
        <v>0</v>
      </c>
      <c r="F28" s="130"/>
      <c r="G28" s="130">
        <f t="shared" ref="G28:H28" si="24">G$3*G25*G26</f>
        <v>0</v>
      </c>
      <c r="H28" s="130">
        <f t="shared" si="24"/>
        <v>10500</v>
      </c>
      <c r="I28" s="130"/>
      <c r="J28" s="130">
        <f t="shared" ref="J28:P28" si="25">J$3*J25*J26</f>
        <v>0</v>
      </c>
      <c r="K28" s="130">
        <f t="shared" si="25"/>
        <v>10500</v>
      </c>
      <c r="L28" s="130">
        <f t="shared" si="25"/>
        <v>0</v>
      </c>
      <c r="M28" s="130">
        <f t="shared" si="25"/>
        <v>21000</v>
      </c>
      <c r="N28" s="130">
        <f t="shared" si="25"/>
        <v>0</v>
      </c>
      <c r="O28" s="130">
        <f t="shared" si="25"/>
        <v>0</v>
      </c>
      <c r="P28" s="130">
        <f t="shared" si="25"/>
        <v>0</v>
      </c>
      <c r="Q28" s="74"/>
      <c r="R28" s="133">
        <v>42000.0</v>
      </c>
      <c r="S28" s="133"/>
      <c r="T28" s="74"/>
      <c r="U28" s="74"/>
      <c r="V28" s="74"/>
    </row>
    <row r="29" ht="15.75" customHeight="1">
      <c r="A29" s="15"/>
      <c r="B29" s="79"/>
      <c r="C29" s="128" t="s">
        <v>36</v>
      </c>
      <c r="D29" s="160">
        <f t="shared" si="26"/>
        <v>12000</v>
      </c>
      <c r="E29" s="130">
        <f t="shared" ref="E29:H29" si="27">E$4*E25*E26</f>
        <v>0</v>
      </c>
      <c r="F29" s="130">
        <f t="shared" si="27"/>
        <v>0</v>
      </c>
      <c r="G29" s="130">
        <f t="shared" si="27"/>
        <v>0</v>
      </c>
      <c r="H29" s="130">
        <f t="shared" si="27"/>
        <v>3000</v>
      </c>
      <c r="I29" s="130">
        <f>F29</f>
        <v>0</v>
      </c>
      <c r="J29" s="130">
        <f t="shared" ref="J29:P29" si="28">J$4*J25*J26</f>
        <v>0</v>
      </c>
      <c r="K29" s="130">
        <f t="shared" si="28"/>
        <v>3000</v>
      </c>
      <c r="L29" s="130">
        <f t="shared" si="28"/>
        <v>0</v>
      </c>
      <c r="M29" s="130">
        <f t="shared" si="28"/>
        <v>6000</v>
      </c>
      <c r="N29" s="130">
        <f t="shared" si="28"/>
        <v>0</v>
      </c>
      <c r="O29" s="130">
        <f t="shared" si="28"/>
        <v>0</v>
      </c>
      <c r="P29" s="130">
        <f t="shared" si="28"/>
        <v>0</v>
      </c>
      <c r="Q29" s="74"/>
      <c r="R29" s="133">
        <v>12000.0</v>
      </c>
      <c r="S29" s="133"/>
      <c r="T29" s="74"/>
      <c r="U29" s="74"/>
      <c r="V29" s="74"/>
    </row>
    <row r="30" ht="15.75" customHeight="1">
      <c r="A30" s="15"/>
      <c r="B30" s="79"/>
      <c r="C30" s="128" t="s">
        <v>40</v>
      </c>
      <c r="D30" s="160">
        <f t="shared" si="26"/>
        <v>72000</v>
      </c>
      <c r="E30" s="130">
        <f>E$5*E25</f>
        <v>0</v>
      </c>
      <c r="F30" s="130"/>
      <c r="G30" s="130">
        <f t="shared" ref="G30:H30" si="29">G$5*G25</f>
        <v>0</v>
      </c>
      <c r="H30" s="130">
        <f t="shared" si="29"/>
        <v>18000</v>
      </c>
      <c r="I30" s="130"/>
      <c r="J30" s="130">
        <f t="shared" ref="J30:P30" si="30">J$5*J25</f>
        <v>0</v>
      </c>
      <c r="K30" s="130">
        <f t="shared" si="30"/>
        <v>18000</v>
      </c>
      <c r="L30" s="130">
        <f t="shared" si="30"/>
        <v>0</v>
      </c>
      <c r="M30" s="130">
        <f t="shared" si="30"/>
        <v>36000</v>
      </c>
      <c r="N30" s="130">
        <f t="shared" si="30"/>
        <v>0</v>
      </c>
      <c r="O30" s="130">
        <f t="shared" si="30"/>
        <v>0</v>
      </c>
      <c r="P30" s="130">
        <f t="shared" si="30"/>
        <v>0</v>
      </c>
      <c r="Q30" s="74"/>
      <c r="R30" s="133">
        <v>72000.0</v>
      </c>
      <c r="S30" s="133"/>
      <c r="T30" s="74"/>
      <c r="U30" s="74"/>
      <c r="V30" s="74"/>
    </row>
    <row r="31" ht="15.75" customHeight="1">
      <c r="A31" s="15"/>
      <c r="B31" s="79"/>
      <c r="C31" s="128" t="s">
        <v>43</v>
      </c>
      <c r="D31" s="160">
        <f t="shared" si="26"/>
        <v>33600</v>
      </c>
      <c r="E31" s="130">
        <f t="shared" ref="E31:H31" si="31">E$6*E25*E26</f>
        <v>0</v>
      </c>
      <c r="F31" s="130">
        <f t="shared" si="31"/>
        <v>0</v>
      </c>
      <c r="G31" s="130">
        <f t="shared" si="31"/>
        <v>0</v>
      </c>
      <c r="H31" s="130">
        <f t="shared" si="31"/>
        <v>8400</v>
      </c>
      <c r="I31" s="130">
        <f>F31</f>
        <v>0</v>
      </c>
      <c r="J31" s="130">
        <f t="shared" ref="J31:P31" si="32">J$6*J25*J26</f>
        <v>0</v>
      </c>
      <c r="K31" s="130">
        <f t="shared" si="32"/>
        <v>8400</v>
      </c>
      <c r="L31" s="130">
        <f t="shared" si="32"/>
        <v>0</v>
      </c>
      <c r="M31" s="130">
        <f t="shared" si="32"/>
        <v>16800</v>
      </c>
      <c r="N31" s="130">
        <f t="shared" si="32"/>
        <v>0</v>
      </c>
      <c r="O31" s="130">
        <f t="shared" si="32"/>
        <v>0</v>
      </c>
      <c r="P31" s="130">
        <f t="shared" si="32"/>
        <v>0</v>
      </c>
      <c r="Q31" s="74"/>
      <c r="R31" s="133">
        <v>33600.0</v>
      </c>
      <c r="S31" s="133"/>
      <c r="T31" s="74"/>
      <c r="U31" s="74"/>
      <c r="V31" s="74"/>
    </row>
    <row r="32" ht="15.75" customHeight="1">
      <c r="A32" s="15"/>
      <c r="B32" s="79"/>
      <c r="C32" s="128" t="s">
        <v>48</v>
      </c>
      <c r="D32" s="160">
        <f t="shared" si="26"/>
        <v>6000</v>
      </c>
      <c r="E32" s="130">
        <f>E$7*E25</f>
        <v>0</v>
      </c>
      <c r="F32" s="130"/>
      <c r="G32" s="130">
        <f t="shared" ref="G32:H32" si="33">G$7*G25</f>
        <v>0</v>
      </c>
      <c r="H32" s="130">
        <f t="shared" si="33"/>
        <v>1500</v>
      </c>
      <c r="I32" s="130"/>
      <c r="J32" s="130">
        <f t="shared" ref="J32:P32" si="34">J$7*J25</f>
        <v>0</v>
      </c>
      <c r="K32" s="130">
        <f t="shared" si="34"/>
        <v>1500</v>
      </c>
      <c r="L32" s="130">
        <f t="shared" si="34"/>
        <v>0</v>
      </c>
      <c r="M32" s="130">
        <f t="shared" si="34"/>
        <v>3000</v>
      </c>
      <c r="N32" s="130">
        <f t="shared" si="34"/>
        <v>0</v>
      </c>
      <c r="O32" s="130">
        <f t="shared" si="34"/>
        <v>0</v>
      </c>
      <c r="P32" s="130">
        <f t="shared" si="34"/>
        <v>0</v>
      </c>
      <c r="Q32" s="74"/>
      <c r="R32" s="133">
        <v>6000.0</v>
      </c>
      <c r="S32" s="133"/>
      <c r="T32" s="74"/>
      <c r="U32" s="74"/>
      <c r="V32" s="74"/>
    </row>
    <row r="33" ht="15.75" customHeight="1">
      <c r="A33" s="15"/>
      <c r="B33" s="98"/>
      <c r="C33" s="128" t="s">
        <v>53</v>
      </c>
      <c r="D33" s="160">
        <f t="shared" si="26"/>
        <v>2800</v>
      </c>
      <c r="E33" s="130">
        <f>E$8*E25</f>
        <v>0</v>
      </c>
      <c r="F33" s="130"/>
      <c r="G33" s="130">
        <f t="shared" ref="G33:H33" si="35">G$8*G25</f>
        <v>0</v>
      </c>
      <c r="H33" s="130">
        <f t="shared" si="35"/>
        <v>700</v>
      </c>
      <c r="I33" s="130"/>
      <c r="J33" s="130">
        <f t="shared" ref="J33:P33" si="36">J$8*J25</f>
        <v>0</v>
      </c>
      <c r="K33" s="130">
        <f t="shared" si="36"/>
        <v>700</v>
      </c>
      <c r="L33" s="130">
        <f t="shared" si="36"/>
        <v>0</v>
      </c>
      <c r="M33" s="130">
        <f t="shared" si="36"/>
        <v>1400</v>
      </c>
      <c r="N33" s="130">
        <f t="shared" si="36"/>
        <v>0</v>
      </c>
      <c r="O33" s="130">
        <f t="shared" si="36"/>
        <v>0</v>
      </c>
      <c r="P33" s="130">
        <f t="shared" si="36"/>
        <v>0</v>
      </c>
      <c r="Q33" s="74"/>
      <c r="R33" s="133">
        <v>2800.0</v>
      </c>
      <c r="S33" s="133"/>
      <c r="T33" s="74"/>
      <c r="U33" s="74"/>
      <c r="V33" s="74"/>
    </row>
    <row r="34" ht="15.75" customHeight="1">
      <c r="A34" s="15"/>
      <c r="B34" s="58"/>
      <c r="C34" s="58"/>
      <c r="D34" s="147"/>
      <c r="E34" s="58"/>
      <c r="F34" s="58"/>
      <c r="G34" s="58"/>
      <c r="H34" s="58"/>
      <c r="I34" s="58"/>
      <c r="J34" s="58"/>
      <c r="K34" s="58"/>
      <c r="L34" s="58"/>
      <c r="M34" s="58"/>
      <c r="N34" s="58"/>
      <c r="O34" s="58"/>
      <c r="P34" s="58"/>
      <c r="Q34" s="58"/>
      <c r="R34" s="58"/>
      <c r="S34" s="58"/>
      <c r="T34" s="58"/>
      <c r="U34" s="58"/>
      <c r="V34" s="58"/>
    </row>
    <row r="35" ht="15.75" customHeight="1">
      <c r="A35" s="15"/>
      <c r="B35" s="109"/>
      <c r="C35" s="58"/>
      <c r="D35" s="147"/>
      <c r="E35" s="58"/>
      <c r="F35" s="58"/>
      <c r="G35" s="58"/>
      <c r="H35" s="58"/>
      <c r="I35" s="58"/>
      <c r="J35" s="58"/>
      <c r="K35" s="58"/>
      <c r="L35" s="58"/>
      <c r="M35" s="58"/>
      <c r="N35" s="58"/>
      <c r="O35" s="58"/>
      <c r="P35" s="58"/>
      <c r="Q35" s="58"/>
      <c r="R35" s="58"/>
      <c r="S35" s="58"/>
      <c r="T35" s="58"/>
      <c r="U35" s="58"/>
      <c r="V35" s="58"/>
    </row>
    <row r="36" ht="15.75" customHeight="1">
      <c r="A36" s="15"/>
      <c r="B36" s="148" t="s">
        <v>62</v>
      </c>
      <c r="C36" s="149" t="s">
        <v>63</v>
      </c>
      <c r="D36" s="150">
        <f t="shared" ref="D36:D37" si="37">sum(E36:P36)</f>
        <v>6</v>
      </c>
      <c r="E36" s="151"/>
      <c r="F36" s="151"/>
      <c r="G36" s="151"/>
      <c r="H36" s="151"/>
      <c r="I36" s="151">
        <v>2.0</v>
      </c>
      <c r="J36" s="151"/>
      <c r="K36" s="151"/>
      <c r="L36" s="151">
        <v>2.0</v>
      </c>
      <c r="M36" s="151"/>
      <c r="N36" s="151">
        <v>2.0</v>
      </c>
      <c r="O36" s="151"/>
      <c r="P36" s="151"/>
      <c r="Q36" s="152"/>
      <c r="R36" s="74"/>
      <c r="S36" s="74"/>
      <c r="T36" s="74"/>
      <c r="U36" s="74"/>
      <c r="V36" s="74"/>
    </row>
    <row r="37" ht="15.75" customHeight="1">
      <c r="A37" s="15"/>
      <c r="B37" s="153" t="s">
        <v>67</v>
      </c>
      <c r="C37" s="149" t="s">
        <v>68</v>
      </c>
      <c r="D37" s="150">
        <f t="shared" si="37"/>
        <v>12</v>
      </c>
      <c r="E37" s="154"/>
      <c r="F37" s="151"/>
      <c r="G37" s="151"/>
      <c r="H37" s="151"/>
      <c r="I37" s="151">
        <v>2.0</v>
      </c>
      <c r="J37" s="151"/>
      <c r="K37" s="151"/>
      <c r="L37" s="151">
        <v>5.0</v>
      </c>
      <c r="M37" s="151"/>
      <c r="N37" s="151">
        <v>5.0</v>
      </c>
      <c r="O37" s="151"/>
      <c r="P37" s="151"/>
      <c r="Q37" s="152"/>
      <c r="R37" s="74"/>
      <c r="S37" s="74"/>
      <c r="T37" s="74"/>
      <c r="U37" s="74"/>
      <c r="V37" s="74"/>
    </row>
    <row r="38" ht="15.75" customHeight="1">
      <c r="A38" s="15"/>
      <c r="B38" s="98"/>
      <c r="C38" s="155" t="s">
        <v>54</v>
      </c>
      <c r="D38" s="156">
        <f t="shared" ref="D38:P38" si="38">sum(D39:D44)</f>
        <v>384000</v>
      </c>
      <c r="E38" s="157">
        <f t="shared" si="38"/>
        <v>0</v>
      </c>
      <c r="F38" s="157">
        <f t="shared" si="38"/>
        <v>0</v>
      </c>
      <c r="G38" s="157">
        <f t="shared" si="38"/>
        <v>0</v>
      </c>
      <c r="H38" s="157">
        <f t="shared" si="38"/>
        <v>0</v>
      </c>
      <c r="I38" s="157">
        <f t="shared" si="38"/>
        <v>84200</v>
      </c>
      <c r="J38" s="157">
        <f t="shared" si="38"/>
        <v>0</v>
      </c>
      <c r="K38" s="157">
        <f t="shared" si="38"/>
        <v>0</v>
      </c>
      <c r="L38" s="157">
        <f t="shared" si="38"/>
        <v>149900</v>
      </c>
      <c r="M38" s="157">
        <f t="shared" si="38"/>
        <v>0</v>
      </c>
      <c r="N38" s="157">
        <f t="shared" si="38"/>
        <v>149900</v>
      </c>
      <c r="O38" s="157">
        <f t="shared" si="38"/>
        <v>0</v>
      </c>
      <c r="P38" s="157">
        <f t="shared" si="38"/>
        <v>0</v>
      </c>
      <c r="Q38" s="74"/>
      <c r="R38" s="74"/>
      <c r="S38" s="74"/>
      <c r="T38" s="74"/>
      <c r="U38" s="74"/>
      <c r="V38" s="74"/>
    </row>
    <row r="39" ht="15.75" customHeight="1">
      <c r="A39" s="15"/>
      <c r="B39" s="162" t="s">
        <v>75</v>
      </c>
      <c r="C39" s="128" t="s">
        <v>28</v>
      </c>
      <c r="D39" s="160">
        <f t="shared" ref="D39:D44" si="40">SUM(E39:P39)</f>
        <v>126000</v>
      </c>
      <c r="E39" s="130">
        <f t="shared" ref="E39:P39" si="39">E$3*E36*E37</f>
        <v>0</v>
      </c>
      <c r="F39" s="131">
        <f t="shared" si="39"/>
        <v>0</v>
      </c>
      <c r="G39" s="130">
        <f t="shared" si="39"/>
        <v>0</v>
      </c>
      <c r="H39" s="130">
        <f t="shared" si="39"/>
        <v>0</v>
      </c>
      <c r="I39" s="130">
        <f t="shared" si="39"/>
        <v>21000</v>
      </c>
      <c r="J39" s="130">
        <f t="shared" si="39"/>
        <v>0</v>
      </c>
      <c r="K39" s="130">
        <f t="shared" si="39"/>
        <v>0</v>
      </c>
      <c r="L39" s="130">
        <f t="shared" si="39"/>
        <v>52500</v>
      </c>
      <c r="M39" s="130">
        <f t="shared" si="39"/>
        <v>0</v>
      </c>
      <c r="N39" s="130">
        <f t="shared" si="39"/>
        <v>52500</v>
      </c>
      <c r="O39" s="130">
        <f t="shared" si="39"/>
        <v>0</v>
      </c>
      <c r="P39" s="130">
        <f t="shared" si="39"/>
        <v>0</v>
      </c>
      <c r="Q39" s="74"/>
      <c r="R39" s="133">
        <v>126000.0</v>
      </c>
      <c r="S39" s="133"/>
      <c r="T39" s="74"/>
      <c r="U39" s="74"/>
      <c r="V39" s="74"/>
    </row>
    <row r="40" ht="15.75" customHeight="1">
      <c r="A40" s="15"/>
      <c r="B40" s="79"/>
      <c r="C40" s="128" t="s">
        <v>36</v>
      </c>
      <c r="D40" s="160">
        <f t="shared" si="40"/>
        <v>36000</v>
      </c>
      <c r="E40" s="130">
        <f t="shared" ref="E40:P40" si="41">E$4*E36*E37</f>
        <v>0</v>
      </c>
      <c r="F40" s="130">
        <f t="shared" si="41"/>
        <v>0</v>
      </c>
      <c r="G40" s="130">
        <f t="shared" si="41"/>
        <v>0</v>
      </c>
      <c r="H40" s="130">
        <f t="shared" si="41"/>
        <v>0</v>
      </c>
      <c r="I40" s="130">
        <f t="shared" si="41"/>
        <v>6000</v>
      </c>
      <c r="J40" s="130">
        <f t="shared" si="41"/>
        <v>0</v>
      </c>
      <c r="K40" s="130">
        <f t="shared" si="41"/>
        <v>0</v>
      </c>
      <c r="L40" s="130">
        <f t="shared" si="41"/>
        <v>15000</v>
      </c>
      <c r="M40" s="130">
        <f t="shared" si="41"/>
        <v>0</v>
      </c>
      <c r="N40" s="130">
        <f t="shared" si="41"/>
        <v>15000</v>
      </c>
      <c r="O40" s="130">
        <f t="shared" si="41"/>
        <v>0</v>
      </c>
      <c r="P40" s="130">
        <f t="shared" si="41"/>
        <v>0</v>
      </c>
      <c r="Q40" s="74"/>
      <c r="R40" s="133">
        <v>36000.0</v>
      </c>
      <c r="S40" s="133"/>
      <c r="T40" s="74"/>
      <c r="U40" s="74"/>
      <c r="V40" s="74"/>
    </row>
    <row r="41" ht="15.75" customHeight="1">
      <c r="A41" s="15"/>
      <c r="B41" s="79"/>
      <c r="C41" s="128" t="s">
        <v>40</v>
      </c>
      <c r="D41" s="160">
        <f t="shared" si="40"/>
        <v>108000</v>
      </c>
      <c r="E41" s="130">
        <f>E$5*E36</f>
        <v>0</v>
      </c>
      <c r="F41" s="130"/>
      <c r="G41" s="130"/>
      <c r="H41" s="130">
        <f t="shared" ref="H41:I41" si="42">H$5*H36</f>
        <v>0</v>
      </c>
      <c r="I41" s="130">
        <f t="shared" si="42"/>
        <v>36000</v>
      </c>
      <c r="J41" s="130"/>
      <c r="K41" s="130">
        <f t="shared" ref="K41:P41" si="43">K$5*K36</f>
        <v>0</v>
      </c>
      <c r="L41" s="130">
        <f t="shared" si="43"/>
        <v>36000</v>
      </c>
      <c r="M41" s="130">
        <f t="shared" si="43"/>
        <v>0</v>
      </c>
      <c r="N41" s="130">
        <f t="shared" si="43"/>
        <v>36000</v>
      </c>
      <c r="O41" s="130">
        <f t="shared" si="43"/>
        <v>0</v>
      </c>
      <c r="P41" s="130">
        <f t="shared" si="43"/>
        <v>0</v>
      </c>
      <c r="Q41" s="74"/>
      <c r="R41" s="133">
        <v>108000.0</v>
      </c>
      <c r="S41" s="133"/>
      <c r="T41" s="74"/>
      <c r="U41" s="74"/>
      <c r="V41" s="74"/>
    </row>
    <row r="42" ht="15.75" customHeight="1">
      <c r="A42" s="15"/>
      <c r="B42" s="79"/>
      <c r="C42" s="128" t="s">
        <v>43</v>
      </c>
      <c r="D42" s="160">
        <f t="shared" si="40"/>
        <v>100800</v>
      </c>
      <c r="E42" s="130">
        <f t="shared" ref="E42:P42" si="44">E$6*E36*E37</f>
        <v>0</v>
      </c>
      <c r="F42" s="130">
        <f t="shared" si="44"/>
        <v>0</v>
      </c>
      <c r="G42" s="130">
        <f t="shared" si="44"/>
        <v>0</v>
      </c>
      <c r="H42" s="130">
        <f t="shared" si="44"/>
        <v>0</v>
      </c>
      <c r="I42" s="130">
        <f t="shared" si="44"/>
        <v>16800</v>
      </c>
      <c r="J42" s="130">
        <f t="shared" si="44"/>
        <v>0</v>
      </c>
      <c r="K42" s="130">
        <f t="shared" si="44"/>
        <v>0</v>
      </c>
      <c r="L42" s="130">
        <f t="shared" si="44"/>
        <v>42000</v>
      </c>
      <c r="M42" s="130">
        <f t="shared" si="44"/>
        <v>0</v>
      </c>
      <c r="N42" s="130">
        <f t="shared" si="44"/>
        <v>42000</v>
      </c>
      <c r="O42" s="130">
        <f t="shared" si="44"/>
        <v>0</v>
      </c>
      <c r="P42" s="130">
        <f t="shared" si="44"/>
        <v>0</v>
      </c>
      <c r="Q42" s="74"/>
      <c r="R42" s="133">
        <v>100800.0</v>
      </c>
      <c r="S42" s="133"/>
      <c r="T42" s="74"/>
      <c r="U42" s="74"/>
      <c r="V42" s="74"/>
    </row>
    <row r="43" ht="15.75" customHeight="1">
      <c r="A43" s="15"/>
      <c r="B43" s="79"/>
      <c r="C43" s="128" t="s">
        <v>48</v>
      </c>
      <c r="D43" s="160">
        <f t="shared" si="40"/>
        <v>9000</v>
      </c>
      <c r="E43" s="130">
        <f t="shared" ref="E43:P43" si="45">E$7*E36</f>
        <v>0</v>
      </c>
      <c r="F43" s="130">
        <f t="shared" si="45"/>
        <v>0</v>
      </c>
      <c r="G43" s="130">
        <f t="shared" si="45"/>
        <v>0</v>
      </c>
      <c r="H43" s="130">
        <f t="shared" si="45"/>
        <v>0</v>
      </c>
      <c r="I43" s="130">
        <f t="shared" si="45"/>
        <v>3000</v>
      </c>
      <c r="J43" s="130">
        <f t="shared" si="45"/>
        <v>0</v>
      </c>
      <c r="K43" s="130">
        <f t="shared" si="45"/>
        <v>0</v>
      </c>
      <c r="L43" s="130">
        <f t="shared" si="45"/>
        <v>3000</v>
      </c>
      <c r="M43" s="130">
        <f t="shared" si="45"/>
        <v>0</v>
      </c>
      <c r="N43" s="130">
        <f t="shared" si="45"/>
        <v>3000</v>
      </c>
      <c r="O43" s="130">
        <f t="shared" si="45"/>
        <v>0</v>
      </c>
      <c r="P43" s="130">
        <f t="shared" si="45"/>
        <v>0</v>
      </c>
      <c r="Q43" s="74"/>
      <c r="R43" s="133">
        <v>9000.0</v>
      </c>
      <c r="S43" s="133"/>
      <c r="T43" s="74"/>
      <c r="U43" s="74"/>
      <c r="V43" s="74"/>
    </row>
    <row r="44" ht="15.75" customHeight="1">
      <c r="A44" s="15"/>
      <c r="B44" s="98"/>
      <c r="C44" s="128" t="s">
        <v>53</v>
      </c>
      <c r="D44" s="160">
        <f t="shared" si="40"/>
        <v>4200</v>
      </c>
      <c r="E44" s="130">
        <f t="shared" ref="E44:P44" si="46">E$8*E36</f>
        <v>0</v>
      </c>
      <c r="F44" s="130">
        <f t="shared" si="46"/>
        <v>0</v>
      </c>
      <c r="G44" s="130">
        <f t="shared" si="46"/>
        <v>0</v>
      </c>
      <c r="H44" s="130">
        <f t="shared" si="46"/>
        <v>0</v>
      </c>
      <c r="I44" s="130">
        <f t="shared" si="46"/>
        <v>1400</v>
      </c>
      <c r="J44" s="130">
        <f t="shared" si="46"/>
        <v>0</v>
      </c>
      <c r="K44" s="130">
        <f t="shared" si="46"/>
        <v>0</v>
      </c>
      <c r="L44" s="130">
        <f t="shared" si="46"/>
        <v>1400</v>
      </c>
      <c r="M44" s="130">
        <f t="shared" si="46"/>
        <v>0</v>
      </c>
      <c r="N44" s="130">
        <f t="shared" si="46"/>
        <v>1400</v>
      </c>
      <c r="O44" s="130">
        <f t="shared" si="46"/>
        <v>0</v>
      </c>
      <c r="P44" s="130">
        <f t="shared" si="46"/>
        <v>0</v>
      </c>
      <c r="Q44" s="74"/>
      <c r="R44" s="133">
        <v>4200.0</v>
      </c>
      <c r="S44" s="133"/>
      <c r="T44" s="74"/>
      <c r="U44" s="74"/>
      <c r="V44" s="74"/>
    </row>
    <row r="45" ht="15.75" customHeight="1">
      <c r="A45" s="15"/>
      <c r="B45" s="58"/>
      <c r="C45" s="58"/>
      <c r="D45" s="163"/>
      <c r="E45" s="58"/>
      <c r="F45" s="58"/>
      <c r="G45" s="58"/>
      <c r="H45" s="58"/>
      <c r="I45" s="58"/>
      <c r="J45" s="58"/>
      <c r="K45" s="58"/>
      <c r="L45" s="58"/>
      <c r="M45" s="58"/>
      <c r="N45" s="58"/>
      <c r="O45" s="58"/>
      <c r="P45" s="58"/>
      <c r="Q45" s="74"/>
      <c r="R45" s="74"/>
      <c r="S45" s="74"/>
      <c r="T45" s="74"/>
      <c r="U45" s="74"/>
      <c r="V45" s="74"/>
    </row>
    <row r="46" ht="15.75" customHeight="1">
      <c r="A46" s="15"/>
      <c r="B46" s="58"/>
      <c r="C46" s="58"/>
      <c r="D46" s="164" t="s">
        <v>76</v>
      </c>
      <c r="E46" s="58"/>
      <c r="F46" s="58"/>
      <c r="G46" s="165"/>
      <c r="H46" s="58"/>
      <c r="I46" s="58"/>
      <c r="J46" s="58"/>
      <c r="K46" s="58"/>
      <c r="L46" s="58"/>
      <c r="M46" s="58"/>
      <c r="N46" s="58"/>
      <c r="O46" s="58"/>
      <c r="P46" s="58"/>
      <c r="Q46" s="74"/>
      <c r="R46" s="74"/>
      <c r="S46" s="74"/>
      <c r="T46" s="74"/>
      <c r="U46" s="74"/>
      <c r="V46" s="74"/>
    </row>
    <row r="47">
      <c r="A47" s="15"/>
      <c r="B47" s="148" t="s">
        <v>62</v>
      </c>
      <c r="C47" s="149" t="s">
        <v>63</v>
      </c>
      <c r="D47" s="150">
        <f t="shared" ref="D47:D48" si="47">sum(E47:P47)</f>
        <v>3</v>
      </c>
      <c r="E47" s="151"/>
      <c r="F47" s="151"/>
      <c r="G47" s="151">
        <v>1.0</v>
      </c>
      <c r="H47" s="151">
        <v>1.0</v>
      </c>
      <c r="I47" s="151"/>
      <c r="J47" s="151"/>
      <c r="K47" s="151">
        <v>1.0</v>
      </c>
      <c r="L47" s="151"/>
      <c r="M47" s="151"/>
      <c r="N47" s="151"/>
      <c r="O47" s="151"/>
      <c r="P47" s="151"/>
      <c r="Q47" s="74"/>
      <c r="R47" s="74"/>
      <c r="S47" s="74"/>
      <c r="T47" s="74"/>
      <c r="U47" s="74"/>
      <c r="V47" s="74"/>
    </row>
    <row r="48" ht="15.75" customHeight="1">
      <c r="A48" s="15"/>
      <c r="B48" s="153" t="s">
        <v>77</v>
      </c>
      <c r="C48" s="149" t="s">
        <v>68</v>
      </c>
      <c r="D48" s="150">
        <f t="shared" si="47"/>
        <v>6</v>
      </c>
      <c r="E48" s="154"/>
      <c r="F48" s="151"/>
      <c r="G48" s="151">
        <v>2.0</v>
      </c>
      <c r="H48" s="151">
        <v>2.0</v>
      </c>
      <c r="I48" s="151"/>
      <c r="J48" s="151"/>
      <c r="K48" s="151">
        <v>2.0</v>
      </c>
      <c r="L48" s="151"/>
      <c r="M48" s="151"/>
      <c r="N48" s="151"/>
      <c r="O48" s="151"/>
      <c r="P48" s="151"/>
      <c r="Q48" s="74"/>
      <c r="R48" s="74"/>
      <c r="S48" s="74"/>
      <c r="T48" s="74"/>
      <c r="U48" s="74"/>
      <c r="V48" s="74"/>
    </row>
    <row r="49" ht="15.75" customHeight="1">
      <c r="A49" s="15"/>
      <c r="B49" s="98"/>
      <c r="C49" s="155" t="s">
        <v>54</v>
      </c>
      <c r="D49" s="156">
        <f t="shared" ref="D49:P49" si="48">sum(D50:D55)</f>
        <v>126300</v>
      </c>
      <c r="E49" s="157">
        <f t="shared" si="48"/>
        <v>0</v>
      </c>
      <c r="F49" s="157">
        <f t="shared" si="48"/>
        <v>0</v>
      </c>
      <c r="G49" s="157">
        <f t="shared" si="48"/>
        <v>42100</v>
      </c>
      <c r="H49" s="157">
        <f t="shared" si="48"/>
        <v>42100</v>
      </c>
      <c r="I49" s="157">
        <f t="shared" si="48"/>
        <v>0</v>
      </c>
      <c r="J49" s="157">
        <f t="shared" si="48"/>
        <v>0</v>
      </c>
      <c r="K49" s="157">
        <f t="shared" si="48"/>
        <v>42100</v>
      </c>
      <c r="L49" s="157">
        <f t="shared" si="48"/>
        <v>0</v>
      </c>
      <c r="M49" s="157">
        <f t="shared" si="48"/>
        <v>0</v>
      </c>
      <c r="N49" s="157">
        <f t="shared" si="48"/>
        <v>0</v>
      </c>
      <c r="O49" s="157">
        <f t="shared" si="48"/>
        <v>0</v>
      </c>
      <c r="P49" s="157">
        <f t="shared" si="48"/>
        <v>0</v>
      </c>
      <c r="Q49" s="74"/>
      <c r="R49" s="74"/>
      <c r="S49" s="74"/>
      <c r="T49" s="74"/>
      <c r="U49" s="74"/>
      <c r="V49" s="74"/>
    </row>
    <row r="50" ht="15.75" customHeight="1">
      <c r="A50" s="15"/>
      <c r="B50" s="166" t="s">
        <v>78</v>
      </c>
      <c r="C50" s="128" t="s">
        <v>28</v>
      </c>
      <c r="D50" s="167">
        <f t="shared" ref="D50:D55" si="50">SUM(E50:P50)</f>
        <v>31500</v>
      </c>
      <c r="E50" s="130">
        <f t="shared" ref="E50:P50" si="49">E$3*E47*E48</f>
        <v>0</v>
      </c>
      <c r="F50" s="130">
        <f t="shared" si="49"/>
        <v>0</v>
      </c>
      <c r="G50" s="130">
        <f t="shared" si="49"/>
        <v>10500</v>
      </c>
      <c r="H50" s="130">
        <f t="shared" si="49"/>
        <v>10500</v>
      </c>
      <c r="I50" s="130">
        <f t="shared" si="49"/>
        <v>0</v>
      </c>
      <c r="J50" s="130">
        <f t="shared" si="49"/>
        <v>0</v>
      </c>
      <c r="K50" s="130">
        <f t="shared" si="49"/>
        <v>10500</v>
      </c>
      <c r="L50" s="130">
        <f t="shared" si="49"/>
        <v>0</v>
      </c>
      <c r="M50" s="130">
        <f t="shared" si="49"/>
        <v>0</v>
      </c>
      <c r="N50" s="130">
        <f t="shared" si="49"/>
        <v>0</v>
      </c>
      <c r="O50" s="130">
        <f t="shared" si="49"/>
        <v>0</v>
      </c>
      <c r="P50" s="130">
        <f t="shared" si="49"/>
        <v>0</v>
      </c>
      <c r="Q50" s="74"/>
      <c r="R50" s="133">
        <v>31500.0</v>
      </c>
      <c r="S50" s="133"/>
      <c r="T50" s="74"/>
      <c r="U50" s="74"/>
      <c r="V50" s="74"/>
    </row>
    <row r="51" ht="15.75" customHeight="1">
      <c r="A51" s="15"/>
      <c r="B51" s="79"/>
      <c r="C51" s="128" t="s">
        <v>36</v>
      </c>
      <c r="D51" s="167">
        <f t="shared" si="50"/>
        <v>9000</v>
      </c>
      <c r="E51" s="130">
        <f t="shared" ref="E51:P51" si="51">E$4*E47*E48</f>
        <v>0</v>
      </c>
      <c r="F51" s="130">
        <f t="shared" si="51"/>
        <v>0</v>
      </c>
      <c r="G51" s="130">
        <f t="shared" si="51"/>
        <v>3000</v>
      </c>
      <c r="H51" s="130">
        <f t="shared" si="51"/>
        <v>3000</v>
      </c>
      <c r="I51" s="130">
        <f t="shared" si="51"/>
        <v>0</v>
      </c>
      <c r="J51" s="130">
        <f t="shared" si="51"/>
        <v>0</v>
      </c>
      <c r="K51" s="130">
        <f t="shared" si="51"/>
        <v>3000</v>
      </c>
      <c r="L51" s="130">
        <f t="shared" si="51"/>
        <v>0</v>
      </c>
      <c r="M51" s="130">
        <f t="shared" si="51"/>
        <v>0</v>
      </c>
      <c r="N51" s="130">
        <f t="shared" si="51"/>
        <v>0</v>
      </c>
      <c r="O51" s="130">
        <f t="shared" si="51"/>
        <v>0</v>
      </c>
      <c r="P51" s="130">
        <f t="shared" si="51"/>
        <v>0</v>
      </c>
      <c r="Q51" s="74"/>
      <c r="R51" s="133">
        <v>9000.0</v>
      </c>
      <c r="S51" s="133"/>
      <c r="T51" s="74"/>
      <c r="U51" s="74"/>
      <c r="V51" s="74"/>
    </row>
    <row r="52" ht="15.75" customHeight="1">
      <c r="A52" s="15"/>
      <c r="B52" s="79"/>
      <c r="C52" s="128" t="s">
        <v>40</v>
      </c>
      <c r="D52" s="167">
        <f t="shared" si="50"/>
        <v>54000</v>
      </c>
      <c r="E52" s="130">
        <f t="shared" ref="E52:P52" si="52">E$5*E47</f>
        <v>0</v>
      </c>
      <c r="F52" s="130">
        <f t="shared" si="52"/>
        <v>0</v>
      </c>
      <c r="G52" s="130">
        <f t="shared" si="52"/>
        <v>18000</v>
      </c>
      <c r="H52" s="130">
        <f t="shared" si="52"/>
        <v>18000</v>
      </c>
      <c r="I52" s="130">
        <f t="shared" si="52"/>
        <v>0</v>
      </c>
      <c r="J52" s="130">
        <f t="shared" si="52"/>
        <v>0</v>
      </c>
      <c r="K52" s="130">
        <f t="shared" si="52"/>
        <v>18000</v>
      </c>
      <c r="L52" s="130">
        <f t="shared" si="52"/>
        <v>0</v>
      </c>
      <c r="M52" s="130">
        <f t="shared" si="52"/>
        <v>0</v>
      </c>
      <c r="N52" s="130">
        <f t="shared" si="52"/>
        <v>0</v>
      </c>
      <c r="O52" s="130">
        <f t="shared" si="52"/>
        <v>0</v>
      </c>
      <c r="P52" s="130">
        <f t="shared" si="52"/>
        <v>0</v>
      </c>
      <c r="Q52" s="74"/>
      <c r="R52" s="133">
        <v>54000.0</v>
      </c>
      <c r="S52" s="133"/>
      <c r="T52" s="74"/>
      <c r="U52" s="74"/>
      <c r="V52" s="74"/>
    </row>
    <row r="53" ht="15.75" customHeight="1">
      <c r="A53" s="15"/>
      <c r="B53" s="79"/>
      <c r="C53" s="128" t="s">
        <v>43</v>
      </c>
      <c r="D53" s="167">
        <f t="shared" si="50"/>
        <v>25200</v>
      </c>
      <c r="E53" s="130">
        <f t="shared" ref="E53:P53" si="53">E$6*E47*E48</f>
        <v>0</v>
      </c>
      <c r="F53" s="130">
        <f t="shared" si="53"/>
        <v>0</v>
      </c>
      <c r="G53" s="130">
        <f t="shared" si="53"/>
        <v>8400</v>
      </c>
      <c r="H53" s="130">
        <f t="shared" si="53"/>
        <v>8400</v>
      </c>
      <c r="I53" s="130">
        <f t="shared" si="53"/>
        <v>0</v>
      </c>
      <c r="J53" s="130">
        <f t="shared" si="53"/>
        <v>0</v>
      </c>
      <c r="K53" s="130">
        <f t="shared" si="53"/>
        <v>8400</v>
      </c>
      <c r="L53" s="130">
        <f t="shared" si="53"/>
        <v>0</v>
      </c>
      <c r="M53" s="130">
        <f t="shared" si="53"/>
        <v>0</v>
      </c>
      <c r="N53" s="130">
        <f t="shared" si="53"/>
        <v>0</v>
      </c>
      <c r="O53" s="130">
        <f t="shared" si="53"/>
        <v>0</v>
      </c>
      <c r="P53" s="130">
        <f t="shared" si="53"/>
        <v>0</v>
      </c>
      <c r="Q53" s="74"/>
      <c r="R53" s="133">
        <v>25200.0</v>
      </c>
      <c r="S53" s="133"/>
      <c r="T53" s="74"/>
      <c r="U53" s="74"/>
      <c r="V53" s="74"/>
    </row>
    <row r="54" ht="15.75" customHeight="1">
      <c r="A54" s="15"/>
      <c r="B54" s="79"/>
      <c r="C54" s="128" t="s">
        <v>48</v>
      </c>
      <c r="D54" s="167">
        <f t="shared" si="50"/>
        <v>4500</v>
      </c>
      <c r="E54" s="130">
        <f t="shared" ref="E54:P54" si="54">E$7*E47</f>
        <v>0</v>
      </c>
      <c r="F54" s="130">
        <f t="shared" si="54"/>
        <v>0</v>
      </c>
      <c r="G54" s="130">
        <f t="shared" si="54"/>
        <v>1500</v>
      </c>
      <c r="H54" s="130">
        <f t="shared" si="54"/>
        <v>1500</v>
      </c>
      <c r="I54" s="130">
        <f t="shared" si="54"/>
        <v>0</v>
      </c>
      <c r="J54" s="130">
        <f t="shared" si="54"/>
        <v>0</v>
      </c>
      <c r="K54" s="130">
        <f t="shared" si="54"/>
        <v>1500</v>
      </c>
      <c r="L54" s="130">
        <f t="shared" si="54"/>
        <v>0</v>
      </c>
      <c r="M54" s="130">
        <f t="shared" si="54"/>
        <v>0</v>
      </c>
      <c r="N54" s="130">
        <f t="shared" si="54"/>
        <v>0</v>
      </c>
      <c r="O54" s="130">
        <f t="shared" si="54"/>
        <v>0</v>
      </c>
      <c r="P54" s="130">
        <f t="shared" si="54"/>
        <v>0</v>
      </c>
      <c r="Q54" s="74"/>
      <c r="R54" s="133">
        <v>4500.0</v>
      </c>
      <c r="S54" s="133"/>
      <c r="T54" s="74"/>
      <c r="U54" s="74"/>
      <c r="V54" s="74"/>
    </row>
    <row r="55" ht="15.75" customHeight="1">
      <c r="A55" s="15"/>
      <c r="B55" s="98"/>
      <c r="C55" s="128" t="s">
        <v>53</v>
      </c>
      <c r="D55" s="167">
        <f t="shared" si="50"/>
        <v>2100</v>
      </c>
      <c r="E55" s="130">
        <f t="shared" ref="E55:P55" si="55">E$8*E47</f>
        <v>0</v>
      </c>
      <c r="F55" s="130">
        <f t="shared" si="55"/>
        <v>0</v>
      </c>
      <c r="G55" s="130">
        <f t="shared" si="55"/>
        <v>700</v>
      </c>
      <c r="H55" s="130">
        <f t="shared" si="55"/>
        <v>700</v>
      </c>
      <c r="I55" s="130">
        <f t="shared" si="55"/>
        <v>0</v>
      </c>
      <c r="J55" s="130">
        <f t="shared" si="55"/>
        <v>0</v>
      </c>
      <c r="K55" s="130">
        <f t="shared" si="55"/>
        <v>700</v>
      </c>
      <c r="L55" s="130">
        <f t="shared" si="55"/>
        <v>0</v>
      </c>
      <c r="M55" s="130">
        <f t="shared" si="55"/>
        <v>0</v>
      </c>
      <c r="N55" s="130">
        <f t="shared" si="55"/>
        <v>0</v>
      </c>
      <c r="O55" s="130">
        <f t="shared" si="55"/>
        <v>0</v>
      </c>
      <c r="P55" s="130">
        <f t="shared" si="55"/>
        <v>0</v>
      </c>
      <c r="Q55" s="74"/>
      <c r="R55" s="133">
        <v>2100.0</v>
      </c>
      <c r="S55" s="133"/>
      <c r="T55" s="74"/>
      <c r="U55" s="74"/>
      <c r="V55" s="74"/>
    </row>
    <row r="56" ht="15.75" customHeight="1">
      <c r="A56" s="15"/>
      <c r="B56" s="168"/>
      <c r="C56" s="169"/>
      <c r="D56" s="170"/>
      <c r="E56" s="171"/>
      <c r="F56" s="171"/>
      <c r="G56" s="171"/>
      <c r="H56" s="171"/>
      <c r="I56" s="171"/>
      <c r="J56" s="171"/>
      <c r="K56" s="171"/>
      <c r="L56" s="171"/>
      <c r="M56" s="171"/>
      <c r="N56" s="171"/>
      <c r="O56" s="171"/>
      <c r="P56" s="171"/>
      <c r="Q56" s="172"/>
      <c r="R56" s="172"/>
      <c r="S56" s="172"/>
      <c r="T56" s="172"/>
      <c r="U56" s="172"/>
      <c r="V56" s="172"/>
    </row>
    <row r="57" ht="15.75" customHeight="1">
      <c r="A57" s="15"/>
      <c r="B57" s="173"/>
      <c r="C57" s="174"/>
      <c r="D57" s="175"/>
      <c r="E57" s="176"/>
      <c r="F57" s="176"/>
      <c r="G57" s="176"/>
      <c r="H57" s="176"/>
      <c r="I57" s="176"/>
      <c r="J57" s="176"/>
      <c r="K57" s="176"/>
      <c r="L57" s="176"/>
      <c r="M57" s="176"/>
      <c r="N57" s="176"/>
      <c r="O57" s="176"/>
      <c r="P57" s="176"/>
      <c r="Q57" s="172"/>
      <c r="R57" s="172"/>
      <c r="S57" s="172"/>
      <c r="T57" s="172"/>
      <c r="U57" s="172"/>
      <c r="V57" s="172"/>
    </row>
    <row r="58" ht="15.75" customHeight="1">
      <c r="A58" s="15"/>
      <c r="B58" s="177" t="s">
        <v>62</v>
      </c>
      <c r="C58" s="149" t="s">
        <v>63</v>
      </c>
      <c r="D58" s="150">
        <f t="shared" ref="D58:D59" si="56">sum(E58:P58)</f>
        <v>0</v>
      </c>
      <c r="E58" s="151"/>
      <c r="F58" s="151"/>
      <c r="G58" s="151"/>
      <c r="H58" s="151"/>
      <c r="I58" s="151"/>
      <c r="J58" s="151"/>
      <c r="K58" s="151"/>
      <c r="L58" s="151"/>
      <c r="M58" s="151"/>
      <c r="N58" s="151"/>
      <c r="O58" s="151"/>
      <c r="P58" s="151"/>
      <c r="Q58" s="152"/>
      <c r="R58" s="74"/>
      <c r="S58" s="74"/>
      <c r="T58" s="74"/>
      <c r="U58" s="74"/>
      <c r="V58" s="74"/>
    </row>
    <row r="59" ht="15.75" customHeight="1">
      <c r="A59" s="15"/>
      <c r="B59" s="153" t="s">
        <v>79</v>
      </c>
      <c r="C59" s="149" t="s">
        <v>68</v>
      </c>
      <c r="D59" s="150">
        <f t="shared" si="56"/>
        <v>0</v>
      </c>
      <c r="E59" s="154"/>
      <c r="F59" s="151"/>
      <c r="G59" s="151"/>
      <c r="H59" s="151"/>
      <c r="I59" s="151"/>
      <c r="J59" s="151"/>
      <c r="K59" s="151"/>
      <c r="L59" s="151"/>
      <c r="M59" s="151"/>
      <c r="N59" s="151"/>
      <c r="O59" s="151"/>
      <c r="P59" s="151"/>
      <c r="Q59" s="152"/>
      <c r="R59" s="74"/>
      <c r="S59" s="74"/>
      <c r="T59" s="74"/>
      <c r="U59" s="74"/>
      <c r="V59" s="74"/>
    </row>
    <row r="60" ht="15.75" customHeight="1">
      <c r="A60" s="15"/>
      <c r="B60" s="98"/>
      <c r="C60" s="155" t="s">
        <v>54</v>
      </c>
      <c r="D60" s="156">
        <f t="shared" ref="D60:P60" si="57">sum(D61:D66)</f>
        <v>0</v>
      </c>
      <c r="E60" s="157">
        <f t="shared" si="57"/>
        <v>0</v>
      </c>
      <c r="F60" s="157">
        <f t="shared" si="57"/>
        <v>0</v>
      </c>
      <c r="G60" s="157">
        <f t="shared" si="57"/>
        <v>0</v>
      </c>
      <c r="H60" s="157">
        <f t="shared" si="57"/>
        <v>0</v>
      </c>
      <c r="I60" s="157">
        <f t="shared" si="57"/>
        <v>0</v>
      </c>
      <c r="J60" s="157">
        <f t="shared" si="57"/>
        <v>0</v>
      </c>
      <c r="K60" s="157">
        <f t="shared" si="57"/>
        <v>0</v>
      </c>
      <c r="L60" s="157">
        <f t="shared" si="57"/>
        <v>0</v>
      </c>
      <c r="M60" s="157">
        <f t="shared" si="57"/>
        <v>0</v>
      </c>
      <c r="N60" s="157">
        <f t="shared" si="57"/>
        <v>0</v>
      </c>
      <c r="O60" s="157">
        <f t="shared" si="57"/>
        <v>0</v>
      </c>
      <c r="P60" s="157">
        <f t="shared" si="57"/>
        <v>0</v>
      </c>
      <c r="Q60" s="74"/>
      <c r="R60" s="74"/>
      <c r="S60" s="74"/>
      <c r="T60" s="74"/>
      <c r="U60" s="74"/>
      <c r="V60" s="74"/>
    </row>
    <row r="61" ht="15.75" customHeight="1">
      <c r="A61" s="15"/>
      <c r="B61" s="178" t="s">
        <v>80</v>
      </c>
      <c r="C61" s="179" t="s">
        <v>28</v>
      </c>
      <c r="D61" s="180">
        <f t="shared" ref="D61:D66" si="59">SUM(E61:P61)</f>
        <v>0</v>
      </c>
      <c r="E61" s="130">
        <f t="shared" ref="E61:P61" si="58">E$3*E58*E59</f>
        <v>0</v>
      </c>
      <c r="F61" s="130">
        <f t="shared" si="58"/>
        <v>0</v>
      </c>
      <c r="G61" s="130">
        <f t="shared" si="58"/>
        <v>0</v>
      </c>
      <c r="H61" s="130">
        <f t="shared" si="58"/>
        <v>0</v>
      </c>
      <c r="I61" s="130">
        <f t="shared" si="58"/>
        <v>0</v>
      </c>
      <c r="J61" s="130">
        <f t="shared" si="58"/>
        <v>0</v>
      </c>
      <c r="K61" s="130">
        <f t="shared" si="58"/>
        <v>0</v>
      </c>
      <c r="L61" s="130">
        <f t="shared" si="58"/>
        <v>0</v>
      </c>
      <c r="M61" s="130">
        <f t="shared" si="58"/>
        <v>0</v>
      </c>
      <c r="N61" s="130">
        <f t="shared" si="58"/>
        <v>0</v>
      </c>
      <c r="O61" s="130">
        <f t="shared" si="58"/>
        <v>0</v>
      </c>
      <c r="P61" s="130">
        <f t="shared" si="58"/>
        <v>0</v>
      </c>
      <c r="Q61" s="74"/>
      <c r="R61" s="133">
        <v>0.0</v>
      </c>
      <c r="S61" s="133"/>
      <c r="T61" s="74"/>
      <c r="U61" s="74"/>
      <c r="V61" s="74"/>
    </row>
    <row r="62" ht="15.75" customHeight="1">
      <c r="A62" s="15"/>
      <c r="B62" s="79"/>
      <c r="C62" s="179" t="s">
        <v>36</v>
      </c>
      <c r="D62" s="180">
        <f t="shared" si="59"/>
        <v>0</v>
      </c>
      <c r="E62" s="130">
        <f t="shared" ref="E62:P62" si="60">E$4*E58*E59</f>
        <v>0</v>
      </c>
      <c r="F62" s="130">
        <f t="shared" si="60"/>
        <v>0</v>
      </c>
      <c r="G62" s="130">
        <f t="shared" si="60"/>
        <v>0</v>
      </c>
      <c r="H62" s="130">
        <f t="shared" si="60"/>
        <v>0</v>
      </c>
      <c r="I62" s="130">
        <f t="shared" si="60"/>
        <v>0</v>
      </c>
      <c r="J62" s="130">
        <f t="shared" si="60"/>
        <v>0</v>
      </c>
      <c r="K62" s="130">
        <f t="shared" si="60"/>
        <v>0</v>
      </c>
      <c r="L62" s="130">
        <f t="shared" si="60"/>
        <v>0</v>
      </c>
      <c r="M62" s="130">
        <f t="shared" si="60"/>
        <v>0</v>
      </c>
      <c r="N62" s="130">
        <f t="shared" si="60"/>
        <v>0</v>
      </c>
      <c r="O62" s="130">
        <f t="shared" si="60"/>
        <v>0</v>
      </c>
      <c r="P62" s="130">
        <f t="shared" si="60"/>
        <v>0</v>
      </c>
      <c r="Q62" s="74"/>
      <c r="R62" s="133">
        <v>0.0</v>
      </c>
      <c r="S62" s="133"/>
      <c r="T62" s="74"/>
      <c r="U62" s="74"/>
      <c r="V62" s="74"/>
    </row>
    <row r="63" ht="15.75" customHeight="1">
      <c r="A63" s="15"/>
      <c r="B63" s="79"/>
      <c r="C63" s="179" t="s">
        <v>40</v>
      </c>
      <c r="D63" s="180">
        <f t="shared" si="59"/>
        <v>0</v>
      </c>
      <c r="E63" s="130">
        <f t="shared" ref="E63:P63" si="61">E$5*E58</f>
        <v>0</v>
      </c>
      <c r="F63" s="130">
        <f t="shared" si="61"/>
        <v>0</v>
      </c>
      <c r="G63" s="130">
        <f t="shared" si="61"/>
        <v>0</v>
      </c>
      <c r="H63" s="130">
        <f t="shared" si="61"/>
        <v>0</v>
      </c>
      <c r="I63" s="130">
        <f t="shared" si="61"/>
        <v>0</v>
      </c>
      <c r="J63" s="130">
        <f t="shared" si="61"/>
        <v>0</v>
      </c>
      <c r="K63" s="130">
        <f t="shared" si="61"/>
        <v>0</v>
      </c>
      <c r="L63" s="130">
        <f t="shared" si="61"/>
        <v>0</v>
      </c>
      <c r="M63" s="130">
        <f t="shared" si="61"/>
        <v>0</v>
      </c>
      <c r="N63" s="130">
        <f t="shared" si="61"/>
        <v>0</v>
      </c>
      <c r="O63" s="130">
        <f t="shared" si="61"/>
        <v>0</v>
      </c>
      <c r="P63" s="130">
        <f t="shared" si="61"/>
        <v>0</v>
      </c>
      <c r="Q63" s="74"/>
      <c r="R63" s="133">
        <v>0.0</v>
      </c>
      <c r="S63" s="133"/>
      <c r="T63" s="74"/>
      <c r="U63" s="74"/>
      <c r="V63" s="74"/>
    </row>
    <row r="64" ht="15.75" customHeight="1">
      <c r="A64" s="15"/>
      <c r="B64" s="79"/>
      <c r="C64" s="179" t="s">
        <v>43</v>
      </c>
      <c r="D64" s="180">
        <f t="shared" si="59"/>
        <v>0</v>
      </c>
      <c r="E64" s="130">
        <f t="shared" ref="E64:P64" si="62">E$6*E58*E59</f>
        <v>0</v>
      </c>
      <c r="F64" s="130">
        <f t="shared" si="62"/>
        <v>0</v>
      </c>
      <c r="G64" s="130">
        <f t="shared" si="62"/>
        <v>0</v>
      </c>
      <c r="H64" s="130">
        <f t="shared" si="62"/>
        <v>0</v>
      </c>
      <c r="I64" s="130">
        <f t="shared" si="62"/>
        <v>0</v>
      </c>
      <c r="J64" s="130">
        <f t="shared" si="62"/>
        <v>0</v>
      </c>
      <c r="K64" s="130">
        <f t="shared" si="62"/>
        <v>0</v>
      </c>
      <c r="L64" s="130">
        <f t="shared" si="62"/>
        <v>0</v>
      </c>
      <c r="M64" s="130">
        <f t="shared" si="62"/>
        <v>0</v>
      </c>
      <c r="N64" s="130">
        <f t="shared" si="62"/>
        <v>0</v>
      </c>
      <c r="O64" s="130">
        <f t="shared" si="62"/>
        <v>0</v>
      </c>
      <c r="P64" s="130">
        <f t="shared" si="62"/>
        <v>0</v>
      </c>
      <c r="Q64" s="74"/>
      <c r="R64" s="133">
        <v>0.0</v>
      </c>
      <c r="S64" s="133"/>
      <c r="T64" s="74"/>
      <c r="U64" s="74"/>
      <c r="V64" s="74"/>
    </row>
    <row r="65" ht="15.75" customHeight="1">
      <c r="A65" s="15"/>
      <c r="B65" s="79"/>
      <c r="C65" s="179" t="s">
        <v>48</v>
      </c>
      <c r="D65" s="180">
        <f t="shared" si="59"/>
        <v>0</v>
      </c>
      <c r="E65" s="130">
        <f t="shared" ref="E65:P65" si="63">E$7*E58</f>
        <v>0</v>
      </c>
      <c r="F65" s="130">
        <f t="shared" si="63"/>
        <v>0</v>
      </c>
      <c r="G65" s="130">
        <f t="shared" si="63"/>
        <v>0</v>
      </c>
      <c r="H65" s="130">
        <f t="shared" si="63"/>
        <v>0</v>
      </c>
      <c r="I65" s="130">
        <f t="shared" si="63"/>
        <v>0</v>
      </c>
      <c r="J65" s="130">
        <f t="shared" si="63"/>
        <v>0</v>
      </c>
      <c r="K65" s="130">
        <f t="shared" si="63"/>
        <v>0</v>
      </c>
      <c r="L65" s="130">
        <f t="shared" si="63"/>
        <v>0</v>
      </c>
      <c r="M65" s="130">
        <f t="shared" si="63"/>
        <v>0</v>
      </c>
      <c r="N65" s="130">
        <f t="shared" si="63"/>
        <v>0</v>
      </c>
      <c r="O65" s="130">
        <f t="shared" si="63"/>
        <v>0</v>
      </c>
      <c r="P65" s="130">
        <f t="shared" si="63"/>
        <v>0</v>
      </c>
      <c r="Q65" s="74"/>
      <c r="R65" s="133">
        <v>0.0</v>
      </c>
      <c r="S65" s="133"/>
      <c r="T65" s="74"/>
      <c r="U65" s="74"/>
      <c r="V65" s="74"/>
    </row>
    <row r="66" ht="15.75" customHeight="1">
      <c r="A66" s="15"/>
      <c r="B66" s="98"/>
      <c r="C66" s="179" t="s">
        <v>53</v>
      </c>
      <c r="D66" s="180">
        <f t="shared" si="59"/>
        <v>0</v>
      </c>
      <c r="E66" s="130">
        <f t="shared" ref="E66:P66" si="64">E$8*E58</f>
        <v>0</v>
      </c>
      <c r="F66" s="130">
        <f t="shared" si="64"/>
        <v>0</v>
      </c>
      <c r="G66" s="130">
        <f t="shared" si="64"/>
        <v>0</v>
      </c>
      <c r="H66" s="130">
        <f t="shared" si="64"/>
        <v>0</v>
      </c>
      <c r="I66" s="130">
        <f t="shared" si="64"/>
        <v>0</v>
      </c>
      <c r="J66" s="130">
        <f t="shared" si="64"/>
        <v>0</v>
      </c>
      <c r="K66" s="130">
        <f t="shared" si="64"/>
        <v>0</v>
      </c>
      <c r="L66" s="130">
        <f t="shared" si="64"/>
        <v>0</v>
      </c>
      <c r="M66" s="130">
        <f t="shared" si="64"/>
        <v>0</v>
      </c>
      <c r="N66" s="130">
        <f t="shared" si="64"/>
        <v>0</v>
      </c>
      <c r="O66" s="130">
        <f t="shared" si="64"/>
        <v>0</v>
      </c>
      <c r="P66" s="130">
        <f t="shared" si="64"/>
        <v>0</v>
      </c>
      <c r="Q66" s="74"/>
      <c r="R66" s="133">
        <v>0.0</v>
      </c>
      <c r="S66" s="133"/>
      <c r="T66" s="74"/>
      <c r="U66" s="74"/>
      <c r="V66" s="74"/>
    </row>
    <row r="67" ht="15.75" customHeight="1">
      <c r="A67" s="15"/>
      <c r="B67" s="58"/>
      <c r="C67" s="58"/>
      <c r="D67" s="147"/>
      <c r="E67" s="58"/>
      <c r="F67" s="58"/>
      <c r="G67" s="58"/>
      <c r="H67" s="58"/>
      <c r="I67" s="58"/>
      <c r="J67" s="58"/>
      <c r="K67" s="58"/>
      <c r="L67" s="58"/>
      <c r="M67" s="58"/>
      <c r="N67" s="58"/>
      <c r="O67" s="58"/>
      <c r="P67" s="58"/>
      <c r="Q67" s="58"/>
      <c r="R67" s="58"/>
      <c r="S67" s="58"/>
      <c r="T67" s="58"/>
      <c r="U67" s="58"/>
      <c r="V67" s="58"/>
    </row>
    <row r="68" ht="15.75" customHeight="1">
      <c r="A68" s="15"/>
      <c r="B68" s="165" t="s">
        <v>81</v>
      </c>
      <c r="C68" s="58"/>
      <c r="D68" s="147"/>
      <c r="E68" s="58"/>
      <c r="F68" s="58"/>
      <c r="G68" s="58"/>
      <c r="H68" s="58"/>
      <c r="I68" s="58"/>
      <c r="J68" s="58"/>
      <c r="K68" s="58"/>
      <c r="L68" s="58"/>
      <c r="M68" s="58"/>
      <c r="N68" s="58"/>
      <c r="O68" s="58"/>
      <c r="P68" s="58"/>
      <c r="Q68" s="58"/>
      <c r="R68" s="58"/>
      <c r="S68" s="58"/>
      <c r="T68" s="58"/>
      <c r="U68" s="58"/>
      <c r="V68" s="58"/>
    </row>
    <row r="69">
      <c r="A69" s="110"/>
      <c r="B69" s="181" t="s">
        <v>62</v>
      </c>
      <c r="C69" s="112" t="s">
        <v>63</v>
      </c>
      <c r="D69" s="113">
        <f t="shared" ref="D69:D70" si="65">sum(E69:P69)</f>
        <v>0</v>
      </c>
      <c r="E69" s="115"/>
      <c r="F69" s="115"/>
      <c r="G69" s="115"/>
      <c r="H69" s="115"/>
      <c r="I69" s="115"/>
      <c r="J69" s="115"/>
      <c r="K69" s="115"/>
      <c r="L69" s="115"/>
      <c r="M69" s="115"/>
      <c r="N69" s="115"/>
      <c r="O69" s="115"/>
      <c r="P69" s="115"/>
      <c r="Q69" s="118"/>
      <c r="R69" s="118"/>
      <c r="S69" s="118"/>
      <c r="T69" s="118"/>
      <c r="U69" s="118"/>
      <c r="V69" s="118"/>
    </row>
    <row r="70" ht="15.75" customHeight="1">
      <c r="A70" s="110"/>
      <c r="B70" s="182" t="s">
        <v>82</v>
      </c>
      <c r="C70" s="112" t="s">
        <v>68</v>
      </c>
      <c r="D70" s="113">
        <f t="shared" si="65"/>
        <v>0</v>
      </c>
      <c r="E70" s="121"/>
      <c r="F70" s="115"/>
      <c r="G70" s="115"/>
      <c r="H70" s="115"/>
      <c r="I70" s="115"/>
      <c r="J70" s="115"/>
      <c r="K70" s="115"/>
      <c r="L70" s="115"/>
      <c r="M70" s="115"/>
      <c r="N70" s="115"/>
      <c r="O70" s="115"/>
      <c r="P70" s="115"/>
      <c r="Q70" s="118"/>
      <c r="R70" s="118"/>
      <c r="S70" s="118"/>
      <c r="T70" s="118"/>
      <c r="U70" s="118"/>
      <c r="V70" s="118"/>
    </row>
    <row r="71" ht="15.75" customHeight="1">
      <c r="A71" s="110"/>
      <c r="B71" s="98"/>
      <c r="C71" s="123" t="s">
        <v>54</v>
      </c>
      <c r="D71" s="124">
        <f t="shared" ref="D71:P71" si="66">sum(D72:D77)</f>
        <v>0</v>
      </c>
      <c r="E71" s="126">
        <f t="shared" si="66"/>
        <v>0</v>
      </c>
      <c r="F71" s="126">
        <f t="shared" si="66"/>
        <v>0</v>
      </c>
      <c r="G71" s="126">
        <f t="shared" si="66"/>
        <v>0</v>
      </c>
      <c r="H71" s="126">
        <f t="shared" si="66"/>
        <v>0</v>
      </c>
      <c r="I71" s="126">
        <f t="shared" si="66"/>
        <v>0</v>
      </c>
      <c r="J71" s="126">
        <f t="shared" si="66"/>
        <v>0</v>
      </c>
      <c r="K71" s="126">
        <f t="shared" si="66"/>
        <v>0</v>
      </c>
      <c r="L71" s="126">
        <f t="shared" si="66"/>
        <v>0</v>
      </c>
      <c r="M71" s="126">
        <f t="shared" si="66"/>
        <v>0</v>
      </c>
      <c r="N71" s="126">
        <f t="shared" si="66"/>
        <v>0</v>
      </c>
      <c r="O71" s="126">
        <f t="shared" si="66"/>
        <v>0</v>
      </c>
      <c r="P71" s="126">
        <f t="shared" si="66"/>
        <v>0</v>
      </c>
      <c r="Q71" s="118"/>
      <c r="R71" s="118"/>
      <c r="S71" s="118"/>
      <c r="T71" s="118"/>
      <c r="U71" s="118"/>
      <c r="V71" s="118"/>
    </row>
    <row r="72" ht="15.75" customHeight="1">
      <c r="A72" s="15"/>
      <c r="B72" s="183" t="s">
        <v>83</v>
      </c>
      <c r="C72" s="128" t="s">
        <v>28</v>
      </c>
      <c r="D72" s="167">
        <f t="shared" ref="D72:D77" si="68">SUM(E72:P72)</f>
        <v>0</v>
      </c>
      <c r="E72" s="130">
        <f t="shared" ref="E72:P72" si="67">E$3*E69*E70</f>
        <v>0</v>
      </c>
      <c r="F72" s="130">
        <f t="shared" si="67"/>
        <v>0</v>
      </c>
      <c r="G72" s="130">
        <f t="shared" si="67"/>
        <v>0</v>
      </c>
      <c r="H72" s="130">
        <f t="shared" si="67"/>
        <v>0</v>
      </c>
      <c r="I72" s="130">
        <f t="shared" si="67"/>
        <v>0</v>
      </c>
      <c r="J72" s="130">
        <f t="shared" si="67"/>
        <v>0</v>
      </c>
      <c r="K72" s="130">
        <f t="shared" si="67"/>
        <v>0</v>
      </c>
      <c r="L72" s="130">
        <f t="shared" si="67"/>
        <v>0</v>
      </c>
      <c r="M72" s="130">
        <f t="shared" si="67"/>
        <v>0</v>
      </c>
      <c r="N72" s="130">
        <f t="shared" si="67"/>
        <v>0</v>
      </c>
      <c r="O72" s="130">
        <f t="shared" si="67"/>
        <v>0</v>
      </c>
      <c r="P72" s="130">
        <f t="shared" si="67"/>
        <v>0</v>
      </c>
      <c r="Q72" s="74"/>
      <c r="R72" s="133">
        <v>0.0</v>
      </c>
      <c r="S72" s="133">
        <v>0.0</v>
      </c>
      <c r="T72" s="74"/>
      <c r="U72" s="74"/>
      <c r="V72" s="74"/>
    </row>
    <row r="73" ht="15.75" customHeight="1">
      <c r="A73" s="15"/>
      <c r="B73" s="79"/>
      <c r="C73" s="128" t="s">
        <v>36</v>
      </c>
      <c r="D73" s="167">
        <f t="shared" si="68"/>
        <v>0</v>
      </c>
      <c r="E73" s="130">
        <f t="shared" ref="E73:P73" si="69">E$4*E69*E70</f>
        <v>0</v>
      </c>
      <c r="F73" s="130">
        <f t="shared" si="69"/>
        <v>0</v>
      </c>
      <c r="G73" s="130">
        <f t="shared" si="69"/>
        <v>0</v>
      </c>
      <c r="H73" s="130">
        <f t="shared" si="69"/>
        <v>0</v>
      </c>
      <c r="I73" s="130">
        <f t="shared" si="69"/>
        <v>0</v>
      </c>
      <c r="J73" s="130">
        <f t="shared" si="69"/>
        <v>0</v>
      </c>
      <c r="K73" s="130">
        <f t="shared" si="69"/>
        <v>0</v>
      </c>
      <c r="L73" s="130">
        <f t="shared" si="69"/>
        <v>0</v>
      </c>
      <c r="M73" s="130">
        <f t="shared" si="69"/>
        <v>0</v>
      </c>
      <c r="N73" s="130">
        <f t="shared" si="69"/>
        <v>0</v>
      </c>
      <c r="O73" s="130">
        <f t="shared" si="69"/>
        <v>0</v>
      </c>
      <c r="P73" s="130">
        <f t="shared" si="69"/>
        <v>0</v>
      </c>
      <c r="Q73" s="74"/>
      <c r="R73" s="133">
        <v>0.0</v>
      </c>
      <c r="S73" s="133">
        <v>0.0</v>
      </c>
      <c r="T73" s="74"/>
      <c r="U73" s="74"/>
      <c r="V73" s="74"/>
    </row>
    <row r="74" ht="15.75" customHeight="1">
      <c r="A74" s="15"/>
      <c r="B74" s="79"/>
      <c r="C74" s="128" t="s">
        <v>40</v>
      </c>
      <c r="D74" s="167">
        <f t="shared" si="68"/>
        <v>0</v>
      </c>
      <c r="E74" s="130">
        <f t="shared" ref="E74:P74" si="70">E$5*E69</f>
        <v>0</v>
      </c>
      <c r="F74" s="130">
        <f t="shared" si="70"/>
        <v>0</v>
      </c>
      <c r="G74" s="130">
        <f t="shared" si="70"/>
        <v>0</v>
      </c>
      <c r="H74" s="130">
        <f t="shared" si="70"/>
        <v>0</v>
      </c>
      <c r="I74" s="130">
        <f t="shared" si="70"/>
        <v>0</v>
      </c>
      <c r="J74" s="130">
        <f t="shared" si="70"/>
        <v>0</v>
      </c>
      <c r="K74" s="130">
        <f t="shared" si="70"/>
        <v>0</v>
      </c>
      <c r="L74" s="130">
        <f t="shared" si="70"/>
        <v>0</v>
      </c>
      <c r="M74" s="130">
        <f t="shared" si="70"/>
        <v>0</v>
      </c>
      <c r="N74" s="130">
        <f t="shared" si="70"/>
        <v>0</v>
      </c>
      <c r="O74" s="130">
        <f t="shared" si="70"/>
        <v>0</v>
      </c>
      <c r="P74" s="130">
        <f t="shared" si="70"/>
        <v>0</v>
      </c>
      <c r="Q74" s="74"/>
      <c r="R74" s="133">
        <v>0.0</v>
      </c>
      <c r="S74" s="133">
        <v>0.0</v>
      </c>
      <c r="T74" s="74"/>
      <c r="U74" s="74"/>
      <c r="V74" s="74"/>
    </row>
    <row r="75" ht="15.75" customHeight="1">
      <c r="A75" s="15"/>
      <c r="B75" s="79"/>
      <c r="C75" s="128" t="s">
        <v>43</v>
      </c>
      <c r="D75" s="167">
        <f t="shared" si="68"/>
        <v>0</v>
      </c>
      <c r="E75" s="130">
        <f t="shared" ref="E75:P75" si="71">E$6*E69*E70</f>
        <v>0</v>
      </c>
      <c r="F75" s="130">
        <f t="shared" si="71"/>
        <v>0</v>
      </c>
      <c r="G75" s="130">
        <f t="shared" si="71"/>
        <v>0</v>
      </c>
      <c r="H75" s="130">
        <f t="shared" si="71"/>
        <v>0</v>
      </c>
      <c r="I75" s="130">
        <f t="shared" si="71"/>
        <v>0</v>
      </c>
      <c r="J75" s="130">
        <f t="shared" si="71"/>
        <v>0</v>
      </c>
      <c r="K75" s="130">
        <f t="shared" si="71"/>
        <v>0</v>
      </c>
      <c r="L75" s="130">
        <f t="shared" si="71"/>
        <v>0</v>
      </c>
      <c r="M75" s="130">
        <f t="shared" si="71"/>
        <v>0</v>
      </c>
      <c r="N75" s="130">
        <f t="shared" si="71"/>
        <v>0</v>
      </c>
      <c r="O75" s="130">
        <f t="shared" si="71"/>
        <v>0</v>
      </c>
      <c r="P75" s="130">
        <f t="shared" si="71"/>
        <v>0</v>
      </c>
      <c r="Q75" s="74"/>
      <c r="R75" s="133">
        <v>0.0</v>
      </c>
      <c r="S75" s="133">
        <v>0.0</v>
      </c>
      <c r="T75" s="74"/>
      <c r="U75" s="74"/>
      <c r="V75" s="74"/>
    </row>
    <row r="76" ht="15.75" customHeight="1">
      <c r="A76" s="15"/>
      <c r="B76" s="79"/>
      <c r="C76" s="128" t="s">
        <v>48</v>
      </c>
      <c r="D76" s="167">
        <f t="shared" si="68"/>
        <v>0</v>
      </c>
      <c r="E76" s="130">
        <f t="shared" ref="E76:P76" si="72">E$7*E69</f>
        <v>0</v>
      </c>
      <c r="F76" s="130">
        <f t="shared" si="72"/>
        <v>0</v>
      </c>
      <c r="G76" s="130">
        <f t="shared" si="72"/>
        <v>0</v>
      </c>
      <c r="H76" s="130">
        <f t="shared" si="72"/>
        <v>0</v>
      </c>
      <c r="I76" s="130">
        <f t="shared" si="72"/>
        <v>0</v>
      </c>
      <c r="J76" s="130">
        <f t="shared" si="72"/>
        <v>0</v>
      </c>
      <c r="K76" s="130">
        <f t="shared" si="72"/>
        <v>0</v>
      </c>
      <c r="L76" s="130">
        <f t="shared" si="72"/>
        <v>0</v>
      </c>
      <c r="M76" s="130">
        <f t="shared" si="72"/>
        <v>0</v>
      </c>
      <c r="N76" s="130">
        <f t="shared" si="72"/>
        <v>0</v>
      </c>
      <c r="O76" s="130">
        <f t="shared" si="72"/>
        <v>0</v>
      </c>
      <c r="P76" s="130">
        <f t="shared" si="72"/>
        <v>0</v>
      </c>
      <c r="Q76" s="74"/>
      <c r="R76" s="133">
        <v>0.0</v>
      </c>
      <c r="S76" s="133">
        <v>0.0</v>
      </c>
      <c r="T76" s="74"/>
      <c r="U76" s="74"/>
      <c r="V76" s="74"/>
    </row>
    <row r="77" ht="15.75" customHeight="1">
      <c r="A77" s="15"/>
      <c r="B77" s="98"/>
      <c r="C77" s="128" t="s">
        <v>53</v>
      </c>
      <c r="D77" s="167">
        <f t="shared" si="68"/>
        <v>0</v>
      </c>
      <c r="E77" s="130">
        <f t="shared" ref="E77:P77" si="73">E$8*E69</f>
        <v>0</v>
      </c>
      <c r="F77" s="130">
        <f t="shared" si="73"/>
        <v>0</v>
      </c>
      <c r="G77" s="130">
        <f t="shared" si="73"/>
        <v>0</v>
      </c>
      <c r="H77" s="130">
        <f t="shared" si="73"/>
        <v>0</v>
      </c>
      <c r="I77" s="130">
        <f t="shared" si="73"/>
        <v>0</v>
      </c>
      <c r="J77" s="130">
        <f t="shared" si="73"/>
        <v>0</v>
      </c>
      <c r="K77" s="130">
        <f t="shared" si="73"/>
        <v>0</v>
      </c>
      <c r="L77" s="130">
        <f t="shared" si="73"/>
        <v>0</v>
      </c>
      <c r="M77" s="130">
        <f t="shared" si="73"/>
        <v>0</v>
      </c>
      <c r="N77" s="130">
        <f t="shared" si="73"/>
        <v>0</v>
      </c>
      <c r="O77" s="130">
        <f t="shared" si="73"/>
        <v>0</v>
      </c>
      <c r="P77" s="130">
        <f t="shared" si="73"/>
        <v>0</v>
      </c>
      <c r="Q77" s="74"/>
      <c r="R77" s="133">
        <v>0.0</v>
      </c>
      <c r="S77" s="133">
        <v>0.0</v>
      </c>
      <c r="T77" s="74"/>
      <c r="U77" s="74"/>
      <c r="V77" s="74"/>
    </row>
    <row r="78" ht="15.75" customHeight="1">
      <c r="A78" s="15"/>
      <c r="B78" s="168"/>
      <c r="C78" s="169"/>
      <c r="D78" s="170"/>
      <c r="E78" s="171"/>
      <c r="F78" s="171"/>
      <c r="G78" s="171"/>
      <c r="H78" s="171"/>
      <c r="I78" s="171"/>
      <c r="J78" s="171"/>
      <c r="K78" s="171"/>
      <c r="L78" s="171"/>
      <c r="M78" s="171"/>
      <c r="N78" s="171"/>
      <c r="O78" s="171"/>
      <c r="P78" s="171"/>
      <c r="Q78" s="172"/>
      <c r="R78" s="172"/>
      <c r="S78" s="172"/>
      <c r="T78" s="172"/>
      <c r="U78" s="172"/>
      <c r="V78" s="172"/>
    </row>
    <row r="79" ht="15.75" customHeight="1">
      <c r="A79" s="15"/>
      <c r="B79" s="173"/>
      <c r="C79" s="174"/>
      <c r="D79" s="175"/>
      <c r="E79" s="176"/>
      <c r="F79" s="176"/>
      <c r="G79" s="176"/>
      <c r="H79" s="176"/>
      <c r="I79" s="176"/>
      <c r="J79" s="176"/>
      <c r="K79" s="176"/>
      <c r="L79" s="176"/>
      <c r="M79" s="176"/>
      <c r="N79" s="176"/>
      <c r="O79" s="176"/>
      <c r="P79" s="176"/>
      <c r="Q79" s="172"/>
      <c r="R79" s="172"/>
      <c r="S79" s="172"/>
      <c r="T79" s="172"/>
      <c r="U79" s="172"/>
      <c r="V79" s="172"/>
    </row>
    <row r="80" ht="15.75" customHeight="1">
      <c r="A80" s="15"/>
      <c r="B80" s="177" t="s">
        <v>62</v>
      </c>
      <c r="C80" s="149" t="s">
        <v>63</v>
      </c>
      <c r="D80" s="150">
        <f t="shared" ref="D80:D81" si="74">sum(E80:P80)</f>
        <v>2</v>
      </c>
      <c r="E80" s="151"/>
      <c r="F80" s="151"/>
      <c r="G80" s="151"/>
      <c r="H80" s="151"/>
      <c r="I80" s="151">
        <v>1.0</v>
      </c>
      <c r="J80" s="151"/>
      <c r="K80" s="151"/>
      <c r="L80" s="151">
        <v>1.0</v>
      </c>
      <c r="M80" s="151"/>
      <c r="N80" s="151"/>
      <c r="O80" s="151"/>
      <c r="P80" s="151"/>
      <c r="Q80" s="152"/>
      <c r="R80" s="74"/>
      <c r="S80" s="74"/>
      <c r="T80" s="74"/>
      <c r="U80" s="74"/>
      <c r="V80" s="74"/>
    </row>
    <row r="81" ht="15.75" customHeight="1">
      <c r="A81" s="15"/>
      <c r="B81" s="153" t="s">
        <v>84</v>
      </c>
      <c r="C81" s="149" t="s">
        <v>68</v>
      </c>
      <c r="D81" s="150">
        <f t="shared" si="74"/>
        <v>4</v>
      </c>
      <c r="E81" s="154"/>
      <c r="F81" s="151"/>
      <c r="G81" s="151"/>
      <c r="H81" s="151"/>
      <c r="I81" s="151">
        <v>2.0</v>
      </c>
      <c r="J81" s="151"/>
      <c r="K81" s="151"/>
      <c r="L81" s="151">
        <v>2.0</v>
      </c>
      <c r="M81" s="151"/>
      <c r="N81" s="151"/>
      <c r="O81" s="151"/>
      <c r="P81" s="151"/>
      <c r="Q81" s="152"/>
      <c r="R81" s="74"/>
      <c r="S81" s="74"/>
      <c r="T81" s="74"/>
      <c r="U81" s="74"/>
      <c r="V81" s="74"/>
    </row>
    <row r="82" ht="15.75" customHeight="1">
      <c r="A82" s="15"/>
      <c r="B82" s="98"/>
      <c r="C82" s="155" t="s">
        <v>54</v>
      </c>
      <c r="D82" s="156">
        <f t="shared" ref="D82:P82" si="75">sum(D83:D88)</f>
        <v>84200</v>
      </c>
      <c r="E82" s="157">
        <f t="shared" si="75"/>
        <v>0</v>
      </c>
      <c r="F82" s="157">
        <f t="shared" si="75"/>
        <v>0</v>
      </c>
      <c r="G82" s="157">
        <f t="shared" si="75"/>
        <v>0</v>
      </c>
      <c r="H82" s="157">
        <f t="shared" si="75"/>
        <v>0</v>
      </c>
      <c r="I82" s="157">
        <f t="shared" si="75"/>
        <v>42100</v>
      </c>
      <c r="J82" s="157">
        <f t="shared" si="75"/>
        <v>0</v>
      </c>
      <c r="K82" s="157">
        <f t="shared" si="75"/>
        <v>0</v>
      </c>
      <c r="L82" s="157">
        <f t="shared" si="75"/>
        <v>42100</v>
      </c>
      <c r="M82" s="157">
        <f t="shared" si="75"/>
        <v>0</v>
      </c>
      <c r="N82" s="157">
        <f t="shared" si="75"/>
        <v>0</v>
      </c>
      <c r="O82" s="157">
        <f t="shared" si="75"/>
        <v>0</v>
      </c>
      <c r="P82" s="157">
        <f t="shared" si="75"/>
        <v>0</v>
      </c>
      <c r="Q82" s="74"/>
      <c r="R82" s="74"/>
      <c r="S82" s="74"/>
      <c r="T82" s="74"/>
      <c r="U82" s="74"/>
      <c r="V82" s="74"/>
    </row>
    <row r="83" ht="15.75" customHeight="1">
      <c r="A83" s="15"/>
      <c r="B83" s="184" t="s">
        <v>85</v>
      </c>
      <c r="C83" s="179" t="s">
        <v>28</v>
      </c>
      <c r="D83" s="180">
        <f t="shared" ref="D83:D88" si="77">SUM(E83:P83)</f>
        <v>21000</v>
      </c>
      <c r="E83" s="130">
        <f t="shared" ref="E83:P83" si="76">E$3*E80*E81</f>
        <v>0</v>
      </c>
      <c r="F83" s="130">
        <f t="shared" si="76"/>
        <v>0</v>
      </c>
      <c r="G83" s="130">
        <f t="shared" si="76"/>
        <v>0</v>
      </c>
      <c r="H83" s="130">
        <f t="shared" si="76"/>
        <v>0</v>
      </c>
      <c r="I83" s="130">
        <f t="shared" si="76"/>
        <v>10500</v>
      </c>
      <c r="J83" s="130">
        <f t="shared" si="76"/>
        <v>0</v>
      </c>
      <c r="K83" s="130">
        <f t="shared" si="76"/>
        <v>0</v>
      </c>
      <c r="L83" s="130">
        <f t="shared" si="76"/>
        <v>10500</v>
      </c>
      <c r="M83" s="130">
        <f t="shared" si="76"/>
        <v>0</v>
      </c>
      <c r="N83" s="130">
        <f t="shared" si="76"/>
        <v>0</v>
      </c>
      <c r="O83" s="130">
        <f t="shared" si="76"/>
        <v>0</v>
      </c>
      <c r="P83" s="130">
        <f t="shared" si="76"/>
        <v>0</v>
      </c>
      <c r="Q83" s="74"/>
      <c r="R83" s="133">
        <v>21000.0</v>
      </c>
      <c r="S83" s="133"/>
      <c r="T83" s="74"/>
      <c r="U83" s="74"/>
      <c r="V83" s="74"/>
    </row>
    <row r="84" ht="15.75" customHeight="1">
      <c r="A84" s="15"/>
      <c r="B84" s="79"/>
      <c r="C84" s="179" t="s">
        <v>36</v>
      </c>
      <c r="D84" s="180">
        <f t="shared" si="77"/>
        <v>6000</v>
      </c>
      <c r="E84" s="130">
        <f t="shared" ref="E84:P84" si="78">E$4*E80*E81</f>
        <v>0</v>
      </c>
      <c r="F84" s="130">
        <f t="shared" si="78"/>
        <v>0</v>
      </c>
      <c r="G84" s="130">
        <f t="shared" si="78"/>
        <v>0</v>
      </c>
      <c r="H84" s="130">
        <f t="shared" si="78"/>
        <v>0</v>
      </c>
      <c r="I84" s="130">
        <f t="shared" si="78"/>
        <v>3000</v>
      </c>
      <c r="J84" s="130">
        <f t="shared" si="78"/>
        <v>0</v>
      </c>
      <c r="K84" s="130">
        <f t="shared" si="78"/>
        <v>0</v>
      </c>
      <c r="L84" s="130">
        <f t="shared" si="78"/>
        <v>3000</v>
      </c>
      <c r="M84" s="130">
        <f t="shared" si="78"/>
        <v>0</v>
      </c>
      <c r="N84" s="130">
        <f t="shared" si="78"/>
        <v>0</v>
      </c>
      <c r="O84" s="130">
        <f t="shared" si="78"/>
        <v>0</v>
      </c>
      <c r="P84" s="130">
        <f t="shared" si="78"/>
        <v>0</v>
      </c>
      <c r="Q84" s="74"/>
      <c r="R84" s="133">
        <v>6000.0</v>
      </c>
      <c r="S84" s="133"/>
      <c r="T84" s="74"/>
      <c r="U84" s="74"/>
      <c r="V84" s="74"/>
    </row>
    <row r="85" ht="15.75" customHeight="1">
      <c r="A85" s="15"/>
      <c r="B85" s="79"/>
      <c r="C85" s="179" t="s">
        <v>40</v>
      </c>
      <c r="D85" s="180">
        <f t="shared" si="77"/>
        <v>36000</v>
      </c>
      <c r="E85" s="130">
        <f t="shared" ref="E85:P85" si="79">E$5*E80</f>
        <v>0</v>
      </c>
      <c r="F85" s="130">
        <f t="shared" si="79"/>
        <v>0</v>
      </c>
      <c r="G85" s="130">
        <f t="shared" si="79"/>
        <v>0</v>
      </c>
      <c r="H85" s="130">
        <f t="shared" si="79"/>
        <v>0</v>
      </c>
      <c r="I85" s="130">
        <f t="shared" si="79"/>
        <v>18000</v>
      </c>
      <c r="J85" s="130">
        <f t="shared" si="79"/>
        <v>0</v>
      </c>
      <c r="K85" s="130">
        <f t="shared" si="79"/>
        <v>0</v>
      </c>
      <c r="L85" s="130">
        <f t="shared" si="79"/>
        <v>18000</v>
      </c>
      <c r="M85" s="130">
        <f t="shared" si="79"/>
        <v>0</v>
      </c>
      <c r="N85" s="130">
        <f t="shared" si="79"/>
        <v>0</v>
      </c>
      <c r="O85" s="130">
        <f t="shared" si="79"/>
        <v>0</v>
      </c>
      <c r="P85" s="130">
        <f t="shared" si="79"/>
        <v>0</v>
      </c>
      <c r="Q85" s="74"/>
      <c r="R85" s="133">
        <v>36000.0</v>
      </c>
      <c r="S85" s="133"/>
      <c r="T85" s="74"/>
      <c r="U85" s="74"/>
      <c r="V85" s="74"/>
    </row>
    <row r="86" ht="15.75" customHeight="1">
      <c r="A86" s="15"/>
      <c r="B86" s="79"/>
      <c r="C86" s="179" t="s">
        <v>43</v>
      </c>
      <c r="D86" s="180">
        <f t="shared" si="77"/>
        <v>16800</v>
      </c>
      <c r="E86" s="130">
        <f t="shared" ref="E86:P86" si="80">E$6*E80*E81</f>
        <v>0</v>
      </c>
      <c r="F86" s="130">
        <f t="shared" si="80"/>
        <v>0</v>
      </c>
      <c r="G86" s="130">
        <f t="shared" si="80"/>
        <v>0</v>
      </c>
      <c r="H86" s="130">
        <f t="shared" si="80"/>
        <v>0</v>
      </c>
      <c r="I86" s="130">
        <f t="shared" si="80"/>
        <v>8400</v>
      </c>
      <c r="J86" s="130">
        <f t="shared" si="80"/>
        <v>0</v>
      </c>
      <c r="K86" s="130">
        <f t="shared" si="80"/>
        <v>0</v>
      </c>
      <c r="L86" s="130">
        <f t="shared" si="80"/>
        <v>8400</v>
      </c>
      <c r="M86" s="130">
        <f t="shared" si="80"/>
        <v>0</v>
      </c>
      <c r="N86" s="130">
        <f t="shared" si="80"/>
        <v>0</v>
      </c>
      <c r="O86" s="130">
        <f t="shared" si="80"/>
        <v>0</v>
      </c>
      <c r="P86" s="130">
        <f t="shared" si="80"/>
        <v>0</v>
      </c>
      <c r="Q86" s="74"/>
      <c r="R86" s="133">
        <v>16800.0</v>
      </c>
      <c r="S86" s="133"/>
      <c r="T86" s="74"/>
      <c r="U86" s="74"/>
      <c r="V86" s="74"/>
    </row>
    <row r="87" ht="15.75" customHeight="1">
      <c r="A87" s="15"/>
      <c r="B87" s="79"/>
      <c r="C87" s="179" t="s">
        <v>48</v>
      </c>
      <c r="D87" s="180">
        <f t="shared" si="77"/>
        <v>3000</v>
      </c>
      <c r="E87" s="130">
        <f t="shared" ref="E87:P87" si="81">E$7*E80</f>
        <v>0</v>
      </c>
      <c r="F87" s="130">
        <f t="shared" si="81"/>
        <v>0</v>
      </c>
      <c r="G87" s="130">
        <f t="shared" si="81"/>
        <v>0</v>
      </c>
      <c r="H87" s="130">
        <f t="shared" si="81"/>
        <v>0</v>
      </c>
      <c r="I87" s="130">
        <f t="shared" si="81"/>
        <v>1500</v>
      </c>
      <c r="J87" s="130">
        <f t="shared" si="81"/>
        <v>0</v>
      </c>
      <c r="K87" s="130">
        <f t="shared" si="81"/>
        <v>0</v>
      </c>
      <c r="L87" s="130">
        <f t="shared" si="81"/>
        <v>1500</v>
      </c>
      <c r="M87" s="130">
        <f t="shared" si="81"/>
        <v>0</v>
      </c>
      <c r="N87" s="130">
        <f t="shared" si="81"/>
        <v>0</v>
      </c>
      <c r="O87" s="130">
        <f t="shared" si="81"/>
        <v>0</v>
      </c>
      <c r="P87" s="130">
        <f t="shared" si="81"/>
        <v>0</v>
      </c>
      <c r="Q87" s="74"/>
      <c r="R87" s="133">
        <v>3000.0</v>
      </c>
      <c r="S87" s="133"/>
      <c r="T87" s="74"/>
      <c r="U87" s="74"/>
      <c r="V87" s="74"/>
    </row>
    <row r="88" ht="15.75" customHeight="1">
      <c r="A88" s="15"/>
      <c r="B88" s="98"/>
      <c r="C88" s="179" t="s">
        <v>53</v>
      </c>
      <c r="D88" s="180">
        <f t="shared" si="77"/>
        <v>1400</v>
      </c>
      <c r="E88" s="130">
        <f t="shared" ref="E88:P88" si="82">E$8*E80</f>
        <v>0</v>
      </c>
      <c r="F88" s="130">
        <f t="shared" si="82"/>
        <v>0</v>
      </c>
      <c r="G88" s="130">
        <f t="shared" si="82"/>
        <v>0</v>
      </c>
      <c r="H88" s="130">
        <f t="shared" si="82"/>
        <v>0</v>
      </c>
      <c r="I88" s="130">
        <f t="shared" si="82"/>
        <v>700</v>
      </c>
      <c r="J88" s="130">
        <f t="shared" si="82"/>
        <v>0</v>
      </c>
      <c r="K88" s="130">
        <f t="shared" si="82"/>
        <v>0</v>
      </c>
      <c r="L88" s="130">
        <f t="shared" si="82"/>
        <v>700</v>
      </c>
      <c r="M88" s="130">
        <f t="shared" si="82"/>
        <v>0</v>
      </c>
      <c r="N88" s="130">
        <f t="shared" si="82"/>
        <v>0</v>
      </c>
      <c r="O88" s="130">
        <f t="shared" si="82"/>
        <v>0</v>
      </c>
      <c r="P88" s="130">
        <f t="shared" si="82"/>
        <v>0</v>
      </c>
      <c r="Q88" s="74"/>
      <c r="R88" s="133">
        <v>1400.0</v>
      </c>
      <c r="S88" s="133"/>
      <c r="T88" s="74"/>
      <c r="U88" s="74"/>
      <c r="V88" s="74"/>
    </row>
    <row r="89" ht="15.75" customHeight="1">
      <c r="A89" s="15"/>
      <c r="B89" s="58"/>
      <c r="C89" s="58"/>
      <c r="D89" s="147"/>
      <c r="E89" s="58"/>
      <c r="F89" s="58"/>
      <c r="G89" s="58"/>
      <c r="H89" s="58"/>
      <c r="I89" s="58"/>
      <c r="J89" s="58"/>
      <c r="K89" s="58"/>
      <c r="L89" s="58"/>
      <c r="M89" s="58"/>
      <c r="N89" s="58"/>
      <c r="O89" s="58"/>
      <c r="P89" s="58"/>
      <c r="Q89" s="58"/>
      <c r="R89" s="58"/>
      <c r="S89" s="58"/>
      <c r="T89" s="58"/>
      <c r="U89" s="58"/>
      <c r="V89" s="58"/>
    </row>
    <row r="90" ht="15.75" customHeight="1">
      <c r="A90" s="15"/>
      <c r="B90" s="58"/>
      <c r="C90" s="58"/>
      <c r="D90" s="147"/>
      <c r="E90" s="58"/>
      <c r="F90" s="58"/>
      <c r="G90" s="58"/>
      <c r="H90" s="58"/>
      <c r="I90" s="58"/>
      <c r="J90" s="58"/>
      <c r="K90" s="58"/>
      <c r="L90" s="58"/>
      <c r="M90" s="58"/>
      <c r="N90" s="58"/>
      <c r="O90" s="58"/>
      <c r="P90" s="58"/>
      <c r="Q90" s="58"/>
      <c r="R90" s="58"/>
      <c r="S90" s="58"/>
      <c r="T90" s="58"/>
      <c r="U90" s="58"/>
      <c r="V90" s="58"/>
    </row>
    <row r="91">
      <c r="A91" s="15"/>
      <c r="B91" s="177" t="s">
        <v>62</v>
      </c>
      <c r="C91" s="149" t="s">
        <v>63</v>
      </c>
      <c r="D91" s="150">
        <f t="shared" ref="D91:D92" si="83">sum(E91:P91)</f>
        <v>3</v>
      </c>
      <c r="E91" s="151"/>
      <c r="F91" s="151">
        <v>1.0</v>
      </c>
      <c r="G91" s="151"/>
      <c r="H91" s="151"/>
      <c r="I91" s="151"/>
      <c r="J91" s="151">
        <v>1.0</v>
      </c>
      <c r="K91" s="151"/>
      <c r="L91" s="151"/>
      <c r="M91" s="151"/>
      <c r="N91" s="151">
        <v>1.0</v>
      </c>
      <c r="O91" s="151"/>
      <c r="P91" s="151"/>
      <c r="Q91" s="74"/>
      <c r="R91" s="74"/>
      <c r="S91" s="74"/>
      <c r="T91" s="74"/>
      <c r="U91" s="74"/>
      <c r="V91" s="74"/>
    </row>
    <row r="92" ht="15.75" customHeight="1">
      <c r="A92" s="15"/>
      <c r="B92" s="153" t="s">
        <v>87</v>
      </c>
      <c r="C92" s="149" t="s">
        <v>68</v>
      </c>
      <c r="D92" s="150">
        <f t="shared" si="83"/>
        <v>8</v>
      </c>
      <c r="E92" s="154"/>
      <c r="F92" s="151">
        <v>2.0</v>
      </c>
      <c r="G92" s="151"/>
      <c r="H92" s="151"/>
      <c r="I92" s="151"/>
      <c r="J92" s="151">
        <v>3.0</v>
      </c>
      <c r="K92" s="151"/>
      <c r="L92" s="151"/>
      <c r="M92" s="151"/>
      <c r="N92" s="151">
        <v>3.0</v>
      </c>
      <c r="O92" s="151"/>
      <c r="P92" s="151"/>
      <c r="Q92" s="74"/>
      <c r="R92" s="74"/>
      <c r="S92" s="74"/>
      <c r="T92" s="74"/>
      <c r="U92" s="74"/>
      <c r="V92" s="74"/>
    </row>
    <row r="93" ht="15.75" customHeight="1">
      <c r="A93" s="15"/>
      <c r="B93" s="98"/>
      <c r="C93" s="155" t="s">
        <v>54</v>
      </c>
      <c r="D93" s="156">
        <f t="shared" ref="D93:P93" si="84">sum(D94:D99)</f>
        <v>148200</v>
      </c>
      <c r="E93" s="157">
        <f t="shared" si="84"/>
        <v>0</v>
      </c>
      <c r="F93" s="157">
        <f t="shared" si="84"/>
        <v>42100</v>
      </c>
      <c r="G93" s="157">
        <f t="shared" si="84"/>
        <v>0</v>
      </c>
      <c r="H93" s="157">
        <f t="shared" si="84"/>
        <v>0</v>
      </c>
      <c r="I93" s="157">
        <f t="shared" si="84"/>
        <v>0</v>
      </c>
      <c r="J93" s="157">
        <f t="shared" si="84"/>
        <v>53050</v>
      </c>
      <c r="K93" s="157">
        <f t="shared" si="84"/>
        <v>0</v>
      </c>
      <c r="L93" s="157">
        <f t="shared" si="84"/>
        <v>0</v>
      </c>
      <c r="M93" s="157">
        <f t="shared" si="84"/>
        <v>0</v>
      </c>
      <c r="N93" s="157">
        <f t="shared" si="84"/>
        <v>53050</v>
      </c>
      <c r="O93" s="157">
        <f t="shared" si="84"/>
        <v>0</v>
      </c>
      <c r="P93" s="157">
        <f t="shared" si="84"/>
        <v>0</v>
      </c>
      <c r="Q93" s="74"/>
      <c r="R93" s="74"/>
      <c r="S93" s="74"/>
      <c r="T93" s="74"/>
      <c r="U93" s="74"/>
      <c r="V93" s="74"/>
    </row>
    <row r="94" ht="15.75" customHeight="1">
      <c r="A94" s="15"/>
      <c r="B94" s="194" t="s">
        <v>97</v>
      </c>
      <c r="C94" s="128" t="s">
        <v>28</v>
      </c>
      <c r="D94" s="167">
        <f t="shared" ref="D94:D99" si="86">SUM(E94:P94)</f>
        <v>42000</v>
      </c>
      <c r="E94" s="130">
        <f t="shared" ref="E94:P94" si="85">E$3*E91*E92</f>
        <v>0</v>
      </c>
      <c r="F94" s="130">
        <f t="shared" si="85"/>
        <v>10500</v>
      </c>
      <c r="G94" s="130">
        <f t="shared" si="85"/>
        <v>0</v>
      </c>
      <c r="H94" s="130">
        <f t="shared" si="85"/>
        <v>0</v>
      </c>
      <c r="I94" s="130">
        <f t="shared" si="85"/>
        <v>0</v>
      </c>
      <c r="J94" s="130">
        <f t="shared" si="85"/>
        <v>15750</v>
      </c>
      <c r="K94" s="130">
        <f t="shared" si="85"/>
        <v>0</v>
      </c>
      <c r="L94" s="130">
        <f t="shared" si="85"/>
        <v>0</v>
      </c>
      <c r="M94" s="130">
        <f t="shared" si="85"/>
        <v>0</v>
      </c>
      <c r="N94" s="130">
        <f t="shared" si="85"/>
        <v>15750</v>
      </c>
      <c r="O94" s="130">
        <f t="shared" si="85"/>
        <v>0</v>
      </c>
      <c r="P94" s="130">
        <f t="shared" si="85"/>
        <v>0</v>
      </c>
      <c r="Q94" s="74"/>
      <c r="R94" s="133">
        <v>42000.0</v>
      </c>
      <c r="S94" s="133"/>
      <c r="T94" s="74"/>
      <c r="U94" s="74"/>
      <c r="V94" s="74"/>
    </row>
    <row r="95" ht="15.75" customHeight="1">
      <c r="A95" s="15"/>
      <c r="B95" s="79"/>
      <c r="C95" s="128" t="s">
        <v>36</v>
      </c>
      <c r="D95" s="167">
        <f t="shared" si="86"/>
        <v>12000</v>
      </c>
      <c r="E95" s="130">
        <f t="shared" ref="E95:P95" si="87">E$4*E91*E92</f>
        <v>0</v>
      </c>
      <c r="F95" s="130">
        <f t="shared" si="87"/>
        <v>3000</v>
      </c>
      <c r="G95" s="130">
        <f t="shared" si="87"/>
        <v>0</v>
      </c>
      <c r="H95" s="130">
        <f t="shared" si="87"/>
        <v>0</v>
      </c>
      <c r="I95" s="130">
        <f t="shared" si="87"/>
        <v>0</v>
      </c>
      <c r="J95" s="130">
        <f t="shared" si="87"/>
        <v>4500</v>
      </c>
      <c r="K95" s="130">
        <f t="shared" si="87"/>
        <v>0</v>
      </c>
      <c r="L95" s="130">
        <f t="shared" si="87"/>
        <v>0</v>
      </c>
      <c r="M95" s="130">
        <f t="shared" si="87"/>
        <v>0</v>
      </c>
      <c r="N95" s="130">
        <f t="shared" si="87"/>
        <v>4500</v>
      </c>
      <c r="O95" s="130">
        <f t="shared" si="87"/>
        <v>0</v>
      </c>
      <c r="P95" s="130">
        <f t="shared" si="87"/>
        <v>0</v>
      </c>
      <c r="Q95" s="74"/>
      <c r="R95" s="133">
        <v>12000.0</v>
      </c>
      <c r="S95" s="133"/>
      <c r="T95" s="74"/>
      <c r="U95" s="74"/>
      <c r="V95" s="74"/>
    </row>
    <row r="96" ht="15.75" customHeight="1">
      <c r="A96" s="15"/>
      <c r="B96" s="79"/>
      <c r="C96" s="128" t="s">
        <v>40</v>
      </c>
      <c r="D96" s="167">
        <f t="shared" si="86"/>
        <v>54000</v>
      </c>
      <c r="E96" s="130">
        <f t="shared" ref="E96:P96" si="88">E$5*E91</f>
        <v>0</v>
      </c>
      <c r="F96" s="130">
        <f t="shared" si="88"/>
        <v>18000</v>
      </c>
      <c r="G96" s="130">
        <f t="shared" si="88"/>
        <v>0</v>
      </c>
      <c r="H96" s="130">
        <f t="shared" si="88"/>
        <v>0</v>
      </c>
      <c r="I96" s="130">
        <f t="shared" si="88"/>
        <v>0</v>
      </c>
      <c r="J96" s="130">
        <f t="shared" si="88"/>
        <v>18000</v>
      </c>
      <c r="K96" s="130">
        <f t="shared" si="88"/>
        <v>0</v>
      </c>
      <c r="L96" s="130">
        <f t="shared" si="88"/>
        <v>0</v>
      </c>
      <c r="M96" s="130">
        <f t="shared" si="88"/>
        <v>0</v>
      </c>
      <c r="N96" s="130">
        <f t="shared" si="88"/>
        <v>18000</v>
      </c>
      <c r="O96" s="130">
        <f t="shared" si="88"/>
        <v>0</v>
      </c>
      <c r="P96" s="130">
        <f t="shared" si="88"/>
        <v>0</v>
      </c>
      <c r="Q96" s="74"/>
      <c r="R96" s="133">
        <v>54000.0</v>
      </c>
      <c r="S96" s="133"/>
      <c r="T96" s="74"/>
      <c r="U96" s="74"/>
      <c r="V96" s="74"/>
    </row>
    <row r="97" ht="15.75" customHeight="1">
      <c r="A97" s="15"/>
      <c r="B97" s="79"/>
      <c r="C97" s="128" t="s">
        <v>43</v>
      </c>
      <c r="D97" s="167">
        <f t="shared" si="86"/>
        <v>33600</v>
      </c>
      <c r="E97" s="130">
        <f t="shared" ref="E97:P97" si="89">E$6*E91*E92</f>
        <v>0</v>
      </c>
      <c r="F97" s="130">
        <f t="shared" si="89"/>
        <v>8400</v>
      </c>
      <c r="G97" s="130">
        <f t="shared" si="89"/>
        <v>0</v>
      </c>
      <c r="H97" s="130">
        <f t="shared" si="89"/>
        <v>0</v>
      </c>
      <c r="I97" s="130">
        <f t="shared" si="89"/>
        <v>0</v>
      </c>
      <c r="J97" s="130">
        <f t="shared" si="89"/>
        <v>12600</v>
      </c>
      <c r="K97" s="130">
        <f t="shared" si="89"/>
        <v>0</v>
      </c>
      <c r="L97" s="130">
        <f t="shared" si="89"/>
        <v>0</v>
      </c>
      <c r="M97" s="130">
        <f t="shared" si="89"/>
        <v>0</v>
      </c>
      <c r="N97" s="130">
        <f t="shared" si="89"/>
        <v>12600</v>
      </c>
      <c r="O97" s="130">
        <f t="shared" si="89"/>
        <v>0</v>
      </c>
      <c r="P97" s="130">
        <f t="shared" si="89"/>
        <v>0</v>
      </c>
      <c r="Q97" s="74"/>
      <c r="R97" s="133">
        <v>33600.0</v>
      </c>
      <c r="S97" s="133"/>
      <c r="T97" s="74"/>
      <c r="U97" s="74"/>
      <c r="V97" s="74"/>
    </row>
    <row r="98" ht="15.75" customHeight="1">
      <c r="A98" s="15"/>
      <c r="B98" s="79"/>
      <c r="C98" s="128" t="s">
        <v>48</v>
      </c>
      <c r="D98" s="167">
        <f t="shared" si="86"/>
        <v>4500</v>
      </c>
      <c r="E98" s="130">
        <f t="shared" ref="E98:P98" si="90">E$7*E91</f>
        <v>0</v>
      </c>
      <c r="F98" s="130">
        <f t="shared" si="90"/>
        <v>1500</v>
      </c>
      <c r="G98" s="130">
        <f t="shared" si="90"/>
        <v>0</v>
      </c>
      <c r="H98" s="130">
        <f t="shared" si="90"/>
        <v>0</v>
      </c>
      <c r="I98" s="130">
        <f t="shared" si="90"/>
        <v>0</v>
      </c>
      <c r="J98" s="130">
        <f t="shared" si="90"/>
        <v>1500</v>
      </c>
      <c r="K98" s="130">
        <f t="shared" si="90"/>
        <v>0</v>
      </c>
      <c r="L98" s="130">
        <f t="shared" si="90"/>
        <v>0</v>
      </c>
      <c r="M98" s="130">
        <f t="shared" si="90"/>
        <v>0</v>
      </c>
      <c r="N98" s="130">
        <f t="shared" si="90"/>
        <v>1500</v>
      </c>
      <c r="O98" s="130">
        <f t="shared" si="90"/>
        <v>0</v>
      </c>
      <c r="P98" s="130">
        <f t="shared" si="90"/>
        <v>0</v>
      </c>
      <c r="Q98" s="74"/>
      <c r="R98" s="133">
        <v>4500.0</v>
      </c>
      <c r="S98" s="133"/>
      <c r="T98" s="74"/>
      <c r="U98" s="74"/>
      <c r="V98" s="74"/>
    </row>
    <row r="99" ht="15.75" customHeight="1">
      <c r="A99" s="15"/>
      <c r="B99" s="98"/>
      <c r="C99" s="128" t="s">
        <v>53</v>
      </c>
      <c r="D99" s="167">
        <f t="shared" si="86"/>
        <v>2100</v>
      </c>
      <c r="E99" s="130">
        <f t="shared" ref="E99:P99" si="91">E$8*E91</f>
        <v>0</v>
      </c>
      <c r="F99" s="130">
        <f t="shared" si="91"/>
        <v>700</v>
      </c>
      <c r="G99" s="130">
        <f t="shared" si="91"/>
        <v>0</v>
      </c>
      <c r="H99" s="130">
        <f t="shared" si="91"/>
        <v>0</v>
      </c>
      <c r="I99" s="130">
        <f t="shared" si="91"/>
        <v>0</v>
      </c>
      <c r="J99" s="130">
        <f t="shared" si="91"/>
        <v>700</v>
      </c>
      <c r="K99" s="130">
        <f t="shared" si="91"/>
        <v>0</v>
      </c>
      <c r="L99" s="130">
        <f t="shared" si="91"/>
        <v>0</v>
      </c>
      <c r="M99" s="130">
        <f t="shared" si="91"/>
        <v>0</v>
      </c>
      <c r="N99" s="130">
        <f t="shared" si="91"/>
        <v>700</v>
      </c>
      <c r="O99" s="130">
        <f t="shared" si="91"/>
        <v>0</v>
      </c>
      <c r="P99" s="130">
        <f t="shared" si="91"/>
        <v>0</v>
      </c>
      <c r="Q99" s="74"/>
      <c r="R99" s="133">
        <v>2100.0</v>
      </c>
      <c r="S99" s="133"/>
      <c r="T99" s="74"/>
      <c r="U99" s="74"/>
      <c r="V99" s="74"/>
    </row>
    <row r="100" ht="15.75" customHeight="1">
      <c r="A100" s="15"/>
      <c r="B100" s="168"/>
      <c r="C100" s="169"/>
      <c r="D100" s="170"/>
      <c r="E100" s="171"/>
      <c r="F100" s="171"/>
      <c r="G100" s="171"/>
      <c r="H100" s="171"/>
      <c r="I100" s="171"/>
      <c r="J100" s="171"/>
      <c r="K100" s="171"/>
      <c r="L100" s="171"/>
      <c r="M100" s="171"/>
      <c r="N100" s="171"/>
      <c r="O100" s="171"/>
      <c r="P100" s="171"/>
      <c r="Q100" s="172"/>
      <c r="R100" s="172"/>
      <c r="S100" s="172"/>
      <c r="T100" s="172"/>
      <c r="U100" s="172"/>
      <c r="V100" s="172"/>
    </row>
    <row r="101" ht="15.75" customHeight="1">
      <c r="A101" s="15"/>
      <c r="B101" s="173"/>
      <c r="C101" s="174"/>
      <c r="D101" s="175"/>
      <c r="E101" s="176"/>
      <c r="F101" s="176"/>
      <c r="G101" s="176"/>
      <c r="H101" s="176"/>
      <c r="I101" s="176"/>
      <c r="J101" s="176"/>
      <c r="K101" s="176"/>
      <c r="L101" s="176"/>
      <c r="M101" s="176"/>
      <c r="N101" s="176"/>
      <c r="O101" s="176"/>
      <c r="P101" s="176"/>
      <c r="Q101" s="172"/>
      <c r="R101" s="172"/>
      <c r="S101" s="172"/>
      <c r="T101" s="172"/>
      <c r="U101" s="172"/>
      <c r="V101" s="172"/>
    </row>
    <row r="102" ht="15.75" customHeight="1">
      <c r="A102" s="15"/>
      <c r="B102" s="177" t="s">
        <v>62</v>
      </c>
      <c r="C102" s="149" t="s">
        <v>63</v>
      </c>
      <c r="D102" s="150">
        <f t="shared" ref="D102:D103" si="92">sum(E102:P102)</f>
        <v>4</v>
      </c>
      <c r="E102" s="151">
        <v>1.0</v>
      </c>
      <c r="F102" s="151">
        <v>1.0</v>
      </c>
      <c r="G102" s="151">
        <v>1.0</v>
      </c>
      <c r="H102" s="151"/>
      <c r="I102" s="151">
        <v>1.0</v>
      </c>
      <c r="J102" s="151"/>
      <c r="K102" s="151"/>
      <c r="L102" s="151"/>
      <c r="M102" s="151"/>
      <c r="N102" s="151"/>
      <c r="O102" s="151"/>
      <c r="P102" s="151"/>
      <c r="Q102" s="152"/>
      <c r="R102" s="74"/>
      <c r="S102" s="74"/>
      <c r="T102" s="74"/>
      <c r="U102" s="74"/>
      <c r="V102" s="74"/>
    </row>
    <row r="103" ht="15.75" customHeight="1">
      <c r="A103" s="15"/>
      <c r="B103" s="153" t="s">
        <v>72</v>
      </c>
      <c r="C103" s="149" t="s">
        <v>68</v>
      </c>
      <c r="D103" s="150">
        <f t="shared" si="92"/>
        <v>19</v>
      </c>
      <c r="E103" s="154">
        <v>4.0</v>
      </c>
      <c r="F103" s="151">
        <v>4.0</v>
      </c>
      <c r="G103" s="151">
        <v>6.0</v>
      </c>
      <c r="H103" s="151"/>
      <c r="I103" s="151">
        <v>5.0</v>
      </c>
      <c r="J103" s="151"/>
      <c r="K103" s="151"/>
      <c r="L103" s="151"/>
      <c r="M103" s="151"/>
      <c r="N103" s="151"/>
      <c r="O103" s="151"/>
      <c r="P103" s="151"/>
      <c r="Q103" s="152"/>
      <c r="R103" s="74"/>
      <c r="S103" s="74"/>
      <c r="T103" s="74"/>
      <c r="U103" s="74"/>
      <c r="V103" s="74"/>
    </row>
    <row r="104" ht="15.75" customHeight="1">
      <c r="A104" s="15"/>
      <c r="B104" s="98"/>
      <c r="C104" s="155" t="s">
        <v>54</v>
      </c>
      <c r="D104" s="156">
        <f t="shared" ref="D104:P104" si="93">sum(D105:D110)</f>
        <v>288850</v>
      </c>
      <c r="E104" s="157">
        <f t="shared" si="93"/>
        <v>64000</v>
      </c>
      <c r="F104" s="157">
        <f t="shared" si="93"/>
        <v>64000</v>
      </c>
      <c r="G104" s="157">
        <f t="shared" si="93"/>
        <v>85900</v>
      </c>
      <c r="H104" s="157">
        <f t="shared" si="93"/>
        <v>0</v>
      </c>
      <c r="I104" s="157">
        <f t="shared" si="93"/>
        <v>74950</v>
      </c>
      <c r="J104" s="157">
        <f t="shared" si="93"/>
        <v>0</v>
      </c>
      <c r="K104" s="157">
        <f t="shared" si="93"/>
        <v>0</v>
      </c>
      <c r="L104" s="157">
        <f t="shared" si="93"/>
        <v>0</v>
      </c>
      <c r="M104" s="157">
        <f t="shared" si="93"/>
        <v>0</v>
      </c>
      <c r="N104" s="157">
        <f t="shared" si="93"/>
        <v>0</v>
      </c>
      <c r="O104" s="157">
        <f t="shared" si="93"/>
        <v>0</v>
      </c>
      <c r="P104" s="157">
        <f t="shared" si="93"/>
        <v>0</v>
      </c>
      <c r="Q104" s="74"/>
      <c r="R104" s="157">
        <v>288850.0</v>
      </c>
      <c r="S104" s="213">
        <v>288850.0</v>
      </c>
      <c r="T104" s="74"/>
      <c r="U104" s="74"/>
      <c r="V104" s="74"/>
    </row>
    <row r="105" ht="15.75" customHeight="1">
      <c r="A105" s="15"/>
      <c r="B105" s="214" t="s">
        <v>141</v>
      </c>
      <c r="C105" s="179" t="s">
        <v>28</v>
      </c>
      <c r="D105" s="180">
        <f t="shared" ref="D105:D110" si="95">SUM(E105:P105)</f>
        <v>99750</v>
      </c>
      <c r="E105" s="130">
        <f t="shared" ref="E105:P105" si="94">E$3*E102*E103</f>
        <v>21000</v>
      </c>
      <c r="F105" s="130">
        <f t="shared" si="94"/>
        <v>21000</v>
      </c>
      <c r="G105" s="130">
        <f t="shared" si="94"/>
        <v>31500</v>
      </c>
      <c r="H105" s="130">
        <f t="shared" si="94"/>
        <v>0</v>
      </c>
      <c r="I105" s="130">
        <f t="shared" si="94"/>
        <v>26250</v>
      </c>
      <c r="J105" s="130">
        <f t="shared" si="94"/>
        <v>0</v>
      </c>
      <c r="K105" s="130">
        <f t="shared" si="94"/>
        <v>0</v>
      </c>
      <c r="L105" s="130">
        <f t="shared" si="94"/>
        <v>0</v>
      </c>
      <c r="M105" s="130">
        <f t="shared" si="94"/>
        <v>0</v>
      </c>
      <c r="N105" s="130">
        <f t="shared" si="94"/>
        <v>0</v>
      </c>
      <c r="O105" s="130">
        <f t="shared" si="94"/>
        <v>0</v>
      </c>
      <c r="P105" s="130">
        <f t="shared" si="94"/>
        <v>0</v>
      </c>
      <c r="Q105" s="74"/>
      <c r="R105" s="133">
        <v>99750.0</v>
      </c>
      <c r="S105" s="218">
        <v>99750.0</v>
      </c>
      <c r="T105" s="74"/>
      <c r="U105" s="74"/>
      <c r="V105" s="74"/>
    </row>
    <row r="106" ht="15.75" customHeight="1">
      <c r="A106" s="15"/>
      <c r="B106" s="79"/>
      <c r="C106" s="179" t="s">
        <v>36</v>
      </c>
      <c r="D106" s="180">
        <f t="shared" si="95"/>
        <v>28500</v>
      </c>
      <c r="E106" s="130">
        <f t="shared" ref="E106:P106" si="96">E$4*E102*E103</f>
        <v>6000</v>
      </c>
      <c r="F106" s="130">
        <f t="shared" si="96"/>
        <v>6000</v>
      </c>
      <c r="G106" s="130">
        <f t="shared" si="96"/>
        <v>9000</v>
      </c>
      <c r="H106" s="130">
        <f t="shared" si="96"/>
        <v>0</v>
      </c>
      <c r="I106" s="130">
        <f t="shared" si="96"/>
        <v>7500</v>
      </c>
      <c r="J106" s="130">
        <f t="shared" si="96"/>
        <v>0</v>
      </c>
      <c r="K106" s="130">
        <f t="shared" si="96"/>
        <v>0</v>
      </c>
      <c r="L106" s="130">
        <f t="shared" si="96"/>
        <v>0</v>
      </c>
      <c r="M106" s="130">
        <f t="shared" si="96"/>
        <v>0</v>
      </c>
      <c r="N106" s="130">
        <f t="shared" si="96"/>
        <v>0</v>
      </c>
      <c r="O106" s="130">
        <f t="shared" si="96"/>
        <v>0</v>
      </c>
      <c r="P106" s="130">
        <f t="shared" si="96"/>
        <v>0</v>
      </c>
      <c r="Q106" s="74"/>
      <c r="R106" s="133">
        <v>28500.0</v>
      </c>
      <c r="S106" s="218">
        <v>28500.0</v>
      </c>
      <c r="T106" s="74"/>
      <c r="U106" s="74"/>
      <c r="V106" s="74"/>
    </row>
    <row r="107" ht="15.75" customHeight="1">
      <c r="A107" s="15"/>
      <c r="B107" s="79"/>
      <c r="C107" s="179" t="s">
        <v>40</v>
      </c>
      <c r="D107" s="180">
        <f t="shared" si="95"/>
        <v>72000</v>
      </c>
      <c r="E107" s="130">
        <f t="shared" ref="E107:P107" si="97">E$5*E102</f>
        <v>18000</v>
      </c>
      <c r="F107" s="130">
        <f t="shared" si="97"/>
        <v>18000</v>
      </c>
      <c r="G107" s="130">
        <f t="shared" si="97"/>
        <v>18000</v>
      </c>
      <c r="H107" s="130">
        <f t="shared" si="97"/>
        <v>0</v>
      </c>
      <c r="I107" s="130">
        <f t="shared" si="97"/>
        <v>18000</v>
      </c>
      <c r="J107" s="130">
        <f t="shared" si="97"/>
        <v>0</v>
      </c>
      <c r="K107" s="130">
        <f t="shared" si="97"/>
        <v>0</v>
      </c>
      <c r="L107" s="130">
        <f t="shared" si="97"/>
        <v>0</v>
      </c>
      <c r="M107" s="130">
        <f t="shared" si="97"/>
        <v>0</v>
      </c>
      <c r="N107" s="130">
        <f t="shared" si="97"/>
        <v>0</v>
      </c>
      <c r="O107" s="130">
        <f t="shared" si="97"/>
        <v>0</v>
      </c>
      <c r="P107" s="130">
        <f t="shared" si="97"/>
        <v>0</v>
      </c>
      <c r="Q107" s="74"/>
      <c r="R107" s="133">
        <v>72000.0</v>
      </c>
      <c r="S107" s="218">
        <v>72000.0</v>
      </c>
      <c r="T107" s="74"/>
      <c r="U107" s="74"/>
      <c r="V107" s="74"/>
    </row>
    <row r="108" ht="15.75" customHeight="1">
      <c r="A108" s="15"/>
      <c r="B108" s="79"/>
      <c r="C108" s="179" t="s">
        <v>43</v>
      </c>
      <c r="D108" s="180">
        <f t="shared" si="95"/>
        <v>79800</v>
      </c>
      <c r="E108" s="130">
        <f t="shared" ref="E108:P108" si="98">E$6*E102*E103</f>
        <v>16800</v>
      </c>
      <c r="F108" s="130">
        <f t="shared" si="98"/>
        <v>16800</v>
      </c>
      <c r="G108" s="130">
        <f t="shared" si="98"/>
        <v>25200</v>
      </c>
      <c r="H108" s="130">
        <f t="shared" si="98"/>
        <v>0</v>
      </c>
      <c r="I108" s="130">
        <f t="shared" si="98"/>
        <v>21000</v>
      </c>
      <c r="J108" s="130">
        <f t="shared" si="98"/>
        <v>0</v>
      </c>
      <c r="K108" s="130">
        <f t="shared" si="98"/>
        <v>0</v>
      </c>
      <c r="L108" s="130">
        <f t="shared" si="98"/>
        <v>0</v>
      </c>
      <c r="M108" s="130">
        <f t="shared" si="98"/>
        <v>0</v>
      </c>
      <c r="N108" s="130">
        <f t="shared" si="98"/>
        <v>0</v>
      </c>
      <c r="O108" s="130">
        <f t="shared" si="98"/>
        <v>0</v>
      </c>
      <c r="P108" s="130">
        <f t="shared" si="98"/>
        <v>0</v>
      </c>
      <c r="Q108" s="74"/>
      <c r="R108" s="133">
        <v>79800.0</v>
      </c>
      <c r="S108" s="218">
        <v>79800.0</v>
      </c>
      <c r="T108" s="74"/>
      <c r="U108" s="74"/>
      <c r="V108" s="74"/>
    </row>
    <row r="109" ht="15.75" customHeight="1">
      <c r="A109" s="15"/>
      <c r="B109" s="79"/>
      <c r="C109" s="179" t="s">
        <v>48</v>
      </c>
      <c r="D109" s="180">
        <f t="shared" si="95"/>
        <v>6000</v>
      </c>
      <c r="E109" s="130">
        <f t="shared" ref="E109:P109" si="99">E$7*E102</f>
        <v>1500</v>
      </c>
      <c r="F109" s="130">
        <f t="shared" si="99"/>
        <v>1500</v>
      </c>
      <c r="G109" s="130">
        <f t="shared" si="99"/>
        <v>1500</v>
      </c>
      <c r="H109" s="130">
        <f t="shared" si="99"/>
        <v>0</v>
      </c>
      <c r="I109" s="130">
        <f t="shared" si="99"/>
        <v>1500</v>
      </c>
      <c r="J109" s="130">
        <f t="shared" si="99"/>
        <v>0</v>
      </c>
      <c r="K109" s="130">
        <f t="shared" si="99"/>
        <v>0</v>
      </c>
      <c r="L109" s="130">
        <f t="shared" si="99"/>
        <v>0</v>
      </c>
      <c r="M109" s="130">
        <f t="shared" si="99"/>
        <v>0</v>
      </c>
      <c r="N109" s="130">
        <f t="shared" si="99"/>
        <v>0</v>
      </c>
      <c r="O109" s="130">
        <f t="shared" si="99"/>
        <v>0</v>
      </c>
      <c r="P109" s="130">
        <f t="shared" si="99"/>
        <v>0</v>
      </c>
      <c r="Q109" s="74"/>
      <c r="R109" s="133">
        <v>6000.0</v>
      </c>
      <c r="S109" s="218">
        <v>6000.0</v>
      </c>
      <c r="T109" s="74"/>
      <c r="U109" s="74"/>
      <c r="V109" s="74"/>
    </row>
    <row r="110" ht="15.75" customHeight="1">
      <c r="A110" s="15"/>
      <c r="B110" s="98"/>
      <c r="C110" s="179" t="s">
        <v>53</v>
      </c>
      <c r="D110" s="180">
        <f t="shared" si="95"/>
        <v>2800</v>
      </c>
      <c r="E110" s="130">
        <f t="shared" ref="E110:P110" si="100">E$8*E102</f>
        <v>700</v>
      </c>
      <c r="F110" s="130">
        <f t="shared" si="100"/>
        <v>700</v>
      </c>
      <c r="G110" s="130">
        <f t="shared" si="100"/>
        <v>700</v>
      </c>
      <c r="H110" s="130">
        <f t="shared" si="100"/>
        <v>0</v>
      </c>
      <c r="I110" s="130">
        <f t="shared" si="100"/>
        <v>700</v>
      </c>
      <c r="J110" s="130">
        <f t="shared" si="100"/>
        <v>0</v>
      </c>
      <c r="K110" s="130">
        <f t="shared" si="100"/>
        <v>0</v>
      </c>
      <c r="L110" s="130">
        <f t="shared" si="100"/>
        <v>0</v>
      </c>
      <c r="M110" s="130">
        <f t="shared" si="100"/>
        <v>0</v>
      </c>
      <c r="N110" s="130">
        <f t="shared" si="100"/>
        <v>0</v>
      </c>
      <c r="O110" s="130">
        <f t="shared" si="100"/>
        <v>0</v>
      </c>
      <c r="P110" s="130">
        <f t="shared" si="100"/>
        <v>0</v>
      </c>
      <c r="Q110" s="74"/>
      <c r="R110" s="133">
        <v>2800.0</v>
      </c>
      <c r="S110" s="218">
        <v>2800.0</v>
      </c>
      <c r="T110" s="74"/>
      <c r="U110" s="74"/>
      <c r="V110" s="74"/>
    </row>
    <row r="111" ht="15.75" customHeight="1">
      <c r="A111" s="15"/>
      <c r="B111" s="58"/>
      <c r="C111" s="58"/>
      <c r="D111" s="147"/>
      <c r="E111" s="58"/>
      <c r="F111" s="58"/>
      <c r="G111" s="58"/>
      <c r="H111" s="58"/>
      <c r="I111" s="58"/>
      <c r="J111" s="58"/>
      <c r="K111" s="58"/>
      <c r="L111" s="58"/>
      <c r="M111" s="58"/>
      <c r="N111" s="58"/>
      <c r="O111" s="58"/>
      <c r="P111" s="58"/>
      <c r="Q111" s="58"/>
      <c r="R111" s="58"/>
      <c r="S111" s="58"/>
      <c r="T111" s="58"/>
      <c r="U111" s="58"/>
      <c r="V111" s="58"/>
    </row>
    <row r="112" ht="15.75" customHeight="1">
      <c r="A112" s="15"/>
      <c r="B112" s="58"/>
      <c r="C112" s="58"/>
      <c r="D112" s="147"/>
      <c r="E112" s="58"/>
      <c r="F112" s="58"/>
      <c r="G112" s="58"/>
      <c r="H112" s="58"/>
      <c r="I112" s="58"/>
      <c r="J112" s="58"/>
      <c r="K112" s="58"/>
      <c r="L112" s="58"/>
      <c r="M112" s="58"/>
      <c r="N112" s="58"/>
      <c r="O112" s="58"/>
      <c r="P112" s="58"/>
      <c r="Q112" s="58"/>
      <c r="R112" s="58"/>
      <c r="S112" s="58"/>
      <c r="T112" s="58"/>
      <c r="U112" s="58"/>
      <c r="V112" s="58"/>
    </row>
    <row r="113">
      <c r="A113" s="15"/>
      <c r="B113" s="177"/>
      <c r="C113" s="149" t="s">
        <v>63</v>
      </c>
      <c r="D113" s="150">
        <f t="shared" ref="D113:D114" si="101">sum(E113:P113)</f>
        <v>0</v>
      </c>
      <c r="E113" s="151"/>
      <c r="F113" s="151"/>
      <c r="G113" s="151"/>
      <c r="H113" s="151"/>
      <c r="I113" s="151"/>
      <c r="J113" s="151"/>
      <c r="K113" s="151"/>
      <c r="L113" s="151"/>
      <c r="M113" s="151"/>
      <c r="N113" s="151"/>
      <c r="O113" s="151"/>
      <c r="P113" s="151"/>
      <c r="Q113" s="74"/>
      <c r="R113" s="74"/>
      <c r="S113" s="74"/>
      <c r="T113" s="74"/>
      <c r="U113" s="74"/>
      <c r="V113" s="74"/>
    </row>
    <row r="114" ht="15.75" customHeight="1">
      <c r="A114" s="15"/>
      <c r="B114" s="153"/>
      <c r="C114" s="149" t="s">
        <v>68</v>
      </c>
      <c r="D114" s="150">
        <f t="shared" si="101"/>
        <v>0</v>
      </c>
      <c r="E114" s="154"/>
      <c r="F114" s="151"/>
      <c r="G114" s="151"/>
      <c r="H114" s="151"/>
      <c r="I114" s="151"/>
      <c r="J114" s="151"/>
      <c r="K114" s="151"/>
      <c r="L114" s="151"/>
      <c r="M114" s="151"/>
      <c r="N114" s="151"/>
      <c r="O114" s="151"/>
      <c r="P114" s="151"/>
      <c r="Q114" s="74"/>
      <c r="R114" s="74"/>
      <c r="S114" s="74"/>
      <c r="T114" s="74"/>
      <c r="U114" s="74"/>
      <c r="V114" s="74"/>
    </row>
    <row r="115" ht="15.75" customHeight="1">
      <c r="A115" s="15"/>
      <c r="B115" s="98"/>
      <c r="C115" s="155" t="s">
        <v>54</v>
      </c>
      <c r="D115" s="226">
        <f t="shared" ref="D115:P115" si="102">sum(D116:D121)</f>
        <v>0</v>
      </c>
      <c r="E115" s="227">
        <f t="shared" si="102"/>
        <v>0</v>
      </c>
      <c r="F115" s="227">
        <f t="shared" si="102"/>
        <v>0</v>
      </c>
      <c r="G115" s="227">
        <f t="shared" si="102"/>
        <v>0</v>
      </c>
      <c r="H115" s="227">
        <f t="shared" si="102"/>
        <v>0</v>
      </c>
      <c r="I115" s="227">
        <f t="shared" si="102"/>
        <v>0</v>
      </c>
      <c r="J115" s="227">
        <f t="shared" si="102"/>
        <v>0</v>
      </c>
      <c r="K115" s="227">
        <f t="shared" si="102"/>
        <v>0</v>
      </c>
      <c r="L115" s="227">
        <f t="shared" si="102"/>
        <v>0</v>
      </c>
      <c r="M115" s="227">
        <f t="shared" si="102"/>
        <v>0</v>
      </c>
      <c r="N115" s="227">
        <f t="shared" si="102"/>
        <v>0</v>
      </c>
      <c r="O115" s="227">
        <f t="shared" si="102"/>
        <v>0</v>
      </c>
      <c r="P115" s="227">
        <f t="shared" si="102"/>
        <v>0</v>
      </c>
      <c r="Q115" s="74"/>
      <c r="R115" s="74"/>
      <c r="S115" s="74"/>
      <c r="T115" s="74"/>
      <c r="U115" s="74"/>
      <c r="V115" s="74"/>
    </row>
    <row r="116" ht="15.75" customHeight="1">
      <c r="A116" s="15"/>
      <c r="B116" s="228"/>
      <c r="C116" s="128" t="s">
        <v>28</v>
      </c>
      <c r="D116" s="167">
        <f t="shared" ref="D116:D121" si="104">SUM(E116:P116)</f>
        <v>0</v>
      </c>
      <c r="E116" s="130">
        <f t="shared" ref="E116:P116" si="103">E$3*E113*E114</f>
        <v>0</v>
      </c>
      <c r="F116" s="130">
        <f t="shared" si="103"/>
        <v>0</v>
      </c>
      <c r="G116" s="130">
        <f t="shared" si="103"/>
        <v>0</v>
      </c>
      <c r="H116" s="130">
        <f t="shared" si="103"/>
        <v>0</v>
      </c>
      <c r="I116" s="130">
        <f t="shared" si="103"/>
        <v>0</v>
      </c>
      <c r="J116" s="130">
        <f t="shared" si="103"/>
        <v>0</v>
      </c>
      <c r="K116" s="130">
        <f t="shared" si="103"/>
        <v>0</v>
      </c>
      <c r="L116" s="130">
        <f t="shared" si="103"/>
        <v>0</v>
      </c>
      <c r="M116" s="130">
        <f t="shared" si="103"/>
        <v>0</v>
      </c>
      <c r="N116" s="130">
        <f t="shared" si="103"/>
        <v>0</v>
      </c>
      <c r="O116" s="130">
        <f t="shared" si="103"/>
        <v>0</v>
      </c>
      <c r="P116" s="130">
        <f t="shared" si="103"/>
        <v>0</v>
      </c>
      <c r="Q116" s="74"/>
      <c r="R116" s="133">
        <v>0.0</v>
      </c>
      <c r="S116" s="133">
        <v>0.0</v>
      </c>
      <c r="T116" s="74"/>
      <c r="U116" s="74"/>
      <c r="V116" s="74"/>
    </row>
    <row r="117" ht="15.75" customHeight="1">
      <c r="A117" s="15"/>
      <c r="B117" s="79"/>
      <c r="C117" s="128" t="s">
        <v>36</v>
      </c>
      <c r="D117" s="167">
        <f t="shared" si="104"/>
        <v>0</v>
      </c>
      <c r="E117" s="130">
        <f t="shared" ref="E117:P117" si="105">E$4*E113*E114</f>
        <v>0</v>
      </c>
      <c r="F117" s="130">
        <f t="shared" si="105"/>
        <v>0</v>
      </c>
      <c r="G117" s="130">
        <f t="shared" si="105"/>
        <v>0</v>
      </c>
      <c r="H117" s="130">
        <f t="shared" si="105"/>
        <v>0</v>
      </c>
      <c r="I117" s="130">
        <f t="shared" si="105"/>
        <v>0</v>
      </c>
      <c r="J117" s="130">
        <f t="shared" si="105"/>
        <v>0</v>
      </c>
      <c r="K117" s="130">
        <f t="shared" si="105"/>
        <v>0</v>
      </c>
      <c r="L117" s="130">
        <f t="shared" si="105"/>
        <v>0</v>
      </c>
      <c r="M117" s="130">
        <f t="shared" si="105"/>
        <v>0</v>
      </c>
      <c r="N117" s="130">
        <f t="shared" si="105"/>
        <v>0</v>
      </c>
      <c r="O117" s="130">
        <f t="shared" si="105"/>
        <v>0</v>
      </c>
      <c r="P117" s="130">
        <f t="shared" si="105"/>
        <v>0</v>
      </c>
      <c r="Q117" s="74"/>
      <c r="R117" s="133">
        <v>0.0</v>
      </c>
      <c r="S117" s="133">
        <v>0.0</v>
      </c>
      <c r="T117" s="74"/>
      <c r="U117" s="74"/>
      <c r="V117" s="74"/>
    </row>
    <row r="118" ht="15.75" customHeight="1">
      <c r="A118" s="15"/>
      <c r="B118" s="79"/>
      <c r="C118" s="128" t="s">
        <v>40</v>
      </c>
      <c r="D118" s="167">
        <f t="shared" si="104"/>
        <v>0</v>
      </c>
      <c r="E118" s="130">
        <f t="shared" ref="E118:P118" si="106">E$5*E113</f>
        <v>0</v>
      </c>
      <c r="F118" s="130">
        <f t="shared" si="106"/>
        <v>0</v>
      </c>
      <c r="G118" s="130">
        <f t="shared" si="106"/>
        <v>0</v>
      </c>
      <c r="H118" s="130">
        <f t="shared" si="106"/>
        <v>0</v>
      </c>
      <c r="I118" s="130">
        <f t="shared" si="106"/>
        <v>0</v>
      </c>
      <c r="J118" s="130">
        <f t="shared" si="106"/>
        <v>0</v>
      </c>
      <c r="K118" s="130">
        <f t="shared" si="106"/>
        <v>0</v>
      </c>
      <c r="L118" s="130">
        <f t="shared" si="106"/>
        <v>0</v>
      </c>
      <c r="M118" s="130">
        <f t="shared" si="106"/>
        <v>0</v>
      </c>
      <c r="N118" s="130">
        <f t="shared" si="106"/>
        <v>0</v>
      </c>
      <c r="O118" s="130">
        <f t="shared" si="106"/>
        <v>0</v>
      </c>
      <c r="P118" s="130">
        <f t="shared" si="106"/>
        <v>0</v>
      </c>
      <c r="Q118" s="74"/>
      <c r="R118" s="133">
        <v>0.0</v>
      </c>
      <c r="S118" s="133">
        <v>0.0</v>
      </c>
      <c r="T118" s="74"/>
      <c r="U118" s="74"/>
      <c r="V118" s="74"/>
    </row>
    <row r="119" ht="15.75" customHeight="1">
      <c r="A119" s="15"/>
      <c r="B119" s="79"/>
      <c r="C119" s="128" t="s">
        <v>43</v>
      </c>
      <c r="D119" s="167">
        <f t="shared" si="104"/>
        <v>0</v>
      </c>
      <c r="E119" s="130">
        <f t="shared" ref="E119:P119" si="107">E$6*E113*E114</f>
        <v>0</v>
      </c>
      <c r="F119" s="130">
        <f t="shared" si="107"/>
        <v>0</v>
      </c>
      <c r="G119" s="130">
        <f t="shared" si="107"/>
        <v>0</v>
      </c>
      <c r="H119" s="130">
        <f t="shared" si="107"/>
        <v>0</v>
      </c>
      <c r="I119" s="130">
        <f t="shared" si="107"/>
        <v>0</v>
      </c>
      <c r="J119" s="130">
        <f t="shared" si="107"/>
        <v>0</v>
      </c>
      <c r="K119" s="130">
        <f t="shared" si="107"/>
        <v>0</v>
      </c>
      <c r="L119" s="130">
        <f t="shared" si="107"/>
        <v>0</v>
      </c>
      <c r="M119" s="130">
        <f t="shared" si="107"/>
        <v>0</v>
      </c>
      <c r="N119" s="130">
        <f t="shared" si="107"/>
        <v>0</v>
      </c>
      <c r="O119" s="130">
        <f t="shared" si="107"/>
        <v>0</v>
      </c>
      <c r="P119" s="130">
        <f t="shared" si="107"/>
        <v>0</v>
      </c>
      <c r="Q119" s="74"/>
      <c r="R119" s="133">
        <v>0.0</v>
      </c>
      <c r="S119" s="133">
        <v>0.0</v>
      </c>
      <c r="T119" s="74"/>
      <c r="U119" s="74"/>
      <c r="V119" s="74"/>
    </row>
    <row r="120" ht="15.75" customHeight="1">
      <c r="A120" s="15"/>
      <c r="B120" s="79"/>
      <c r="C120" s="128" t="s">
        <v>48</v>
      </c>
      <c r="D120" s="167">
        <f t="shared" si="104"/>
        <v>0</v>
      </c>
      <c r="E120" s="130">
        <f t="shared" ref="E120:P120" si="108">E$7*E113</f>
        <v>0</v>
      </c>
      <c r="F120" s="130">
        <f t="shared" si="108"/>
        <v>0</v>
      </c>
      <c r="G120" s="130">
        <f t="shared" si="108"/>
        <v>0</v>
      </c>
      <c r="H120" s="130">
        <f t="shared" si="108"/>
        <v>0</v>
      </c>
      <c r="I120" s="130">
        <f t="shared" si="108"/>
        <v>0</v>
      </c>
      <c r="J120" s="130">
        <f t="shared" si="108"/>
        <v>0</v>
      </c>
      <c r="K120" s="130">
        <f t="shared" si="108"/>
        <v>0</v>
      </c>
      <c r="L120" s="130">
        <f t="shared" si="108"/>
        <v>0</v>
      </c>
      <c r="M120" s="130">
        <f t="shared" si="108"/>
        <v>0</v>
      </c>
      <c r="N120" s="130">
        <f t="shared" si="108"/>
        <v>0</v>
      </c>
      <c r="O120" s="130">
        <f t="shared" si="108"/>
        <v>0</v>
      </c>
      <c r="P120" s="130">
        <f t="shared" si="108"/>
        <v>0</v>
      </c>
      <c r="Q120" s="74"/>
      <c r="R120" s="133">
        <v>0.0</v>
      </c>
      <c r="S120" s="133">
        <v>0.0</v>
      </c>
      <c r="T120" s="74"/>
      <c r="U120" s="74"/>
      <c r="V120" s="74"/>
    </row>
    <row r="121" ht="15.75" customHeight="1">
      <c r="A121" s="15"/>
      <c r="B121" s="98"/>
      <c r="C121" s="128" t="s">
        <v>53</v>
      </c>
      <c r="D121" s="167">
        <f t="shared" si="104"/>
        <v>0</v>
      </c>
      <c r="E121" s="130">
        <f t="shared" ref="E121:P121" si="109">E$8*E113</f>
        <v>0</v>
      </c>
      <c r="F121" s="130">
        <f t="shared" si="109"/>
        <v>0</v>
      </c>
      <c r="G121" s="130">
        <f t="shared" si="109"/>
        <v>0</v>
      </c>
      <c r="H121" s="130">
        <f t="shared" si="109"/>
        <v>0</v>
      </c>
      <c r="I121" s="130">
        <f t="shared" si="109"/>
        <v>0</v>
      </c>
      <c r="J121" s="130">
        <f t="shared" si="109"/>
        <v>0</v>
      </c>
      <c r="K121" s="130">
        <f t="shared" si="109"/>
        <v>0</v>
      </c>
      <c r="L121" s="130">
        <f t="shared" si="109"/>
        <v>0</v>
      </c>
      <c r="M121" s="130">
        <f t="shared" si="109"/>
        <v>0</v>
      </c>
      <c r="N121" s="130">
        <f t="shared" si="109"/>
        <v>0</v>
      </c>
      <c r="O121" s="130">
        <f t="shared" si="109"/>
        <v>0</v>
      </c>
      <c r="P121" s="130">
        <f t="shared" si="109"/>
        <v>0</v>
      </c>
      <c r="Q121" s="74"/>
      <c r="R121" s="133">
        <v>0.0</v>
      </c>
      <c r="S121" s="133">
        <v>0.0</v>
      </c>
      <c r="T121" s="74"/>
      <c r="U121" s="74"/>
      <c r="V121" s="74"/>
    </row>
    <row r="122" ht="15.75" customHeight="1">
      <c r="A122" s="15"/>
      <c r="B122" s="58"/>
      <c r="C122" s="58"/>
      <c r="D122" s="147"/>
      <c r="E122" s="58"/>
      <c r="F122" s="58"/>
      <c r="G122" s="58"/>
      <c r="H122" s="58"/>
      <c r="I122" s="58"/>
      <c r="J122" s="58"/>
      <c r="K122" s="58"/>
      <c r="L122" s="58"/>
      <c r="M122" s="58"/>
      <c r="N122" s="58"/>
      <c r="O122" s="58"/>
      <c r="P122" s="58"/>
      <c r="Q122" s="58"/>
      <c r="R122" s="58"/>
      <c r="S122" s="58"/>
      <c r="T122" s="58"/>
      <c r="U122" s="58"/>
      <c r="V122" s="58"/>
    </row>
    <row r="123" ht="15.75" customHeight="1">
      <c r="A123" s="15"/>
      <c r="B123" s="105"/>
      <c r="D123" s="147"/>
      <c r="E123" s="58"/>
      <c r="F123" s="58"/>
      <c r="G123" s="58"/>
      <c r="H123" s="58"/>
      <c r="I123" s="58"/>
      <c r="J123" s="58"/>
      <c r="K123" s="58"/>
      <c r="L123" s="58"/>
      <c r="M123" s="58"/>
      <c r="N123" s="58"/>
      <c r="O123" s="58"/>
      <c r="P123" s="58"/>
      <c r="Q123" s="58"/>
      <c r="R123" s="58"/>
      <c r="S123" s="58"/>
      <c r="T123" s="58"/>
      <c r="U123" s="58"/>
      <c r="V123" s="58"/>
    </row>
    <row r="124" ht="15.75" customHeight="1">
      <c r="A124" s="15"/>
      <c r="B124" s="46"/>
      <c r="C124" s="46"/>
      <c r="D124" s="46"/>
      <c r="E124" s="46"/>
      <c r="F124" s="46"/>
      <c r="G124" s="229"/>
      <c r="H124" s="46"/>
      <c r="I124" s="46"/>
      <c r="J124" s="46"/>
      <c r="K124" s="46"/>
      <c r="L124" s="46"/>
      <c r="M124" s="46"/>
      <c r="N124" s="46"/>
      <c r="O124" s="46"/>
      <c r="P124" s="46"/>
      <c r="Q124" s="58"/>
      <c r="R124" s="58"/>
      <c r="S124" s="58"/>
      <c r="T124" s="58"/>
      <c r="U124" s="58"/>
      <c r="V124" s="58"/>
    </row>
    <row r="125" ht="15.75" customHeight="1">
      <c r="A125" s="15"/>
      <c r="B125" s="230" t="s">
        <v>189</v>
      </c>
      <c r="C125" s="231" t="s">
        <v>28</v>
      </c>
      <c r="D125" s="232">
        <f t="shared" ref="D125:D130" si="111">SUM(E125:P125)</f>
        <v>362250</v>
      </c>
      <c r="E125" s="233">
        <f t="shared" ref="E125:P125" si="110">sumif($C$14:$C$121,$C125,E$14:E$121)</f>
        <v>21000</v>
      </c>
      <c r="F125" s="233">
        <f t="shared" si="110"/>
        <v>31500</v>
      </c>
      <c r="G125" s="233">
        <f t="shared" si="110"/>
        <v>42000</v>
      </c>
      <c r="H125" s="233">
        <f t="shared" si="110"/>
        <v>21000</v>
      </c>
      <c r="I125" s="233">
        <f t="shared" si="110"/>
        <v>57750</v>
      </c>
      <c r="J125" s="233">
        <f t="shared" si="110"/>
        <v>15750</v>
      </c>
      <c r="K125" s="233">
        <f t="shared" si="110"/>
        <v>21000</v>
      </c>
      <c r="L125" s="233">
        <f t="shared" si="110"/>
        <v>63000</v>
      </c>
      <c r="M125" s="233">
        <f t="shared" si="110"/>
        <v>21000</v>
      </c>
      <c r="N125" s="233">
        <f t="shared" si="110"/>
        <v>68250</v>
      </c>
      <c r="O125" s="233">
        <f t="shared" si="110"/>
        <v>0</v>
      </c>
      <c r="P125" s="233">
        <f t="shared" si="110"/>
        <v>0</v>
      </c>
      <c r="Q125" s="58"/>
      <c r="R125" s="133">
        <f t="shared" ref="R125:R130" si="113">D125</f>
        <v>362250</v>
      </c>
      <c r="S125" s="133">
        <f t="shared" ref="S125:S130" si="114">S105</f>
        <v>99750</v>
      </c>
      <c r="T125" s="58"/>
      <c r="U125" s="58"/>
      <c r="V125" s="58"/>
    </row>
    <row r="126" ht="15.75" customHeight="1">
      <c r="A126" s="15"/>
      <c r="B126" s="79"/>
      <c r="C126" s="231" t="s">
        <v>36</v>
      </c>
      <c r="D126" s="232">
        <f t="shared" si="111"/>
        <v>103500</v>
      </c>
      <c r="E126" s="233">
        <f t="shared" ref="E126:P126" si="112">sumif($C$14:$C$121,$C126,E$14:E$121)</f>
        <v>6000</v>
      </c>
      <c r="F126" s="233">
        <f t="shared" si="112"/>
        <v>9000</v>
      </c>
      <c r="G126" s="233">
        <f t="shared" si="112"/>
        <v>12000</v>
      </c>
      <c r="H126" s="233">
        <f t="shared" si="112"/>
        <v>6000</v>
      </c>
      <c r="I126" s="233">
        <f t="shared" si="112"/>
        <v>16500</v>
      </c>
      <c r="J126" s="233">
        <f t="shared" si="112"/>
        <v>4500</v>
      </c>
      <c r="K126" s="233">
        <f t="shared" si="112"/>
        <v>6000</v>
      </c>
      <c r="L126" s="233">
        <f t="shared" si="112"/>
        <v>18000</v>
      </c>
      <c r="M126" s="233">
        <f t="shared" si="112"/>
        <v>6000</v>
      </c>
      <c r="N126" s="233">
        <f t="shared" si="112"/>
        <v>19500</v>
      </c>
      <c r="O126" s="233">
        <f t="shared" si="112"/>
        <v>0</v>
      </c>
      <c r="P126" s="233">
        <f t="shared" si="112"/>
        <v>0</v>
      </c>
      <c r="Q126" s="58"/>
      <c r="R126" s="133">
        <f t="shared" si="113"/>
        <v>103500</v>
      </c>
      <c r="S126" s="133">
        <f t="shared" si="114"/>
        <v>28500</v>
      </c>
      <c r="T126" s="58"/>
      <c r="U126" s="58"/>
      <c r="V126" s="58"/>
    </row>
    <row r="127" ht="15.75" customHeight="1">
      <c r="A127" s="15"/>
      <c r="B127" s="79"/>
      <c r="C127" s="231" t="s">
        <v>40</v>
      </c>
      <c r="D127" s="232">
        <f t="shared" si="111"/>
        <v>396000</v>
      </c>
      <c r="E127" s="233">
        <f t="shared" ref="E127:P127" si="115">sumif($C$14:$C$121,$C127,E$14:E$121)</f>
        <v>18000</v>
      </c>
      <c r="F127" s="233">
        <f t="shared" si="115"/>
        <v>36000</v>
      </c>
      <c r="G127" s="233">
        <f t="shared" si="115"/>
        <v>36000</v>
      </c>
      <c r="H127" s="233">
        <f t="shared" si="115"/>
        <v>36000</v>
      </c>
      <c r="I127" s="233">
        <f t="shared" si="115"/>
        <v>72000</v>
      </c>
      <c r="J127" s="233">
        <f t="shared" si="115"/>
        <v>18000</v>
      </c>
      <c r="K127" s="233">
        <f t="shared" si="115"/>
        <v>36000</v>
      </c>
      <c r="L127" s="233">
        <f t="shared" si="115"/>
        <v>54000</v>
      </c>
      <c r="M127" s="233">
        <f t="shared" si="115"/>
        <v>36000</v>
      </c>
      <c r="N127" s="233">
        <f t="shared" si="115"/>
        <v>54000</v>
      </c>
      <c r="O127" s="233">
        <f t="shared" si="115"/>
        <v>0</v>
      </c>
      <c r="P127" s="233">
        <f t="shared" si="115"/>
        <v>0</v>
      </c>
      <c r="Q127" s="58"/>
      <c r="R127" s="133">
        <f t="shared" si="113"/>
        <v>396000</v>
      </c>
      <c r="S127" s="133">
        <f t="shared" si="114"/>
        <v>72000</v>
      </c>
      <c r="T127" s="58"/>
      <c r="U127" s="58"/>
      <c r="V127" s="58"/>
    </row>
    <row r="128" ht="15.75" customHeight="1">
      <c r="A128" s="15"/>
      <c r="B128" s="79"/>
      <c r="C128" s="231" t="s">
        <v>43</v>
      </c>
      <c r="D128" s="232">
        <f t="shared" si="111"/>
        <v>289800</v>
      </c>
      <c r="E128" s="233">
        <f t="shared" ref="E128:P128" si="116">sumif($C$14:$C$121,$C128,E$14:E$121)</f>
        <v>16800</v>
      </c>
      <c r="F128" s="233">
        <f t="shared" si="116"/>
        <v>25200</v>
      </c>
      <c r="G128" s="233">
        <f t="shared" si="116"/>
        <v>33600</v>
      </c>
      <c r="H128" s="233">
        <f t="shared" si="116"/>
        <v>16800</v>
      </c>
      <c r="I128" s="233">
        <f t="shared" si="116"/>
        <v>46200</v>
      </c>
      <c r="J128" s="233">
        <f t="shared" si="116"/>
        <v>12600</v>
      </c>
      <c r="K128" s="233">
        <f t="shared" si="116"/>
        <v>16800</v>
      </c>
      <c r="L128" s="233">
        <f t="shared" si="116"/>
        <v>50400</v>
      </c>
      <c r="M128" s="233">
        <f t="shared" si="116"/>
        <v>16800</v>
      </c>
      <c r="N128" s="233">
        <f t="shared" si="116"/>
        <v>54600</v>
      </c>
      <c r="O128" s="233">
        <f t="shared" si="116"/>
        <v>0</v>
      </c>
      <c r="P128" s="233">
        <f t="shared" si="116"/>
        <v>0</v>
      </c>
      <c r="Q128" s="58"/>
      <c r="R128" s="133">
        <f t="shared" si="113"/>
        <v>289800</v>
      </c>
      <c r="S128" s="133">
        <f t="shared" si="114"/>
        <v>79800</v>
      </c>
      <c r="T128" s="58"/>
      <c r="U128" s="58"/>
      <c r="V128" s="58"/>
    </row>
    <row r="129" ht="15.75" customHeight="1">
      <c r="A129" s="15"/>
      <c r="B129" s="79"/>
      <c r="C129" s="231" t="s">
        <v>48</v>
      </c>
      <c r="D129" s="232">
        <f t="shared" si="111"/>
        <v>33000</v>
      </c>
      <c r="E129" s="233">
        <f t="shared" ref="E129:P129" si="117">sumif($C$14:$C$121,$C129,E$14:E$121)</f>
        <v>1500</v>
      </c>
      <c r="F129" s="233">
        <f t="shared" si="117"/>
        <v>3000</v>
      </c>
      <c r="G129" s="233">
        <f t="shared" si="117"/>
        <v>3000</v>
      </c>
      <c r="H129" s="233">
        <f t="shared" si="117"/>
        <v>3000</v>
      </c>
      <c r="I129" s="233">
        <f t="shared" si="117"/>
        <v>6000</v>
      </c>
      <c r="J129" s="233">
        <f t="shared" si="117"/>
        <v>1500</v>
      </c>
      <c r="K129" s="233">
        <f t="shared" si="117"/>
        <v>3000</v>
      </c>
      <c r="L129" s="233">
        <f t="shared" si="117"/>
        <v>4500</v>
      </c>
      <c r="M129" s="233">
        <f t="shared" si="117"/>
        <v>3000</v>
      </c>
      <c r="N129" s="233">
        <f t="shared" si="117"/>
        <v>4500</v>
      </c>
      <c r="O129" s="233">
        <f t="shared" si="117"/>
        <v>0</v>
      </c>
      <c r="P129" s="233">
        <f t="shared" si="117"/>
        <v>0</v>
      </c>
      <c r="Q129" s="58"/>
      <c r="R129" s="133">
        <f t="shared" si="113"/>
        <v>33000</v>
      </c>
      <c r="S129" s="133">
        <f t="shared" si="114"/>
        <v>6000</v>
      </c>
      <c r="T129" s="58"/>
      <c r="U129" s="58"/>
      <c r="V129" s="58"/>
    </row>
    <row r="130" ht="15.75" customHeight="1">
      <c r="A130" s="15"/>
      <c r="B130" s="79"/>
      <c r="C130" s="231" t="s">
        <v>53</v>
      </c>
      <c r="D130" s="232">
        <f t="shared" si="111"/>
        <v>15400</v>
      </c>
      <c r="E130" s="233">
        <f t="shared" ref="E130:P130" si="118">sumif($C$14:$C$121,$C130,E$14:E$121)</f>
        <v>700</v>
      </c>
      <c r="F130" s="233">
        <f t="shared" si="118"/>
        <v>1400</v>
      </c>
      <c r="G130" s="233">
        <f t="shared" si="118"/>
        <v>1400</v>
      </c>
      <c r="H130" s="233">
        <f t="shared" si="118"/>
        <v>1400</v>
      </c>
      <c r="I130" s="233">
        <f t="shared" si="118"/>
        <v>2800</v>
      </c>
      <c r="J130" s="233">
        <f t="shared" si="118"/>
        <v>700</v>
      </c>
      <c r="K130" s="233">
        <f t="shared" si="118"/>
        <v>1400</v>
      </c>
      <c r="L130" s="233">
        <f t="shared" si="118"/>
        <v>2100</v>
      </c>
      <c r="M130" s="233">
        <f t="shared" si="118"/>
        <v>1400</v>
      </c>
      <c r="N130" s="233">
        <f t="shared" si="118"/>
        <v>2100</v>
      </c>
      <c r="O130" s="233">
        <f t="shared" si="118"/>
        <v>0</v>
      </c>
      <c r="P130" s="233">
        <f t="shared" si="118"/>
        <v>0</v>
      </c>
      <c r="Q130" s="58"/>
      <c r="R130" s="133">
        <f t="shared" si="113"/>
        <v>15400</v>
      </c>
      <c r="S130" s="133">
        <f t="shared" si="114"/>
        <v>2800</v>
      </c>
      <c r="T130" s="58"/>
      <c r="U130" s="58"/>
      <c r="V130" s="58"/>
    </row>
    <row r="131" ht="15.75" customHeight="1">
      <c r="A131" s="15"/>
      <c r="B131" s="98"/>
      <c r="C131" s="234" t="s">
        <v>54</v>
      </c>
      <c r="D131" s="235">
        <f t="shared" ref="D131:P131" si="119">sum(D125:D130)</f>
        <v>1199950</v>
      </c>
      <c r="E131" s="235">
        <f t="shared" si="119"/>
        <v>64000</v>
      </c>
      <c r="F131" s="235">
        <f t="shared" si="119"/>
        <v>106100</v>
      </c>
      <c r="G131" s="235">
        <f t="shared" si="119"/>
        <v>128000</v>
      </c>
      <c r="H131" s="235">
        <f t="shared" si="119"/>
        <v>84200</v>
      </c>
      <c r="I131" s="235">
        <f t="shared" si="119"/>
        <v>201250</v>
      </c>
      <c r="J131" s="235">
        <f t="shared" si="119"/>
        <v>53050</v>
      </c>
      <c r="K131" s="235">
        <f t="shared" si="119"/>
        <v>84200</v>
      </c>
      <c r="L131" s="235">
        <f t="shared" si="119"/>
        <v>192000</v>
      </c>
      <c r="M131" s="235">
        <f t="shared" si="119"/>
        <v>84200</v>
      </c>
      <c r="N131" s="235">
        <f t="shared" si="119"/>
        <v>202950</v>
      </c>
      <c r="O131" s="235">
        <f t="shared" si="119"/>
        <v>0</v>
      </c>
      <c r="P131" s="235">
        <f t="shared" si="119"/>
        <v>0</v>
      </c>
      <c r="Q131" s="58"/>
      <c r="R131" s="236">
        <f t="shared" ref="R131:S131" si="120">sum(R125:R130)</f>
        <v>1199950</v>
      </c>
      <c r="S131" s="236">
        <f t="shared" si="120"/>
        <v>288850</v>
      </c>
      <c r="T131" s="58"/>
      <c r="U131" s="58"/>
      <c r="V131" s="58"/>
    </row>
    <row r="132" ht="15.75" customHeight="1">
      <c r="A132" s="15"/>
      <c r="B132" s="58"/>
      <c r="C132" s="58"/>
      <c r="D132" s="58"/>
      <c r="E132" s="58"/>
      <c r="F132" s="58"/>
      <c r="G132" s="58"/>
      <c r="H132" s="58"/>
      <c r="I132" s="58"/>
      <c r="J132" s="58"/>
      <c r="K132" s="58"/>
      <c r="L132" s="58"/>
      <c r="M132" s="58"/>
      <c r="N132" s="58"/>
      <c r="O132" s="58"/>
      <c r="P132" s="58"/>
      <c r="Q132" s="58"/>
      <c r="R132" s="58"/>
      <c r="S132" s="58"/>
      <c r="T132" s="58"/>
      <c r="U132" s="58"/>
      <c r="V132" s="58"/>
    </row>
    <row r="133" ht="15.75" customHeight="1">
      <c r="A133" s="15"/>
      <c r="B133" s="237" t="str">
        <f>B15</f>
        <v>22.Program Immersion</v>
      </c>
      <c r="C133" s="237" t="str">
        <f>$B$3</f>
        <v>Travel &amp; Lodging Expenses</v>
      </c>
      <c r="D133" s="238">
        <f t="shared" ref="D133:P133" si="121">D16</f>
        <v>0</v>
      </c>
      <c r="E133" s="238">
        <f t="shared" si="121"/>
        <v>0</v>
      </c>
      <c r="F133" s="238">
        <f t="shared" si="121"/>
        <v>0</v>
      </c>
      <c r="G133" s="238">
        <f t="shared" si="121"/>
        <v>0</v>
      </c>
      <c r="H133" s="238">
        <f t="shared" si="121"/>
        <v>0</v>
      </c>
      <c r="I133" s="238">
        <f t="shared" si="121"/>
        <v>0</v>
      </c>
      <c r="J133" s="238">
        <f t="shared" si="121"/>
        <v>0</v>
      </c>
      <c r="K133" s="238">
        <f t="shared" si="121"/>
        <v>0</v>
      </c>
      <c r="L133" s="238">
        <f t="shared" si="121"/>
        <v>0</v>
      </c>
      <c r="M133" s="238">
        <f t="shared" si="121"/>
        <v>0</v>
      </c>
      <c r="N133" s="238">
        <f t="shared" si="121"/>
        <v>0</v>
      </c>
      <c r="O133" s="238">
        <f t="shared" si="121"/>
        <v>0</v>
      </c>
      <c r="P133" s="238">
        <f t="shared" si="121"/>
        <v>0</v>
      </c>
      <c r="Q133" s="58"/>
      <c r="R133" s="239">
        <f t="shared" ref="R133:R142" si="123">D133</f>
        <v>0</v>
      </c>
      <c r="S133" s="237" t="str">
        <f>S16</f>
        <v/>
      </c>
      <c r="T133" s="58"/>
      <c r="U133" s="58"/>
      <c r="V133" s="58"/>
    </row>
    <row r="134" ht="15.75" customHeight="1">
      <c r="A134" s="15"/>
      <c r="B134" s="240" t="str">
        <f>B26</f>
        <v>3-Needs finding.Testing and prototyping</v>
      </c>
      <c r="C134" s="241" t="str">
        <f>B3</f>
        <v>Travel &amp; Lodging Expenses</v>
      </c>
      <c r="D134" s="242">
        <f t="shared" ref="D134:P134" si="122">D27</f>
        <v>168400</v>
      </c>
      <c r="E134" s="242">
        <f t="shared" si="122"/>
        <v>0</v>
      </c>
      <c r="F134" s="242">
        <f t="shared" si="122"/>
        <v>0</v>
      </c>
      <c r="G134" s="242">
        <f t="shared" si="122"/>
        <v>0</v>
      </c>
      <c r="H134" s="242">
        <f t="shared" si="122"/>
        <v>42100</v>
      </c>
      <c r="I134" s="242">
        <f t="shared" si="122"/>
        <v>0</v>
      </c>
      <c r="J134" s="242">
        <f t="shared" si="122"/>
        <v>0</v>
      </c>
      <c r="K134" s="242">
        <f t="shared" si="122"/>
        <v>42100</v>
      </c>
      <c r="L134" s="242">
        <f t="shared" si="122"/>
        <v>0</v>
      </c>
      <c r="M134" s="242">
        <f t="shared" si="122"/>
        <v>84200</v>
      </c>
      <c r="N134" s="242">
        <f t="shared" si="122"/>
        <v>0</v>
      </c>
      <c r="O134" s="242">
        <f t="shared" si="122"/>
        <v>0</v>
      </c>
      <c r="P134" s="242">
        <f t="shared" si="122"/>
        <v>0</v>
      </c>
      <c r="Q134" s="58"/>
      <c r="R134" s="243">
        <f t="shared" si="123"/>
        <v>168400</v>
      </c>
      <c r="S134" s="240" t="str">
        <f>S27</f>
        <v/>
      </c>
      <c r="T134" s="58"/>
      <c r="U134" s="58"/>
      <c r="V134" s="58"/>
    </row>
    <row r="135" ht="15.75" customHeight="1">
      <c r="A135" s="15"/>
      <c r="B135" s="244" t="str">
        <f>B37</f>
        <v>22.Program Immersion</v>
      </c>
      <c r="C135" s="245" t="str">
        <f>B3</f>
        <v>Travel &amp; Lodging Expenses</v>
      </c>
      <c r="D135" s="246">
        <f t="shared" ref="D135:P135" si="124">D38</f>
        <v>384000</v>
      </c>
      <c r="E135" s="246">
        <f t="shared" si="124"/>
        <v>0</v>
      </c>
      <c r="F135" s="246">
        <f t="shared" si="124"/>
        <v>0</v>
      </c>
      <c r="G135" s="246">
        <f t="shared" si="124"/>
        <v>0</v>
      </c>
      <c r="H135" s="246">
        <f t="shared" si="124"/>
        <v>0</v>
      </c>
      <c r="I135" s="246">
        <f t="shared" si="124"/>
        <v>84200</v>
      </c>
      <c r="J135" s="246">
        <f t="shared" si="124"/>
        <v>0</v>
      </c>
      <c r="K135" s="246">
        <f t="shared" si="124"/>
        <v>0</v>
      </c>
      <c r="L135" s="246">
        <f t="shared" si="124"/>
        <v>149900</v>
      </c>
      <c r="M135" s="246">
        <f t="shared" si="124"/>
        <v>0</v>
      </c>
      <c r="N135" s="246">
        <f t="shared" si="124"/>
        <v>149900</v>
      </c>
      <c r="O135" s="246">
        <f t="shared" si="124"/>
        <v>0</v>
      </c>
      <c r="P135" s="246">
        <f t="shared" si="124"/>
        <v>0</v>
      </c>
      <c r="Q135" s="58"/>
      <c r="R135" s="247">
        <f t="shared" si="123"/>
        <v>384000</v>
      </c>
      <c r="S135" s="244" t="str">
        <f>S38</f>
        <v/>
      </c>
      <c r="T135" s="58"/>
      <c r="U135" s="58"/>
      <c r="V135" s="58"/>
    </row>
    <row r="136" ht="15.75" customHeight="1">
      <c r="A136" s="15"/>
      <c r="B136" s="248" t="str">
        <f>B48</f>
        <v>10.4-Medical Officer training
</v>
      </c>
      <c r="C136" s="249" t="str">
        <f>B3</f>
        <v>Travel &amp; Lodging Expenses</v>
      </c>
      <c r="D136" s="250">
        <f t="shared" ref="D136:P136" si="125">D49</f>
        <v>126300</v>
      </c>
      <c r="E136" s="250">
        <f t="shared" si="125"/>
        <v>0</v>
      </c>
      <c r="F136" s="250">
        <f t="shared" si="125"/>
        <v>0</v>
      </c>
      <c r="G136" s="250">
        <f t="shared" si="125"/>
        <v>42100</v>
      </c>
      <c r="H136" s="250">
        <f t="shared" si="125"/>
        <v>42100</v>
      </c>
      <c r="I136" s="250">
        <f t="shared" si="125"/>
        <v>0</v>
      </c>
      <c r="J136" s="250">
        <f t="shared" si="125"/>
        <v>0</v>
      </c>
      <c r="K136" s="250">
        <f t="shared" si="125"/>
        <v>42100</v>
      </c>
      <c r="L136" s="250">
        <f t="shared" si="125"/>
        <v>0</v>
      </c>
      <c r="M136" s="250">
        <f t="shared" si="125"/>
        <v>0</v>
      </c>
      <c r="N136" s="250">
        <f t="shared" si="125"/>
        <v>0</v>
      </c>
      <c r="O136" s="250">
        <f t="shared" si="125"/>
        <v>0</v>
      </c>
      <c r="P136" s="250">
        <f t="shared" si="125"/>
        <v>0</v>
      </c>
      <c r="Q136" s="58"/>
      <c r="R136" s="251">
        <f t="shared" si="123"/>
        <v>126300</v>
      </c>
      <c r="S136" s="248" t="str">
        <f>S49</f>
        <v/>
      </c>
      <c r="T136" s="58"/>
      <c r="U136" s="58"/>
      <c r="V136" s="58"/>
    </row>
    <row r="137" ht="15.75" customHeight="1">
      <c r="A137" s="15"/>
      <c r="B137" s="252" t="str">
        <f>B59</f>
        <v>11.Country Support</v>
      </c>
      <c r="C137" s="253" t="str">
        <f>B3</f>
        <v>Travel &amp; Lodging Expenses</v>
      </c>
      <c r="D137" s="254">
        <f t="shared" ref="D137:P137" si="126">D60</f>
        <v>0</v>
      </c>
      <c r="E137" s="254">
        <f t="shared" si="126"/>
        <v>0</v>
      </c>
      <c r="F137" s="254">
        <f t="shared" si="126"/>
        <v>0</v>
      </c>
      <c r="G137" s="254">
        <f t="shared" si="126"/>
        <v>0</v>
      </c>
      <c r="H137" s="254">
        <f t="shared" si="126"/>
        <v>0</v>
      </c>
      <c r="I137" s="254">
        <f t="shared" si="126"/>
        <v>0</v>
      </c>
      <c r="J137" s="254">
        <f t="shared" si="126"/>
        <v>0</v>
      </c>
      <c r="K137" s="254">
        <f t="shared" si="126"/>
        <v>0</v>
      </c>
      <c r="L137" s="254">
        <f t="shared" si="126"/>
        <v>0</v>
      </c>
      <c r="M137" s="254">
        <f t="shared" si="126"/>
        <v>0</v>
      </c>
      <c r="N137" s="254">
        <f t="shared" si="126"/>
        <v>0</v>
      </c>
      <c r="O137" s="254">
        <f t="shared" si="126"/>
        <v>0</v>
      </c>
      <c r="P137" s="254">
        <f t="shared" si="126"/>
        <v>0</v>
      </c>
      <c r="Q137" s="58"/>
      <c r="R137" s="255">
        <f t="shared" si="123"/>
        <v>0</v>
      </c>
      <c r="S137" s="252" t="str">
        <f>S60</f>
        <v/>
      </c>
      <c r="T137" s="58"/>
      <c r="U137" s="58"/>
      <c r="V137" s="58"/>
    </row>
    <row r="138" ht="15.75" customHeight="1">
      <c r="A138" s="15"/>
      <c r="B138" s="256" t="str">
        <f>B70</f>
        <v>4. Remote Engagement Service</v>
      </c>
      <c r="C138" s="257" t="str">
        <f>B3</f>
        <v>Travel &amp; Lodging Expenses</v>
      </c>
      <c r="D138" s="258">
        <f t="shared" ref="D138:P138" si="127">D71</f>
        <v>0</v>
      </c>
      <c r="E138" s="258">
        <f t="shared" si="127"/>
        <v>0</v>
      </c>
      <c r="F138" s="258">
        <f t="shared" si="127"/>
        <v>0</v>
      </c>
      <c r="G138" s="258">
        <f t="shared" si="127"/>
        <v>0</v>
      </c>
      <c r="H138" s="258">
        <f t="shared" si="127"/>
        <v>0</v>
      </c>
      <c r="I138" s="258">
        <f t="shared" si="127"/>
        <v>0</v>
      </c>
      <c r="J138" s="258">
        <f t="shared" si="127"/>
        <v>0</v>
      </c>
      <c r="K138" s="258">
        <f t="shared" si="127"/>
        <v>0</v>
      </c>
      <c r="L138" s="258">
        <f t="shared" si="127"/>
        <v>0</v>
      </c>
      <c r="M138" s="258">
        <f t="shared" si="127"/>
        <v>0</v>
      </c>
      <c r="N138" s="258">
        <f t="shared" si="127"/>
        <v>0</v>
      </c>
      <c r="O138" s="258">
        <f t="shared" si="127"/>
        <v>0</v>
      </c>
      <c r="P138" s="258">
        <f t="shared" si="127"/>
        <v>0</v>
      </c>
      <c r="Q138" s="58"/>
      <c r="R138" s="259">
        <f t="shared" si="123"/>
        <v>0</v>
      </c>
      <c r="S138" s="256" t="str">
        <f>S71</f>
        <v/>
      </c>
      <c r="T138" s="58"/>
      <c r="U138" s="58"/>
      <c r="V138" s="58"/>
    </row>
    <row r="139" ht="15.75" customHeight="1">
      <c r="A139" s="15"/>
      <c r="B139" s="260" t="str">
        <f>B81</f>
        <v>7.1-RMM-Advocacy</v>
      </c>
      <c r="C139" s="261" t="str">
        <f>B3</f>
        <v>Travel &amp; Lodging Expenses</v>
      </c>
      <c r="D139" s="262">
        <f t="shared" ref="D139:P139" si="128">D82</f>
        <v>84200</v>
      </c>
      <c r="E139" s="262">
        <f t="shared" si="128"/>
        <v>0</v>
      </c>
      <c r="F139" s="262">
        <f t="shared" si="128"/>
        <v>0</v>
      </c>
      <c r="G139" s="262">
        <f t="shared" si="128"/>
        <v>0</v>
      </c>
      <c r="H139" s="262">
        <f t="shared" si="128"/>
        <v>0</v>
      </c>
      <c r="I139" s="262">
        <f t="shared" si="128"/>
        <v>42100</v>
      </c>
      <c r="J139" s="262">
        <f t="shared" si="128"/>
        <v>0</v>
      </c>
      <c r="K139" s="262">
        <f t="shared" si="128"/>
        <v>0</v>
      </c>
      <c r="L139" s="262">
        <f t="shared" si="128"/>
        <v>42100</v>
      </c>
      <c r="M139" s="262">
        <f t="shared" si="128"/>
        <v>0</v>
      </c>
      <c r="N139" s="262">
        <f t="shared" si="128"/>
        <v>0</v>
      </c>
      <c r="O139" s="262">
        <f t="shared" si="128"/>
        <v>0</v>
      </c>
      <c r="P139" s="262">
        <f t="shared" si="128"/>
        <v>0</v>
      </c>
      <c r="Q139" s="58"/>
      <c r="R139" s="263">
        <f t="shared" si="123"/>
        <v>84200</v>
      </c>
      <c r="S139" s="260" t="str">
        <f>S82</f>
        <v/>
      </c>
      <c r="T139" s="58"/>
      <c r="U139" s="58"/>
      <c r="V139" s="58"/>
    </row>
    <row r="140" ht="15.75" customHeight="1">
      <c r="A140" s="15"/>
      <c r="B140" s="264" t="str">
        <f>B92</f>
        <v>10.2-Non-bundled ToTs-Master Trainers</v>
      </c>
      <c r="C140" s="265" t="str">
        <f>B3</f>
        <v>Travel &amp; Lodging Expenses</v>
      </c>
      <c r="D140" s="266">
        <f t="shared" ref="D140:P140" si="129">D93</f>
        <v>148200</v>
      </c>
      <c r="E140" s="266">
        <f t="shared" si="129"/>
        <v>0</v>
      </c>
      <c r="F140" s="266">
        <f t="shared" si="129"/>
        <v>42100</v>
      </c>
      <c r="G140" s="266">
        <f t="shared" si="129"/>
        <v>0</v>
      </c>
      <c r="H140" s="266">
        <f t="shared" si="129"/>
        <v>0</v>
      </c>
      <c r="I140" s="266">
        <f t="shared" si="129"/>
        <v>0</v>
      </c>
      <c r="J140" s="266">
        <f t="shared" si="129"/>
        <v>53050</v>
      </c>
      <c r="K140" s="266">
        <f t="shared" si="129"/>
        <v>0</v>
      </c>
      <c r="L140" s="266">
        <f t="shared" si="129"/>
        <v>0</v>
      </c>
      <c r="M140" s="266">
        <f t="shared" si="129"/>
        <v>0</v>
      </c>
      <c r="N140" s="266">
        <f t="shared" si="129"/>
        <v>53050</v>
      </c>
      <c r="O140" s="266">
        <f t="shared" si="129"/>
        <v>0</v>
      </c>
      <c r="P140" s="266">
        <f t="shared" si="129"/>
        <v>0</v>
      </c>
      <c r="Q140" s="58"/>
      <c r="R140" s="267">
        <f t="shared" si="123"/>
        <v>148200</v>
      </c>
      <c r="S140" s="264" t="str">
        <f>S93</f>
        <v/>
      </c>
      <c r="T140" s="58"/>
      <c r="U140" s="58"/>
      <c r="V140" s="58"/>
    </row>
    <row r="141" ht="15.75" customHeight="1">
      <c r="A141" s="15"/>
      <c r="B141" s="268" t="str">
        <f>B103</f>
        <v>3-Needs finding.Testing and prototyping</v>
      </c>
      <c r="C141" s="269" t="str">
        <f>B3</f>
        <v>Travel &amp; Lodging Expenses</v>
      </c>
      <c r="D141" s="270">
        <f t="shared" ref="D141:P141" si="130">D104</f>
        <v>288850</v>
      </c>
      <c r="E141" s="270">
        <f t="shared" si="130"/>
        <v>64000</v>
      </c>
      <c r="F141" s="270">
        <f t="shared" si="130"/>
        <v>64000</v>
      </c>
      <c r="G141" s="270">
        <f t="shared" si="130"/>
        <v>85900</v>
      </c>
      <c r="H141" s="270">
        <f t="shared" si="130"/>
        <v>0</v>
      </c>
      <c r="I141" s="270">
        <f t="shared" si="130"/>
        <v>74950</v>
      </c>
      <c r="J141" s="270">
        <f t="shared" si="130"/>
        <v>0</v>
      </c>
      <c r="K141" s="270">
        <f t="shared" si="130"/>
        <v>0</v>
      </c>
      <c r="L141" s="270">
        <f t="shared" si="130"/>
        <v>0</v>
      </c>
      <c r="M141" s="270">
        <f t="shared" si="130"/>
        <v>0</v>
      </c>
      <c r="N141" s="270">
        <f t="shared" si="130"/>
        <v>0</v>
      </c>
      <c r="O141" s="270">
        <f t="shared" si="130"/>
        <v>0</v>
      </c>
      <c r="P141" s="270">
        <f t="shared" si="130"/>
        <v>0</v>
      </c>
      <c r="Q141" s="58"/>
      <c r="R141" s="271">
        <f t="shared" si="123"/>
        <v>288850</v>
      </c>
      <c r="S141" s="270">
        <f>S104</f>
        <v>288850</v>
      </c>
      <c r="T141" s="58"/>
      <c r="U141" s="58"/>
      <c r="V141" s="58"/>
    </row>
    <row r="142" ht="15.75" customHeight="1">
      <c r="A142" s="15"/>
      <c r="B142" s="272" t="str">
        <f>B114</f>
        <v/>
      </c>
      <c r="C142" s="273" t="str">
        <f>B3</f>
        <v>Travel &amp; Lodging Expenses</v>
      </c>
      <c r="D142" s="274">
        <f t="shared" ref="D142:P142" si="131">D115</f>
        <v>0</v>
      </c>
      <c r="E142" s="274">
        <f t="shared" si="131"/>
        <v>0</v>
      </c>
      <c r="F142" s="274">
        <f t="shared" si="131"/>
        <v>0</v>
      </c>
      <c r="G142" s="274">
        <f t="shared" si="131"/>
        <v>0</v>
      </c>
      <c r="H142" s="274">
        <f t="shared" si="131"/>
        <v>0</v>
      </c>
      <c r="I142" s="274">
        <f t="shared" si="131"/>
        <v>0</v>
      </c>
      <c r="J142" s="274">
        <f t="shared" si="131"/>
        <v>0</v>
      </c>
      <c r="K142" s="274">
        <f t="shared" si="131"/>
        <v>0</v>
      </c>
      <c r="L142" s="274">
        <f t="shared" si="131"/>
        <v>0</v>
      </c>
      <c r="M142" s="274">
        <f t="shared" si="131"/>
        <v>0</v>
      </c>
      <c r="N142" s="274">
        <f t="shared" si="131"/>
        <v>0</v>
      </c>
      <c r="O142" s="274">
        <f t="shared" si="131"/>
        <v>0</v>
      </c>
      <c r="P142" s="274">
        <f t="shared" si="131"/>
        <v>0</v>
      </c>
      <c r="Q142" s="58"/>
      <c r="R142" s="275">
        <f t="shared" si="123"/>
        <v>0</v>
      </c>
      <c r="S142" s="272" t="str">
        <f>S115</f>
        <v/>
      </c>
      <c r="T142" s="58"/>
      <c r="U142" s="58"/>
      <c r="V142" s="58"/>
    </row>
    <row r="143" ht="15.75" customHeight="1">
      <c r="A143" s="15"/>
      <c r="B143" s="276"/>
      <c r="C143" s="234" t="s">
        <v>54</v>
      </c>
      <c r="D143" s="235">
        <f t="shared" ref="D143:P143" si="132">sum(D133:D142)</f>
        <v>1199950</v>
      </c>
      <c r="E143" s="235">
        <f t="shared" si="132"/>
        <v>64000</v>
      </c>
      <c r="F143" s="235">
        <f t="shared" si="132"/>
        <v>106100</v>
      </c>
      <c r="G143" s="235">
        <f t="shared" si="132"/>
        <v>128000</v>
      </c>
      <c r="H143" s="235">
        <f t="shared" si="132"/>
        <v>84200</v>
      </c>
      <c r="I143" s="235">
        <f t="shared" si="132"/>
        <v>201250</v>
      </c>
      <c r="J143" s="235">
        <f t="shared" si="132"/>
        <v>53050</v>
      </c>
      <c r="K143" s="235">
        <f t="shared" si="132"/>
        <v>84200</v>
      </c>
      <c r="L143" s="235">
        <f t="shared" si="132"/>
        <v>192000</v>
      </c>
      <c r="M143" s="235">
        <f t="shared" si="132"/>
        <v>84200</v>
      </c>
      <c r="N143" s="235">
        <f t="shared" si="132"/>
        <v>202950</v>
      </c>
      <c r="O143" s="235">
        <f t="shared" si="132"/>
        <v>0</v>
      </c>
      <c r="P143" s="235">
        <f t="shared" si="132"/>
        <v>0</v>
      </c>
      <c r="Q143" s="58"/>
      <c r="R143" s="236">
        <f t="shared" ref="R143:S143" si="133">sum(R133:R142)</f>
        <v>1199950</v>
      </c>
      <c r="S143" s="236">
        <f t="shared" si="133"/>
        <v>288850</v>
      </c>
      <c r="T143" s="58"/>
      <c r="U143" s="58"/>
      <c r="V143" s="58"/>
    </row>
    <row r="144" ht="15.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row>
    <row r="145" ht="15.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row>
    <row r="146" ht="15.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row>
    <row r="147" ht="15.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row>
    <row r="148" ht="15.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row>
    <row r="149" ht="15.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row>
    <row r="150" ht="15.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row>
    <row r="151" ht="15.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row>
    <row r="152" ht="15.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row>
    <row r="153" ht="15.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row>
    <row r="154" ht="15.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row>
    <row r="155" ht="15.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row>
    <row r="156" ht="15.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row>
    <row r="157" ht="15.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row>
    <row r="158" ht="15.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row>
    <row r="159" ht="15.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row>
    <row r="160" ht="15.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row>
    <row r="161" ht="15.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row>
    <row r="162" ht="15.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row>
    <row r="163" ht="15.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row>
    <row r="164" ht="15.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row>
    <row r="165" ht="15.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row>
    <row r="166" ht="15.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row>
    <row r="167" ht="15.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row>
    <row r="168" ht="15.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row>
    <row r="169" ht="15.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row>
    <row r="170" ht="15.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row>
    <row r="171" ht="15.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row>
    <row r="172" ht="15.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row>
    <row r="173" ht="15.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row>
    <row r="174" ht="15.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row>
    <row r="175" ht="15.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row>
    <row r="176" ht="15.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row>
    <row r="177" ht="15.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row>
    <row r="178"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row>
    <row r="179" ht="15.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row>
    <row r="180" ht="15.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row>
    <row r="181"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row>
    <row r="182"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row>
    <row r="183" ht="15.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row>
    <row r="184" ht="15.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row>
    <row r="185" ht="15.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row>
    <row r="186" ht="15.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row>
    <row r="187" ht="15.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row>
    <row r="188" ht="15.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row>
    <row r="189" ht="15.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row>
    <row r="190" ht="15.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row>
    <row r="191" ht="15.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row>
    <row r="192" ht="15.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row>
    <row r="193" ht="15.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row>
    <row r="194" ht="15.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row>
    <row r="195" ht="15.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row>
    <row r="196" ht="15.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row>
    <row r="197" ht="15.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row>
    <row r="198" ht="15.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row>
    <row r="199" ht="15.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row>
    <row r="200" ht="15.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row>
    <row r="201" ht="15.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row>
    <row r="202" ht="15.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row>
    <row r="203" ht="15.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row>
    <row r="204" ht="15.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row>
    <row r="205" ht="15.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row>
    <row r="206" ht="15.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row>
    <row r="207" ht="15.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row>
    <row r="208"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row>
    <row r="209"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row>
    <row r="210" ht="15.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row>
    <row r="211" ht="15.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row>
    <row r="212" ht="15.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row>
    <row r="213"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row>
    <row r="214" ht="15.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row>
    <row r="215"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row>
    <row r="216" ht="15.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row>
    <row r="217"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row>
    <row r="218" ht="15.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row>
    <row r="219"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row>
    <row r="220" ht="15.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row>
    <row r="221" ht="15.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row>
    <row r="222" ht="15.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row>
    <row r="223" ht="15.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row>
    <row r="224" ht="15.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row>
    <row r="225" ht="15.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row>
    <row r="226" ht="15.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row>
    <row r="227" ht="15.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row>
    <row r="228" ht="15.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row>
    <row r="229" ht="15.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row>
    <row r="230" ht="15.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row>
    <row r="231" ht="15.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row>
    <row r="232" ht="15.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row>
    <row r="233" ht="15.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row>
    <row r="234" ht="15.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row>
    <row r="235" ht="15.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row>
    <row r="236" ht="15.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row>
    <row r="237" ht="15.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row>
    <row r="238" ht="15.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row>
    <row r="239" ht="15.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row>
    <row r="240" ht="15.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row>
    <row r="241" ht="15.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row>
    <row r="242" ht="15.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row>
    <row r="243" ht="15.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row>
    <row r="244" ht="15.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row>
    <row r="245" ht="15.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row>
    <row r="246" ht="15.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row>
    <row r="247" ht="15.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row>
    <row r="248" ht="15.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row>
    <row r="249" ht="15.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row>
    <row r="250" ht="15.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row>
    <row r="251" ht="15.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row>
    <row r="252" ht="15.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row>
    <row r="253" ht="15.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row>
    <row r="254" ht="15.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row>
    <row r="255" ht="15.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row>
    <row r="256" ht="15.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row>
    <row r="257" ht="15.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row>
    <row r="258" ht="15.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row>
    <row r="259" ht="15.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row>
    <row r="260" ht="15.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row>
    <row r="261" ht="15.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row>
    <row r="262" ht="15.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row>
    <row r="263" ht="15.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row>
    <row r="264" ht="15.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row>
    <row r="265" ht="15.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row>
    <row r="266" ht="15.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row>
    <row r="267" ht="15.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row>
    <row r="268" ht="15.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row>
    <row r="269" ht="15.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row>
    <row r="270" ht="15.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row>
    <row r="271" ht="15.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row>
    <row r="272" ht="15.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row>
    <row r="273" ht="15.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row>
    <row r="274" ht="15.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row>
    <row r="275" ht="15.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row>
    <row r="276" ht="15.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row>
    <row r="277" ht="15.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row>
    <row r="278" ht="15.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row>
    <row r="279" ht="15.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row>
    <row r="280" ht="15.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row>
    <row r="281" ht="15.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row>
    <row r="282" ht="15.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row>
    <row r="283" ht="15.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row>
    <row r="284" ht="15.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row>
    <row r="285" ht="15.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row>
    <row r="286" ht="15.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row>
    <row r="287" ht="15.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row>
    <row r="288" ht="15.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row>
    <row r="289" ht="15.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row>
    <row r="290" ht="15.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row>
    <row r="291" ht="15.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row>
    <row r="292" ht="15.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row>
    <row r="293" ht="15.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row>
    <row r="294" ht="15.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row>
    <row r="295" ht="15.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row>
    <row r="296" ht="15.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row>
    <row r="297" ht="15.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row>
    <row r="298" ht="15.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row>
    <row r="299" ht="15.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row>
    <row r="300" ht="15.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row>
    <row r="301" ht="15.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row>
    <row r="302" ht="15.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row>
    <row r="303" ht="15.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row>
    <row r="304" ht="15.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row>
    <row r="305" ht="15.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row>
    <row r="306" ht="15.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row>
    <row r="307" ht="15.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row>
    <row r="308" ht="15.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row>
    <row r="309" ht="15.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row>
    <row r="310" ht="15.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row>
    <row r="311" ht="15.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row>
    <row r="312" ht="15.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row>
    <row r="313" ht="15.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row>
    <row r="314" ht="15.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row>
    <row r="315" ht="15.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row>
    <row r="316" ht="15.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row>
    <row r="317" ht="15.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row>
    <row r="318" ht="15.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row>
    <row r="319" ht="15.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row>
    <row r="320" ht="15.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row>
    <row r="321" ht="15.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row>
    <row r="322" ht="15.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row>
    <row r="323" ht="15.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row>
    <row r="324" ht="15.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row>
    <row r="325" ht="15.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row>
    <row r="326" ht="15.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row>
    <row r="327" ht="15.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row>
    <row r="328" ht="15.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row>
    <row r="329" ht="15.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row>
    <row r="330" ht="15.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row>
    <row r="331" ht="15.75" customHeight="1">
      <c r="R331" s="200"/>
      <c r="S331" s="200"/>
    </row>
    <row r="332" ht="15.75" customHeight="1">
      <c r="R332" s="200"/>
      <c r="S332" s="200"/>
    </row>
    <row r="333" ht="15.75" customHeight="1">
      <c r="R333" s="200"/>
      <c r="S333" s="200"/>
    </row>
    <row r="334" ht="15.75" customHeight="1">
      <c r="R334" s="200"/>
      <c r="S334" s="200"/>
    </row>
    <row r="335" ht="15.75" customHeight="1">
      <c r="R335" s="200"/>
      <c r="S335" s="200"/>
    </row>
    <row r="336" ht="15.75" customHeight="1">
      <c r="R336" s="200"/>
      <c r="S336" s="200"/>
    </row>
    <row r="337" ht="15.75" customHeight="1">
      <c r="R337" s="200"/>
      <c r="S337" s="200"/>
    </row>
    <row r="338" ht="15.75" customHeight="1">
      <c r="R338" s="200"/>
      <c r="S338" s="200"/>
    </row>
    <row r="339" ht="15.75" customHeight="1">
      <c r="R339" s="200"/>
      <c r="S339" s="200"/>
    </row>
    <row r="340" ht="15.75" customHeight="1">
      <c r="R340" s="200"/>
      <c r="S340" s="200"/>
    </row>
    <row r="341" ht="15.75" customHeight="1">
      <c r="R341" s="200"/>
      <c r="S341" s="200"/>
    </row>
    <row r="342" ht="15.75" customHeight="1">
      <c r="R342" s="200"/>
      <c r="S342" s="200"/>
    </row>
    <row r="343" ht="15.75" customHeight="1">
      <c r="R343" s="200"/>
      <c r="S343" s="200"/>
    </row>
    <row r="344" ht="15.75" customHeight="1">
      <c r="R344" s="200"/>
      <c r="S344" s="200"/>
    </row>
    <row r="345" ht="15.75" customHeight="1">
      <c r="R345" s="200"/>
      <c r="S345" s="200"/>
    </row>
    <row r="346" ht="15.75" customHeight="1">
      <c r="R346" s="200"/>
      <c r="S346" s="200"/>
    </row>
    <row r="347" ht="15.75" customHeight="1">
      <c r="R347" s="200"/>
      <c r="S347" s="200"/>
    </row>
    <row r="348" ht="15.75" customHeight="1">
      <c r="R348" s="200"/>
      <c r="S348" s="200"/>
    </row>
    <row r="349" ht="15.75" customHeight="1">
      <c r="R349" s="200"/>
      <c r="S349" s="200"/>
    </row>
    <row r="350" ht="15.75" customHeight="1">
      <c r="R350" s="200"/>
      <c r="S350" s="200"/>
    </row>
    <row r="351" ht="15.75" customHeight="1">
      <c r="R351" s="200"/>
      <c r="S351" s="200"/>
    </row>
    <row r="352" ht="15.75" customHeight="1">
      <c r="R352" s="200"/>
      <c r="S352" s="200"/>
    </row>
    <row r="353" ht="15.75" customHeight="1">
      <c r="R353" s="200"/>
      <c r="S353" s="200"/>
    </row>
    <row r="354" ht="15.75" customHeight="1">
      <c r="R354" s="200"/>
      <c r="S354" s="200"/>
    </row>
    <row r="355" ht="15.75" customHeight="1">
      <c r="R355" s="200"/>
      <c r="S355" s="200"/>
    </row>
    <row r="356" ht="15.75" customHeight="1">
      <c r="R356" s="200"/>
      <c r="S356" s="200"/>
    </row>
    <row r="357" ht="15.75" customHeight="1">
      <c r="R357" s="200"/>
      <c r="S357" s="200"/>
    </row>
    <row r="358" ht="15.75" customHeight="1">
      <c r="R358" s="200"/>
      <c r="S358" s="200"/>
    </row>
    <row r="359" ht="15.75" customHeight="1">
      <c r="R359" s="200"/>
      <c r="S359" s="200"/>
    </row>
    <row r="360" ht="15.75" customHeight="1">
      <c r="R360" s="200"/>
      <c r="S360" s="200"/>
    </row>
    <row r="361" ht="15.75" customHeight="1">
      <c r="R361" s="200"/>
      <c r="S361" s="200"/>
    </row>
    <row r="362" ht="15.75" customHeight="1">
      <c r="R362" s="200"/>
      <c r="S362" s="200"/>
    </row>
    <row r="363" ht="15.75" customHeight="1">
      <c r="R363" s="200"/>
      <c r="S363" s="200"/>
    </row>
    <row r="364" ht="15.75" customHeight="1">
      <c r="R364" s="200"/>
      <c r="S364" s="200"/>
    </row>
    <row r="365" ht="15.75" customHeight="1">
      <c r="R365" s="200"/>
      <c r="S365" s="200"/>
    </row>
    <row r="366" ht="15.75" customHeight="1">
      <c r="R366" s="200"/>
      <c r="S366" s="200"/>
    </row>
    <row r="367" ht="15.75" customHeight="1">
      <c r="R367" s="200"/>
      <c r="S367" s="200"/>
    </row>
    <row r="368" ht="15.75" customHeight="1">
      <c r="R368" s="200"/>
      <c r="S368" s="200"/>
    </row>
    <row r="369" ht="15.75" customHeight="1">
      <c r="R369" s="200"/>
      <c r="S369" s="200"/>
    </row>
    <row r="370" ht="15.75" customHeight="1">
      <c r="R370" s="200"/>
      <c r="S370" s="200"/>
    </row>
    <row r="371" ht="15.75" customHeight="1">
      <c r="R371" s="200"/>
      <c r="S371" s="200"/>
    </row>
    <row r="372" ht="15.75" customHeight="1">
      <c r="R372" s="200"/>
      <c r="S372" s="200"/>
    </row>
    <row r="373" ht="15.75" customHeight="1">
      <c r="R373" s="200"/>
      <c r="S373" s="200"/>
    </row>
    <row r="374" ht="15.75" customHeight="1">
      <c r="R374" s="200"/>
      <c r="S374" s="200"/>
    </row>
    <row r="375" ht="15.75" customHeight="1">
      <c r="R375" s="200"/>
      <c r="S375" s="200"/>
    </row>
    <row r="376" ht="15.75" customHeight="1">
      <c r="R376" s="200"/>
      <c r="S376" s="200"/>
    </row>
    <row r="377" ht="15.75" customHeight="1">
      <c r="R377" s="200"/>
      <c r="S377" s="200"/>
    </row>
    <row r="378" ht="15.75" customHeight="1">
      <c r="R378" s="200"/>
      <c r="S378" s="200"/>
    </row>
    <row r="379" ht="15.75" customHeight="1">
      <c r="R379" s="200"/>
      <c r="S379" s="200"/>
    </row>
    <row r="380" ht="15.75" customHeight="1">
      <c r="R380" s="200"/>
      <c r="S380" s="200"/>
    </row>
    <row r="381" ht="15.75" customHeight="1">
      <c r="R381" s="200"/>
      <c r="S381" s="200"/>
    </row>
    <row r="382" ht="15.75" customHeight="1">
      <c r="R382" s="200"/>
      <c r="S382" s="200"/>
    </row>
    <row r="383" ht="15.75" customHeight="1">
      <c r="R383" s="200"/>
      <c r="S383" s="200"/>
    </row>
    <row r="384" ht="15.75" customHeight="1">
      <c r="R384" s="200"/>
      <c r="S384" s="200"/>
    </row>
    <row r="385" ht="15.75" customHeight="1">
      <c r="R385" s="200"/>
      <c r="S385" s="200"/>
    </row>
    <row r="386" ht="15.75" customHeight="1">
      <c r="R386" s="200"/>
      <c r="S386" s="200"/>
    </row>
    <row r="387" ht="15.75" customHeight="1">
      <c r="R387" s="200"/>
      <c r="S387" s="200"/>
    </row>
    <row r="388" ht="15.75" customHeight="1">
      <c r="R388" s="200"/>
      <c r="S388" s="200"/>
    </row>
    <row r="389" ht="15.75" customHeight="1">
      <c r="R389" s="200"/>
      <c r="S389" s="200"/>
    </row>
    <row r="390" ht="15.75" customHeight="1">
      <c r="R390" s="200"/>
      <c r="S390" s="200"/>
    </row>
    <row r="391" ht="15.75" customHeight="1">
      <c r="R391" s="200"/>
      <c r="S391" s="200"/>
    </row>
    <row r="392" ht="15.75" customHeight="1">
      <c r="R392" s="200"/>
      <c r="S392" s="200"/>
    </row>
    <row r="393" ht="15.75" customHeight="1">
      <c r="R393" s="200"/>
      <c r="S393" s="200"/>
    </row>
    <row r="394" ht="15.75" customHeight="1">
      <c r="R394" s="200"/>
      <c r="S394" s="200"/>
    </row>
    <row r="395" ht="15.75" customHeight="1">
      <c r="R395" s="200"/>
      <c r="S395" s="200"/>
    </row>
    <row r="396" ht="15.75" customHeight="1">
      <c r="R396" s="200"/>
      <c r="S396" s="200"/>
    </row>
    <row r="397" ht="15.75" customHeight="1">
      <c r="R397" s="200"/>
      <c r="S397" s="200"/>
    </row>
    <row r="398" ht="15.75" customHeight="1">
      <c r="R398" s="200"/>
      <c r="S398" s="200"/>
    </row>
    <row r="399" ht="15.75" customHeight="1">
      <c r="R399" s="200"/>
      <c r="S399" s="200"/>
    </row>
    <row r="400" ht="15.75" customHeight="1">
      <c r="R400" s="200"/>
      <c r="S400" s="200"/>
    </row>
    <row r="401" ht="15.75" customHeight="1">
      <c r="R401" s="200"/>
      <c r="S401" s="200"/>
    </row>
    <row r="402" ht="15.75" customHeight="1">
      <c r="R402" s="200"/>
      <c r="S402" s="200"/>
    </row>
    <row r="403" ht="15.75" customHeight="1">
      <c r="R403" s="200"/>
      <c r="S403" s="200"/>
    </row>
    <row r="404" ht="15.75" customHeight="1">
      <c r="R404" s="200"/>
      <c r="S404" s="200"/>
    </row>
    <row r="405" ht="15.75" customHeight="1">
      <c r="R405" s="200"/>
      <c r="S405" s="200"/>
    </row>
    <row r="406" ht="15.75" customHeight="1">
      <c r="R406" s="200"/>
      <c r="S406" s="200"/>
    </row>
    <row r="407" ht="15.75" customHeight="1">
      <c r="R407" s="200"/>
      <c r="S407" s="200"/>
    </row>
    <row r="408" ht="15.75" customHeight="1">
      <c r="R408" s="200"/>
      <c r="S408" s="200"/>
    </row>
    <row r="409" ht="15.75" customHeight="1">
      <c r="R409" s="200"/>
      <c r="S409" s="200"/>
    </row>
    <row r="410" ht="15.75" customHeight="1">
      <c r="R410" s="200"/>
      <c r="S410" s="200"/>
    </row>
    <row r="411" ht="15.75" customHeight="1">
      <c r="R411" s="200"/>
      <c r="S411" s="200"/>
    </row>
    <row r="412" ht="15.75" customHeight="1">
      <c r="R412" s="200"/>
      <c r="S412" s="200"/>
    </row>
    <row r="413" ht="15.75" customHeight="1">
      <c r="R413" s="200"/>
      <c r="S413" s="200"/>
    </row>
    <row r="414" ht="15.75" customHeight="1">
      <c r="R414" s="200"/>
      <c r="S414" s="200"/>
    </row>
    <row r="415" ht="15.75" customHeight="1">
      <c r="R415" s="200"/>
      <c r="S415" s="200"/>
    </row>
    <row r="416" ht="15.75" customHeight="1">
      <c r="R416" s="200"/>
      <c r="S416" s="200"/>
    </row>
    <row r="417" ht="15.75" customHeight="1">
      <c r="R417" s="200"/>
      <c r="S417" s="200"/>
    </row>
    <row r="418" ht="15.75" customHeight="1">
      <c r="R418" s="200"/>
      <c r="S418" s="200"/>
    </row>
    <row r="419" ht="15.75" customHeight="1">
      <c r="R419" s="200"/>
      <c r="S419" s="200"/>
    </row>
    <row r="420" ht="15.75" customHeight="1">
      <c r="R420" s="200"/>
      <c r="S420" s="200"/>
    </row>
    <row r="421" ht="15.75" customHeight="1">
      <c r="R421" s="200"/>
      <c r="S421" s="200"/>
    </row>
    <row r="422" ht="15.75" customHeight="1">
      <c r="R422" s="200"/>
      <c r="S422" s="200"/>
    </row>
    <row r="423" ht="15.75" customHeight="1">
      <c r="R423" s="200"/>
      <c r="S423" s="200"/>
    </row>
    <row r="424" ht="15.75" customHeight="1">
      <c r="R424" s="200"/>
      <c r="S424" s="200"/>
    </row>
    <row r="425" ht="15.75" customHeight="1">
      <c r="R425" s="200"/>
      <c r="S425" s="200"/>
    </row>
    <row r="426" ht="15.75" customHeight="1">
      <c r="R426" s="200"/>
      <c r="S426" s="200"/>
    </row>
    <row r="427" ht="15.75" customHeight="1">
      <c r="R427" s="200"/>
      <c r="S427" s="200"/>
    </row>
    <row r="428" ht="15.75" customHeight="1">
      <c r="R428" s="200"/>
      <c r="S428" s="200"/>
    </row>
    <row r="429" ht="15.75" customHeight="1">
      <c r="R429" s="200"/>
      <c r="S429" s="200"/>
    </row>
    <row r="430" ht="15.75" customHeight="1">
      <c r="R430" s="200"/>
      <c r="S430" s="200"/>
    </row>
    <row r="431" ht="15.75" customHeight="1">
      <c r="R431" s="200"/>
      <c r="S431" s="200"/>
    </row>
    <row r="432" ht="15.75" customHeight="1">
      <c r="R432" s="200"/>
      <c r="S432" s="200"/>
    </row>
    <row r="433" ht="15.75" customHeight="1">
      <c r="R433" s="200"/>
      <c r="S433" s="200"/>
    </row>
    <row r="434" ht="15.75" customHeight="1">
      <c r="R434" s="200"/>
      <c r="S434" s="200"/>
    </row>
    <row r="435" ht="15.75" customHeight="1">
      <c r="R435" s="200"/>
      <c r="S435" s="200"/>
    </row>
    <row r="436" ht="15.75" customHeight="1">
      <c r="R436" s="200"/>
      <c r="S436" s="200"/>
    </row>
    <row r="437" ht="15.75" customHeight="1">
      <c r="R437" s="200"/>
      <c r="S437" s="200"/>
    </row>
    <row r="438" ht="15.75" customHeight="1">
      <c r="R438" s="200"/>
      <c r="S438" s="200"/>
    </row>
    <row r="439" ht="15.75" customHeight="1">
      <c r="R439" s="200"/>
      <c r="S439" s="200"/>
    </row>
    <row r="440" ht="15.75" customHeight="1">
      <c r="R440" s="200"/>
      <c r="S440" s="200"/>
    </row>
    <row r="441" ht="15.75" customHeight="1">
      <c r="R441" s="200"/>
      <c r="S441" s="200"/>
    </row>
    <row r="442" ht="15.75" customHeight="1">
      <c r="R442" s="200"/>
      <c r="S442" s="200"/>
    </row>
    <row r="443" ht="15.75" customHeight="1">
      <c r="R443" s="200"/>
      <c r="S443" s="200"/>
    </row>
    <row r="444" ht="15.75" customHeight="1">
      <c r="R444" s="200"/>
      <c r="S444" s="200"/>
    </row>
    <row r="445" ht="15.75" customHeight="1">
      <c r="R445" s="200"/>
      <c r="S445" s="200"/>
    </row>
    <row r="446" ht="15.75" customHeight="1">
      <c r="R446" s="200"/>
      <c r="S446" s="200"/>
    </row>
    <row r="447" ht="15.75" customHeight="1">
      <c r="R447" s="200"/>
      <c r="S447" s="200"/>
    </row>
    <row r="448" ht="15.75" customHeight="1">
      <c r="R448" s="200"/>
      <c r="S448" s="200"/>
    </row>
    <row r="449" ht="15.75" customHeight="1">
      <c r="R449" s="200"/>
      <c r="S449" s="200"/>
    </row>
    <row r="450" ht="15.75" customHeight="1">
      <c r="R450" s="200"/>
      <c r="S450" s="200"/>
    </row>
    <row r="451" ht="15.75" customHeight="1">
      <c r="R451" s="200"/>
      <c r="S451" s="200"/>
    </row>
    <row r="452" ht="15.75" customHeight="1">
      <c r="R452" s="200"/>
      <c r="S452" s="200"/>
    </row>
    <row r="453" ht="15.75" customHeight="1">
      <c r="R453" s="200"/>
      <c r="S453" s="200"/>
    </row>
    <row r="454" ht="15.75" customHeight="1">
      <c r="R454" s="200"/>
      <c r="S454" s="200"/>
    </row>
    <row r="455" ht="15.75" customHeight="1">
      <c r="R455" s="200"/>
      <c r="S455" s="200"/>
    </row>
    <row r="456" ht="15.75" customHeight="1">
      <c r="R456" s="200"/>
      <c r="S456" s="200"/>
    </row>
    <row r="457" ht="15.75" customHeight="1">
      <c r="R457" s="200"/>
      <c r="S457" s="200"/>
    </row>
    <row r="458" ht="15.75" customHeight="1">
      <c r="R458" s="200"/>
      <c r="S458" s="200"/>
    </row>
    <row r="459" ht="15.75" customHeight="1">
      <c r="R459" s="200"/>
      <c r="S459" s="200"/>
    </row>
    <row r="460" ht="15.75" customHeight="1">
      <c r="R460" s="200"/>
      <c r="S460" s="200"/>
    </row>
    <row r="461" ht="15.75" customHeight="1">
      <c r="R461" s="200"/>
      <c r="S461" s="200"/>
    </row>
    <row r="462" ht="15.75" customHeight="1">
      <c r="R462" s="200"/>
      <c r="S462" s="200"/>
    </row>
    <row r="463" ht="15.75" customHeight="1">
      <c r="R463" s="200"/>
      <c r="S463" s="200"/>
    </row>
    <row r="464" ht="15.75" customHeight="1">
      <c r="R464" s="200"/>
      <c r="S464" s="200"/>
    </row>
    <row r="465" ht="15.75" customHeight="1">
      <c r="R465" s="200"/>
      <c r="S465" s="200"/>
    </row>
    <row r="466" ht="15.75" customHeight="1">
      <c r="R466" s="200"/>
      <c r="S466" s="200"/>
    </row>
    <row r="467" ht="15.75" customHeight="1">
      <c r="R467" s="200"/>
      <c r="S467" s="200"/>
    </row>
    <row r="468" ht="15.75" customHeight="1">
      <c r="R468" s="200"/>
      <c r="S468" s="200"/>
    </row>
    <row r="469" ht="15.75" customHeight="1">
      <c r="R469" s="200"/>
      <c r="S469" s="200"/>
    </row>
    <row r="470" ht="15.75" customHeight="1">
      <c r="R470" s="200"/>
      <c r="S470" s="200"/>
    </row>
    <row r="471" ht="15.75" customHeight="1">
      <c r="R471" s="200"/>
      <c r="S471" s="200"/>
    </row>
    <row r="472" ht="15.75" customHeight="1">
      <c r="R472" s="200"/>
      <c r="S472" s="200"/>
    </row>
    <row r="473" ht="15.75" customHeight="1">
      <c r="R473" s="200"/>
      <c r="S473" s="200"/>
    </row>
    <row r="474" ht="15.75" customHeight="1">
      <c r="R474" s="200"/>
      <c r="S474" s="200"/>
    </row>
    <row r="475" ht="15.75" customHeight="1">
      <c r="R475" s="200"/>
      <c r="S475" s="200"/>
    </row>
    <row r="476" ht="15.75" customHeight="1">
      <c r="R476" s="200"/>
      <c r="S476" s="200"/>
    </row>
    <row r="477" ht="15.75" customHeight="1">
      <c r="R477" s="200"/>
      <c r="S477" s="200"/>
    </row>
    <row r="478" ht="15.75" customHeight="1">
      <c r="R478" s="200"/>
      <c r="S478" s="200"/>
    </row>
    <row r="479" ht="15.75" customHeight="1">
      <c r="R479" s="200"/>
      <c r="S479" s="200"/>
    </row>
    <row r="480" ht="15.75" customHeight="1">
      <c r="R480" s="200"/>
      <c r="S480" s="200"/>
    </row>
    <row r="481" ht="15.75" customHeight="1">
      <c r="R481" s="200"/>
      <c r="S481" s="200"/>
    </row>
    <row r="482" ht="15.75" customHeight="1">
      <c r="R482" s="200"/>
      <c r="S482" s="200"/>
    </row>
    <row r="483" ht="15.75" customHeight="1">
      <c r="R483" s="200"/>
      <c r="S483" s="200"/>
    </row>
    <row r="484" ht="15.75" customHeight="1">
      <c r="R484" s="200"/>
      <c r="S484" s="200"/>
    </row>
    <row r="485" ht="15.75" customHeight="1">
      <c r="R485" s="200"/>
      <c r="S485" s="200"/>
    </row>
    <row r="486" ht="15.75" customHeight="1">
      <c r="R486" s="200"/>
      <c r="S486" s="200"/>
    </row>
    <row r="487" ht="15.75" customHeight="1">
      <c r="R487" s="200"/>
      <c r="S487" s="200"/>
    </row>
    <row r="488" ht="15.75" customHeight="1">
      <c r="R488" s="200"/>
      <c r="S488" s="200"/>
    </row>
    <row r="489" ht="15.75" customHeight="1">
      <c r="R489" s="200"/>
      <c r="S489" s="200"/>
    </row>
    <row r="490" ht="15.75" customHeight="1">
      <c r="R490" s="200"/>
      <c r="S490" s="200"/>
    </row>
    <row r="491" ht="15.75" customHeight="1">
      <c r="R491" s="200"/>
      <c r="S491" s="200"/>
    </row>
    <row r="492" ht="15.75" customHeight="1">
      <c r="R492" s="200"/>
      <c r="S492" s="200"/>
    </row>
    <row r="493" ht="15.75" customHeight="1">
      <c r="R493" s="200"/>
      <c r="S493" s="200"/>
    </row>
    <row r="494" ht="15.75" customHeight="1">
      <c r="R494" s="200"/>
      <c r="S494" s="200"/>
    </row>
    <row r="495" ht="15.75" customHeight="1">
      <c r="R495" s="200"/>
      <c r="S495" s="200"/>
    </row>
    <row r="496" ht="15.75" customHeight="1">
      <c r="R496" s="200"/>
      <c r="S496" s="200"/>
    </row>
    <row r="497" ht="15.75" customHeight="1">
      <c r="R497" s="200"/>
      <c r="S497" s="200"/>
    </row>
    <row r="498" ht="15.75" customHeight="1">
      <c r="R498" s="200"/>
      <c r="S498" s="200"/>
    </row>
    <row r="499" ht="15.75" customHeight="1">
      <c r="R499" s="200"/>
      <c r="S499" s="200"/>
    </row>
    <row r="500" ht="15.75" customHeight="1">
      <c r="R500" s="200"/>
      <c r="S500" s="200"/>
    </row>
    <row r="501" ht="15.75" customHeight="1">
      <c r="R501" s="200"/>
      <c r="S501" s="200"/>
    </row>
    <row r="502" ht="15.75" customHeight="1">
      <c r="R502" s="200"/>
      <c r="S502" s="200"/>
    </row>
    <row r="503" ht="15.75" customHeight="1">
      <c r="R503" s="200"/>
      <c r="S503" s="200"/>
    </row>
    <row r="504" ht="15.75" customHeight="1">
      <c r="R504" s="200"/>
      <c r="S504" s="200"/>
    </row>
    <row r="505" ht="15.75" customHeight="1">
      <c r="R505" s="200"/>
      <c r="S505" s="200"/>
    </row>
    <row r="506" ht="15.75" customHeight="1">
      <c r="R506" s="200"/>
      <c r="S506" s="200"/>
    </row>
    <row r="507" ht="15.75" customHeight="1">
      <c r="R507" s="200"/>
      <c r="S507" s="200"/>
    </row>
    <row r="508" ht="15.75" customHeight="1">
      <c r="R508" s="200"/>
      <c r="S508" s="200"/>
    </row>
    <row r="509" ht="15.75" customHeight="1">
      <c r="R509" s="200"/>
      <c r="S509" s="200"/>
    </row>
    <row r="510" ht="15.75" customHeight="1">
      <c r="R510" s="200"/>
      <c r="S510" s="200"/>
    </row>
    <row r="511" ht="15.75" customHeight="1">
      <c r="R511" s="200"/>
      <c r="S511" s="200"/>
    </row>
    <row r="512" ht="15.75" customHeight="1">
      <c r="R512" s="200"/>
      <c r="S512" s="200"/>
    </row>
    <row r="513" ht="15.75" customHeight="1">
      <c r="R513" s="200"/>
      <c r="S513" s="200"/>
    </row>
    <row r="514" ht="15.75" customHeight="1">
      <c r="R514" s="200"/>
      <c r="S514" s="200"/>
    </row>
    <row r="515" ht="15.75" customHeight="1">
      <c r="R515" s="200"/>
      <c r="S515" s="200"/>
    </row>
    <row r="516" ht="15.75" customHeight="1">
      <c r="R516" s="200"/>
      <c r="S516" s="200"/>
    </row>
    <row r="517" ht="15.75" customHeight="1">
      <c r="R517" s="200"/>
      <c r="S517" s="200"/>
    </row>
    <row r="518" ht="15.75" customHeight="1">
      <c r="R518" s="200"/>
      <c r="S518" s="200"/>
    </row>
    <row r="519" ht="15.75" customHeight="1">
      <c r="R519" s="200"/>
      <c r="S519" s="200"/>
    </row>
    <row r="520" ht="15.75" customHeight="1">
      <c r="R520" s="200"/>
      <c r="S520" s="200"/>
    </row>
    <row r="521" ht="15.75" customHeight="1">
      <c r="R521" s="200"/>
      <c r="S521" s="200"/>
    </row>
    <row r="522" ht="15.75" customHeight="1">
      <c r="R522" s="200"/>
      <c r="S522" s="200"/>
    </row>
    <row r="523" ht="15.75" customHeight="1">
      <c r="R523" s="200"/>
      <c r="S523" s="200"/>
    </row>
    <row r="524" ht="15.75" customHeight="1">
      <c r="R524" s="200"/>
      <c r="S524" s="200"/>
    </row>
    <row r="525" ht="15.75" customHeight="1">
      <c r="R525" s="200"/>
      <c r="S525" s="200"/>
    </row>
    <row r="526" ht="15.75" customHeight="1">
      <c r="R526" s="200"/>
      <c r="S526" s="200"/>
    </row>
    <row r="527" ht="15.75" customHeight="1">
      <c r="R527" s="200"/>
      <c r="S527" s="200"/>
    </row>
    <row r="528" ht="15.75" customHeight="1">
      <c r="R528" s="200"/>
      <c r="S528" s="200"/>
    </row>
    <row r="529" ht="15.75" customHeight="1">
      <c r="R529" s="200"/>
      <c r="S529" s="200"/>
    </row>
    <row r="530" ht="15.75" customHeight="1">
      <c r="R530" s="200"/>
      <c r="S530" s="200"/>
    </row>
    <row r="531" ht="15.75" customHeight="1">
      <c r="R531" s="200"/>
      <c r="S531" s="200"/>
    </row>
    <row r="532" ht="15.75" customHeight="1">
      <c r="R532" s="200"/>
      <c r="S532" s="200"/>
    </row>
    <row r="533" ht="15.75" customHeight="1">
      <c r="R533" s="200"/>
      <c r="S533" s="200"/>
    </row>
    <row r="534" ht="15.75" customHeight="1">
      <c r="R534" s="200"/>
      <c r="S534" s="200"/>
    </row>
    <row r="535" ht="15.75" customHeight="1">
      <c r="R535" s="200"/>
      <c r="S535" s="200"/>
    </row>
    <row r="536" ht="15.75" customHeight="1">
      <c r="R536" s="200"/>
      <c r="S536" s="200"/>
    </row>
    <row r="537" ht="15.75" customHeight="1">
      <c r="R537" s="200"/>
      <c r="S537" s="200"/>
    </row>
    <row r="538" ht="15.75" customHeight="1">
      <c r="R538" s="200"/>
      <c r="S538" s="200"/>
    </row>
    <row r="539" ht="15.75" customHeight="1">
      <c r="R539" s="200"/>
      <c r="S539" s="200"/>
    </row>
    <row r="540" ht="15.75" customHeight="1">
      <c r="R540" s="200"/>
      <c r="S540" s="200"/>
    </row>
    <row r="541" ht="15.75" customHeight="1">
      <c r="R541" s="200"/>
      <c r="S541" s="200"/>
    </row>
    <row r="542" ht="15.75" customHeight="1">
      <c r="R542" s="200"/>
      <c r="S542" s="200"/>
    </row>
    <row r="543" ht="15.75" customHeight="1">
      <c r="R543" s="200"/>
      <c r="S543" s="200"/>
    </row>
    <row r="544" ht="15.75" customHeight="1">
      <c r="R544" s="200"/>
      <c r="S544" s="200"/>
    </row>
    <row r="545" ht="15.75" customHeight="1">
      <c r="R545" s="200"/>
      <c r="S545" s="200"/>
    </row>
    <row r="546" ht="15.75" customHeight="1">
      <c r="R546" s="200"/>
      <c r="S546" s="200"/>
    </row>
    <row r="547" ht="15.75" customHeight="1">
      <c r="R547" s="200"/>
      <c r="S547" s="200"/>
    </row>
    <row r="548" ht="15.75" customHeight="1">
      <c r="R548" s="200"/>
      <c r="S548" s="200"/>
    </row>
    <row r="549" ht="15.75" customHeight="1">
      <c r="R549" s="200"/>
      <c r="S549" s="200"/>
    </row>
    <row r="550" ht="15.75" customHeight="1">
      <c r="R550" s="200"/>
      <c r="S550" s="200"/>
    </row>
    <row r="551" ht="15.75" customHeight="1">
      <c r="R551" s="200"/>
      <c r="S551" s="200"/>
    </row>
    <row r="552" ht="15.75" customHeight="1">
      <c r="R552" s="200"/>
      <c r="S552" s="200"/>
    </row>
    <row r="553" ht="15.75" customHeight="1">
      <c r="R553" s="200"/>
      <c r="S553" s="200"/>
    </row>
    <row r="554" ht="15.75" customHeight="1">
      <c r="R554" s="200"/>
      <c r="S554" s="200"/>
    </row>
    <row r="555" ht="15.75" customHeight="1">
      <c r="R555" s="200"/>
      <c r="S555" s="200"/>
    </row>
    <row r="556" ht="15.75" customHeight="1">
      <c r="R556" s="200"/>
      <c r="S556" s="200"/>
    </row>
    <row r="557" ht="15.75" customHeight="1">
      <c r="R557" s="200"/>
      <c r="S557" s="200"/>
    </row>
    <row r="558" ht="15.75" customHeight="1">
      <c r="R558" s="200"/>
      <c r="S558" s="200"/>
    </row>
    <row r="559" ht="15.75" customHeight="1">
      <c r="R559" s="200"/>
      <c r="S559" s="200"/>
    </row>
    <row r="560" ht="15.75" customHeight="1">
      <c r="R560" s="200"/>
      <c r="S560" s="200"/>
    </row>
    <row r="561" ht="15.75" customHeight="1">
      <c r="R561" s="200"/>
      <c r="S561" s="200"/>
    </row>
    <row r="562" ht="15.75" customHeight="1">
      <c r="R562" s="200"/>
      <c r="S562" s="200"/>
    </row>
    <row r="563" ht="15.75" customHeight="1">
      <c r="R563" s="200"/>
      <c r="S563" s="200"/>
    </row>
    <row r="564" ht="15.75" customHeight="1">
      <c r="R564" s="200"/>
      <c r="S564" s="200"/>
    </row>
    <row r="565" ht="15.75" customHeight="1">
      <c r="R565" s="200"/>
      <c r="S565" s="200"/>
    </row>
    <row r="566" ht="15.75" customHeight="1">
      <c r="R566" s="200"/>
      <c r="S566" s="200"/>
    </row>
    <row r="567" ht="15.75" customHeight="1">
      <c r="R567" s="200"/>
      <c r="S567" s="200"/>
    </row>
    <row r="568" ht="15.75" customHeight="1">
      <c r="R568" s="200"/>
      <c r="S568" s="200"/>
    </row>
    <row r="569" ht="15.75" customHeight="1">
      <c r="R569" s="200"/>
      <c r="S569" s="200"/>
    </row>
    <row r="570" ht="15.75" customHeight="1">
      <c r="R570" s="200"/>
      <c r="S570" s="200"/>
    </row>
    <row r="571" ht="15.75" customHeight="1">
      <c r="R571" s="200"/>
      <c r="S571" s="200"/>
    </row>
    <row r="572" ht="15.75" customHeight="1">
      <c r="R572" s="200"/>
      <c r="S572" s="200"/>
    </row>
    <row r="573" ht="15.75" customHeight="1">
      <c r="R573" s="200"/>
      <c r="S573" s="200"/>
    </row>
    <row r="574" ht="15.75" customHeight="1">
      <c r="R574" s="200"/>
      <c r="S574" s="200"/>
    </row>
    <row r="575" ht="15.75" customHeight="1">
      <c r="R575" s="200"/>
      <c r="S575" s="200"/>
    </row>
    <row r="576" ht="15.75" customHeight="1">
      <c r="R576" s="200"/>
      <c r="S576" s="200"/>
    </row>
    <row r="577" ht="15.75" customHeight="1">
      <c r="R577" s="200"/>
      <c r="S577" s="200"/>
    </row>
    <row r="578" ht="15.75" customHeight="1">
      <c r="R578" s="200"/>
      <c r="S578" s="200"/>
    </row>
    <row r="579" ht="15.75" customHeight="1">
      <c r="R579" s="200"/>
      <c r="S579" s="200"/>
    </row>
    <row r="580" ht="15.75" customHeight="1">
      <c r="R580" s="200"/>
      <c r="S580" s="200"/>
    </row>
    <row r="581" ht="15.75" customHeight="1">
      <c r="R581" s="200"/>
      <c r="S581" s="200"/>
    </row>
    <row r="582" ht="15.75" customHeight="1">
      <c r="R582" s="200"/>
      <c r="S582" s="200"/>
    </row>
    <row r="583" ht="15.75" customHeight="1">
      <c r="R583" s="200"/>
      <c r="S583" s="200"/>
    </row>
    <row r="584" ht="15.75" customHeight="1">
      <c r="R584" s="200"/>
      <c r="S584" s="200"/>
    </row>
    <row r="585" ht="15.75" customHeight="1">
      <c r="R585" s="200"/>
      <c r="S585" s="200"/>
    </row>
    <row r="586" ht="15.75" customHeight="1">
      <c r="R586" s="200"/>
      <c r="S586" s="200"/>
    </row>
    <row r="587" ht="15.75" customHeight="1">
      <c r="R587" s="200"/>
      <c r="S587" s="200"/>
    </row>
    <row r="588" ht="15.75" customHeight="1">
      <c r="R588" s="200"/>
      <c r="S588" s="200"/>
    </row>
    <row r="589" ht="15.75" customHeight="1">
      <c r="R589" s="200"/>
      <c r="S589" s="200"/>
    </row>
    <row r="590" ht="15.75" customHeight="1">
      <c r="R590" s="200"/>
      <c r="S590" s="200"/>
    </row>
    <row r="591" ht="15.75" customHeight="1">
      <c r="R591" s="200"/>
      <c r="S591" s="200"/>
    </row>
    <row r="592" ht="15.75" customHeight="1">
      <c r="R592" s="200"/>
      <c r="S592" s="200"/>
    </row>
    <row r="593" ht="15.75" customHeight="1">
      <c r="R593" s="200"/>
      <c r="S593" s="200"/>
    </row>
    <row r="594" ht="15.75" customHeight="1">
      <c r="R594" s="200"/>
      <c r="S594" s="200"/>
    </row>
    <row r="595" ht="15.75" customHeight="1">
      <c r="R595" s="200"/>
      <c r="S595" s="200"/>
    </row>
    <row r="596" ht="15.75" customHeight="1">
      <c r="R596" s="200"/>
      <c r="S596" s="200"/>
    </row>
    <row r="597" ht="15.75" customHeight="1">
      <c r="R597" s="200"/>
      <c r="S597" s="200"/>
    </row>
    <row r="598" ht="15.75" customHeight="1">
      <c r="R598" s="200"/>
      <c r="S598" s="200"/>
    </row>
    <row r="599" ht="15.75" customHeight="1">
      <c r="R599" s="200"/>
      <c r="S599" s="200"/>
    </row>
    <row r="600" ht="15.75" customHeight="1">
      <c r="R600" s="200"/>
      <c r="S600" s="200"/>
    </row>
    <row r="601" ht="15.75" customHeight="1">
      <c r="R601" s="200"/>
      <c r="S601" s="200"/>
    </row>
    <row r="602" ht="15.75" customHeight="1">
      <c r="R602" s="200"/>
      <c r="S602" s="200"/>
    </row>
    <row r="603" ht="15.75" customHeight="1">
      <c r="R603" s="200"/>
      <c r="S603" s="200"/>
    </row>
    <row r="604" ht="15.75" customHeight="1">
      <c r="R604" s="200"/>
      <c r="S604" s="200"/>
    </row>
    <row r="605" ht="15.75" customHeight="1">
      <c r="R605" s="200"/>
      <c r="S605" s="200"/>
    </row>
    <row r="606" ht="15.75" customHeight="1">
      <c r="R606" s="200"/>
      <c r="S606" s="200"/>
    </row>
    <row r="607" ht="15.75" customHeight="1">
      <c r="R607" s="200"/>
      <c r="S607" s="200"/>
    </row>
    <row r="608" ht="15.75" customHeight="1">
      <c r="R608" s="200"/>
      <c r="S608" s="200"/>
    </row>
    <row r="609" ht="15.75" customHeight="1">
      <c r="R609" s="200"/>
      <c r="S609" s="200"/>
    </row>
    <row r="610" ht="15.75" customHeight="1">
      <c r="R610" s="200"/>
      <c r="S610" s="200"/>
    </row>
    <row r="611" ht="15.75" customHeight="1">
      <c r="R611" s="200"/>
      <c r="S611" s="200"/>
    </row>
    <row r="612" ht="15.75" customHeight="1">
      <c r="R612" s="200"/>
      <c r="S612" s="200"/>
    </row>
    <row r="613" ht="15.75" customHeight="1">
      <c r="R613" s="200"/>
      <c r="S613" s="200"/>
    </row>
    <row r="614" ht="15.75" customHeight="1">
      <c r="R614" s="200"/>
      <c r="S614" s="200"/>
    </row>
    <row r="615" ht="15.75" customHeight="1">
      <c r="R615" s="200"/>
      <c r="S615" s="200"/>
    </row>
    <row r="616" ht="15.75" customHeight="1">
      <c r="R616" s="200"/>
      <c r="S616" s="200"/>
    </row>
    <row r="617" ht="15.75" customHeight="1">
      <c r="R617" s="200"/>
      <c r="S617" s="200"/>
    </row>
    <row r="618" ht="15.75" customHeight="1">
      <c r="R618" s="200"/>
      <c r="S618" s="200"/>
    </row>
    <row r="619" ht="15.75" customHeight="1">
      <c r="R619" s="200"/>
      <c r="S619" s="200"/>
    </row>
    <row r="620" ht="15.75" customHeight="1">
      <c r="R620" s="200"/>
      <c r="S620" s="200"/>
    </row>
    <row r="621" ht="15.75" customHeight="1">
      <c r="R621" s="200"/>
      <c r="S621" s="200"/>
    </row>
    <row r="622" ht="15.75" customHeight="1">
      <c r="R622" s="200"/>
      <c r="S622" s="200"/>
    </row>
    <row r="623" ht="15.75" customHeight="1">
      <c r="R623" s="200"/>
      <c r="S623" s="200"/>
    </row>
    <row r="624" ht="15.75" customHeight="1">
      <c r="R624" s="200"/>
      <c r="S624" s="200"/>
    </row>
    <row r="625" ht="15.75" customHeight="1">
      <c r="R625" s="200"/>
      <c r="S625" s="200"/>
    </row>
    <row r="626" ht="15.75" customHeight="1">
      <c r="R626" s="200"/>
      <c r="S626" s="200"/>
    </row>
    <row r="627" ht="15.75" customHeight="1">
      <c r="R627" s="200"/>
      <c r="S627" s="200"/>
    </row>
    <row r="628" ht="15.75" customHeight="1">
      <c r="R628" s="200"/>
      <c r="S628" s="200"/>
    </row>
    <row r="629" ht="15.75" customHeight="1">
      <c r="R629" s="200"/>
      <c r="S629" s="200"/>
    </row>
    <row r="630" ht="15.75" customHeight="1">
      <c r="R630" s="200"/>
      <c r="S630" s="200"/>
    </row>
    <row r="631" ht="15.75" customHeight="1">
      <c r="R631" s="200"/>
      <c r="S631" s="200"/>
    </row>
    <row r="632" ht="15.75" customHeight="1">
      <c r="R632" s="200"/>
      <c r="S632" s="200"/>
    </row>
    <row r="633" ht="15.75" customHeight="1">
      <c r="R633" s="200"/>
      <c r="S633" s="200"/>
    </row>
    <row r="634" ht="15.75" customHeight="1">
      <c r="R634" s="200"/>
      <c r="S634" s="200"/>
    </row>
    <row r="635" ht="15.75" customHeight="1">
      <c r="R635" s="200"/>
      <c r="S635" s="200"/>
    </row>
    <row r="636" ht="15.75" customHeight="1">
      <c r="R636" s="200"/>
      <c r="S636" s="200"/>
    </row>
    <row r="637" ht="15.75" customHeight="1">
      <c r="R637" s="200"/>
      <c r="S637" s="200"/>
    </row>
    <row r="638" ht="15.75" customHeight="1">
      <c r="R638" s="200"/>
      <c r="S638" s="200"/>
    </row>
    <row r="639" ht="15.75" customHeight="1">
      <c r="R639" s="200"/>
      <c r="S639" s="200"/>
    </row>
    <row r="640" ht="15.75" customHeight="1">
      <c r="R640" s="200"/>
      <c r="S640" s="200"/>
    </row>
    <row r="641" ht="15.75" customHeight="1">
      <c r="R641" s="200"/>
      <c r="S641" s="200"/>
    </row>
    <row r="642" ht="15.75" customHeight="1">
      <c r="R642" s="200"/>
      <c r="S642" s="200"/>
    </row>
    <row r="643" ht="15.75" customHeight="1">
      <c r="R643" s="200"/>
      <c r="S643" s="200"/>
    </row>
    <row r="644" ht="15.75" customHeight="1">
      <c r="R644" s="200"/>
      <c r="S644" s="200"/>
    </row>
    <row r="645" ht="15.75" customHeight="1">
      <c r="R645" s="200"/>
      <c r="S645" s="200"/>
    </row>
    <row r="646" ht="15.75" customHeight="1">
      <c r="R646" s="200"/>
      <c r="S646" s="200"/>
    </row>
    <row r="647" ht="15.75" customHeight="1">
      <c r="R647" s="200"/>
      <c r="S647" s="200"/>
    </row>
    <row r="648" ht="15.75" customHeight="1">
      <c r="R648" s="200"/>
      <c r="S648" s="200"/>
    </row>
    <row r="649" ht="15.75" customHeight="1">
      <c r="R649" s="200"/>
      <c r="S649" s="200"/>
    </row>
    <row r="650" ht="15.75" customHeight="1">
      <c r="R650" s="200"/>
      <c r="S650" s="200"/>
    </row>
    <row r="651" ht="15.75" customHeight="1">
      <c r="R651" s="200"/>
      <c r="S651" s="200"/>
    </row>
    <row r="652" ht="15.75" customHeight="1">
      <c r="R652" s="200"/>
      <c r="S652" s="200"/>
    </row>
    <row r="653" ht="15.75" customHeight="1">
      <c r="R653" s="200"/>
      <c r="S653" s="200"/>
    </row>
    <row r="654" ht="15.75" customHeight="1">
      <c r="R654" s="200"/>
      <c r="S654" s="200"/>
    </row>
    <row r="655" ht="15.75" customHeight="1">
      <c r="R655" s="200"/>
      <c r="S655" s="200"/>
    </row>
    <row r="656" ht="15.75" customHeight="1">
      <c r="R656" s="200"/>
      <c r="S656" s="200"/>
    </row>
    <row r="657" ht="15.75" customHeight="1">
      <c r="R657" s="200"/>
      <c r="S657" s="200"/>
    </row>
    <row r="658" ht="15.75" customHeight="1">
      <c r="R658" s="200"/>
      <c r="S658" s="200"/>
    </row>
    <row r="659" ht="15.75" customHeight="1">
      <c r="R659" s="200"/>
      <c r="S659" s="200"/>
    </row>
    <row r="660" ht="15.75" customHeight="1">
      <c r="R660" s="200"/>
      <c r="S660" s="200"/>
    </row>
    <row r="661" ht="15.75" customHeight="1">
      <c r="R661" s="200"/>
      <c r="S661" s="200"/>
    </row>
    <row r="662" ht="15.75" customHeight="1">
      <c r="R662" s="200"/>
      <c r="S662" s="200"/>
    </row>
    <row r="663" ht="15.75" customHeight="1">
      <c r="R663" s="200"/>
      <c r="S663" s="200"/>
    </row>
    <row r="664" ht="15.75" customHeight="1">
      <c r="R664" s="200"/>
      <c r="S664" s="200"/>
    </row>
    <row r="665" ht="15.75" customHeight="1">
      <c r="R665" s="200"/>
      <c r="S665" s="200"/>
    </row>
    <row r="666" ht="15.75" customHeight="1">
      <c r="R666" s="200"/>
      <c r="S666" s="200"/>
    </row>
    <row r="667" ht="15.75" customHeight="1">
      <c r="R667" s="200"/>
      <c r="S667" s="200"/>
    </row>
    <row r="668" ht="15.75" customHeight="1">
      <c r="R668" s="200"/>
      <c r="S668" s="200"/>
    </row>
    <row r="669" ht="15.75" customHeight="1">
      <c r="R669" s="200"/>
      <c r="S669" s="200"/>
    </row>
    <row r="670" ht="15.75" customHeight="1">
      <c r="R670" s="200"/>
      <c r="S670" s="200"/>
    </row>
    <row r="671" ht="15.75" customHeight="1">
      <c r="R671" s="200"/>
      <c r="S671" s="200"/>
    </row>
    <row r="672" ht="15.75" customHeight="1">
      <c r="R672" s="200"/>
      <c r="S672" s="200"/>
    </row>
    <row r="673" ht="15.75" customHeight="1">
      <c r="R673" s="200"/>
      <c r="S673" s="200"/>
    </row>
    <row r="674" ht="15.75" customHeight="1">
      <c r="R674" s="200"/>
      <c r="S674" s="200"/>
    </row>
    <row r="675" ht="15.75" customHeight="1">
      <c r="R675" s="200"/>
      <c r="S675" s="200"/>
    </row>
    <row r="676" ht="15.75" customHeight="1">
      <c r="R676" s="200"/>
      <c r="S676" s="200"/>
    </row>
    <row r="677" ht="15.75" customHeight="1">
      <c r="R677" s="200"/>
      <c r="S677" s="200"/>
    </row>
    <row r="678" ht="15.75" customHeight="1">
      <c r="R678" s="200"/>
      <c r="S678" s="200"/>
    </row>
    <row r="679" ht="15.75" customHeight="1">
      <c r="R679" s="200"/>
      <c r="S679" s="200"/>
    </row>
    <row r="680" ht="15.75" customHeight="1">
      <c r="R680" s="200"/>
      <c r="S680" s="200"/>
    </row>
    <row r="681" ht="15.75" customHeight="1">
      <c r="R681" s="200"/>
      <c r="S681" s="200"/>
    </row>
    <row r="682" ht="15.75" customHeight="1">
      <c r="R682" s="200"/>
      <c r="S682" s="200"/>
    </row>
    <row r="683" ht="15.75" customHeight="1">
      <c r="R683" s="200"/>
      <c r="S683" s="200"/>
    </row>
    <row r="684" ht="15.75" customHeight="1">
      <c r="R684" s="200"/>
      <c r="S684" s="200"/>
    </row>
    <row r="685" ht="15.75" customHeight="1">
      <c r="R685" s="200"/>
      <c r="S685" s="200"/>
    </row>
    <row r="686" ht="15.75" customHeight="1">
      <c r="R686" s="200"/>
      <c r="S686" s="200"/>
    </row>
    <row r="687" ht="15.75" customHeight="1">
      <c r="R687" s="200"/>
      <c r="S687" s="200"/>
    </row>
    <row r="688" ht="15.75" customHeight="1">
      <c r="R688" s="200"/>
      <c r="S688" s="200"/>
    </row>
    <row r="689" ht="15.75" customHeight="1">
      <c r="R689" s="200"/>
      <c r="S689" s="200"/>
    </row>
    <row r="690" ht="15.75" customHeight="1">
      <c r="R690" s="200"/>
      <c r="S690" s="200"/>
    </row>
    <row r="691" ht="15.75" customHeight="1">
      <c r="R691" s="200"/>
      <c r="S691" s="200"/>
    </row>
    <row r="692" ht="15.75" customHeight="1">
      <c r="R692" s="200"/>
      <c r="S692" s="200"/>
    </row>
    <row r="693" ht="15.75" customHeight="1">
      <c r="R693" s="200"/>
      <c r="S693" s="200"/>
    </row>
    <row r="694" ht="15.75" customHeight="1">
      <c r="R694" s="200"/>
      <c r="S694" s="200"/>
    </row>
    <row r="695" ht="15.75" customHeight="1">
      <c r="R695" s="200"/>
      <c r="S695" s="200"/>
    </row>
    <row r="696" ht="15.75" customHeight="1">
      <c r="R696" s="200"/>
      <c r="S696" s="200"/>
    </row>
    <row r="697" ht="15.75" customHeight="1">
      <c r="R697" s="200"/>
      <c r="S697" s="200"/>
    </row>
    <row r="698" ht="15.75" customHeight="1">
      <c r="R698" s="200"/>
      <c r="S698" s="200"/>
    </row>
    <row r="699" ht="15.75" customHeight="1">
      <c r="R699" s="200"/>
      <c r="S699" s="200"/>
    </row>
    <row r="700" ht="15.75" customHeight="1">
      <c r="R700" s="200"/>
      <c r="S700" s="200"/>
    </row>
    <row r="701" ht="15.75" customHeight="1">
      <c r="R701" s="200"/>
      <c r="S701" s="200"/>
    </row>
    <row r="702" ht="15.75" customHeight="1">
      <c r="R702" s="200"/>
      <c r="S702" s="200"/>
    </row>
    <row r="703" ht="15.75" customHeight="1">
      <c r="R703" s="200"/>
      <c r="S703" s="200"/>
    </row>
    <row r="704" ht="15.75" customHeight="1">
      <c r="R704" s="200"/>
      <c r="S704" s="200"/>
    </row>
    <row r="705" ht="15.75" customHeight="1">
      <c r="R705" s="200"/>
      <c r="S705" s="200"/>
    </row>
    <row r="706" ht="15.75" customHeight="1">
      <c r="R706" s="200"/>
      <c r="S706" s="200"/>
    </row>
    <row r="707" ht="15.75" customHeight="1">
      <c r="R707" s="200"/>
      <c r="S707" s="200"/>
    </row>
    <row r="708" ht="15.75" customHeight="1">
      <c r="R708" s="200"/>
      <c r="S708" s="200"/>
    </row>
    <row r="709" ht="15.75" customHeight="1">
      <c r="R709" s="200"/>
      <c r="S709" s="200"/>
    </row>
    <row r="710" ht="15.75" customHeight="1">
      <c r="R710" s="200"/>
      <c r="S710" s="200"/>
    </row>
    <row r="711" ht="15.75" customHeight="1">
      <c r="R711" s="200"/>
      <c r="S711" s="200"/>
    </row>
    <row r="712" ht="15.75" customHeight="1">
      <c r="R712" s="200"/>
      <c r="S712" s="200"/>
    </row>
    <row r="713" ht="15.75" customHeight="1">
      <c r="R713" s="200"/>
      <c r="S713" s="200"/>
    </row>
    <row r="714" ht="15.75" customHeight="1">
      <c r="R714" s="200"/>
      <c r="S714" s="200"/>
    </row>
    <row r="715" ht="15.75" customHeight="1">
      <c r="R715" s="200"/>
      <c r="S715" s="200"/>
    </row>
    <row r="716" ht="15.75" customHeight="1">
      <c r="R716" s="200"/>
      <c r="S716" s="200"/>
    </row>
    <row r="717" ht="15.75" customHeight="1">
      <c r="R717" s="200"/>
      <c r="S717" s="200"/>
    </row>
    <row r="718" ht="15.75" customHeight="1">
      <c r="R718" s="200"/>
      <c r="S718" s="200"/>
    </row>
    <row r="719" ht="15.75" customHeight="1">
      <c r="R719" s="200"/>
      <c r="S719" s="200"/>
    </row>
    <row r="720" ht="15.75" customHeight="1">
      <c r="R720" s="200"/>
      <c r="S720" s="200"/>
    </row>
    <row r="721" ht="15.75" customHeight="1">
      <c r="R721" s="200"/>
      <c r="S721" s="200"/>
    </row>
    <row r="722" ht="15.75" customHeight="1">
      <c r="R722" s="200"/>
      <c r="S722" s="200"/>
    </row>
    <row r="723" ht="15.75" customHeight="1">
      <c r="R723" s="200"/>
      <c r="S723" s="200"/>
    </row>
    <row r="724" ht="15.75" customHeight="1">
      <c r="R724" s="200"/>
      <c r="S724" s="200"/>
    </row>
    <row r="725" ht="15.75" customHeight="1">
      <c r="R725" s="200"/>
      <c r="S725" s="200"/>
    </row>
    <row r="726" ht="15.75" customHeight="1">
      <c r="R726" s="200"/>
      <c r="S726" s="200"/>
    </row>
    <row r="727" ht="15.75" customHeight="1">
      <c r="R727" s="200"/>
      <c r="S727" s="200"/>
    </row>
    <row r="728" ht="15.75" customHeight="1">
      <c r="R728" s="200"/>
      <c r="S728" s="200"/>
    </row>
    <row r="729" ht="15.75" customHeight="1">
      <c r="R729" s="200"/>
      <c r="S729" s="200"/>
    </row>
    <row r="730" ht="15.75" customHeight="1">
      <c r="R730" s="200"/>
      <c r="S730" s="200"/>
    </row>
    <row r="731" ht="15.75" customHeight="1">
      <c r="R731" s="200"/>
      <c r="S731" s="200"/>
    </row>
    <row r="732" ht="15.75" customHeight="1">
      <c r="R732" s="200"/>
      <c r="S732" s="200"/>
    </row>
    <row r="733" ht="15.75" customHeight="1">
      <c r="R733" s="200"/>
      <c r="S733" s="200"/>
    </row>
    <row r="734" ht="15.75" customHeight="1">
      <c r="R734" s="200"/>
      <c r="S734" s="200"/>
    </row>
    <row r="735" ht="15.75" customHeight="1">
      <c r="R735" s="200"/>
      <c r="S735" s="200"/>
    </row>
    <row r="736" ht="15.75" customHeight="1">
      <c r="R736" s="200"/>
      <c r="S736" s="200"/>
    </row>
    <row r="737" ht="15.75" customHeight="1">
      <c r="R737" s="200"/>
      <c r="S737" s="200"/>
    </row>
    <row r="738" ht="15.75" customHeight="1">
      <c r="R738" s="200"/>
      <c r="S738" s="200"/>
    </row>
    <row r="739" ht="15.75" customHeight="1">
      <c r="R739" s="200"/>
      <c r="S739" s="200"/>
    </row>
    <row r="740" ht="15.75" customHeight="1">
      <c r="R740" s="200"/>
      <c r="S740" s="200"/>
    </row>
    <row r="741" ht="15.75" customHeight="1">
      <c r="R741" s="200"/>
      <c r="S741" s="200"/>
    </row>
    <row r="742" ht="15.75" customHeight="1">
      <c r="R742" s="200"/>
      <c r="S742" s="200"/>
    </row>
    <row r="743" ht="15.75" customHeight="1">
      <c r="R743" s="200"/>
      <c r="S743" s="200"/>
    </row>
    <row r="744" ht="15.75" customHeight="1">
      <c r="R744" s="200"/>
      <c r="S744" s="200"/>
    </row>
    <row r="745" ht="15.75" customHeight="1">
      <c r="R745" s="200"/>
      <c r="S745" s="200"/>
    </row>
    <row r="746" ht="15.75" customHeight="1">
      <c r="R746" s="200"/>
      <c r="S746" s="200"/>
    </row>
    <row r="747" ht="15.75" customHeight="1">
      <c r="R747" s="200"/>
      <c r="S747" s="200"/>
    </row>
    <row r="748" ht="15.75" customHeight="1">
      <c r="R748" s="200"/>
      <c r="S748" s="200"/>
    </row>
    <row r="749" ht="15.75" customHeight="1">
      <c r="R749" s="200"/>
      <c r="S749" s="200"/>
    </row>
    <row r="750" ht="15.75" customHeight="1">
      <c r="R750" s="200"/>
      <c r="S750" s="200"/>
    </row>
    <row r="751" ht="15.75" customHeight="1">
      <c r="R751" s="200"/>
      <c r="S751" s="200"/>
    </row>
    <row r="752" ht="15.75" customHeight="1">
      <c r="R752" s="200"/>
      <c r="S752" s="200"/>
    </row>
    <row r="753" ht="15.75" customHeight="1">
      <c r="R753" s="200"/>
      <c r="S753" s="200"/>
    </row>
    <row r="754" ht="15.75" customHeight="1">
      <c r="R754" s="200"/>
      <c r="S754" s="200"/>
    </row>
    <row r="755" ht="15.75" customHeight="1">
      <c r="R755" s="200"/>
      <c r="S755" s="200"/>
    </row>
    <row r="756" ht="15.75" customHeight="1">
      <c r="R756" s="200"/>
      <c r="S756" s="200"/>
    </row>
    <row r="757" ht="15.75" customHeight="1">
      <c r="R757" s="200"/>
      <c r="S757" s="200"/>
    </row>
    <row r="758" ht="15.75" customHeight="1">
      <c r="R758" s="200"/>
      <c r="S758" s="200"/>
    </row>
    <row r="759" ht="15.75" customHeight="1">
      <c r="R759" s="200"/>
      <c r="S759" s="200"/>
    </row>
    <row r="760" ht="15.75" customHeight="1">
      <c r="R760" s="200"/>
      <c r="S760" s="200"/>
    </row>
    <row r="761" ht="15.75" customHeight="1">
      <c r="R761" s="200"/>
      <c r="S761" s="200"/>
    </row>
    <row r="762" ht="15.75" customHeight="1">
      <c r="R762" s="200"/>
      <c r="S762" s="200"/>
    </row>
    <row r="763" ht="15.75" customHeight="1">
      <c r="R763" s="200"/>
      <c r="S763" s="200"/>
    </row>
    <row r="764" ht="15.75" customHeight="1">
      <c r="R764" s="200"/>
      <c r="S764" s="200"/>
    </row>
    <row r="765" ht="15.75" customHeight="1">
      <c r="R765" s="200"/>
      <c r="S765" s="200"/>
    </row>
    <row r="766" ht="15.75" customHeight="1">
      <c r="R766" s="200"/>
      <c r="S766" s="200"/>
    </row>
    <row r="767" ht="15.75" customHeight="1">
      <c r="R767" s="200"/>
      <c r="S767" s="200"/>
    </row>
    <row r="768" ht="15.75" customHeight="1">
      <c r="R768" s="200"/>
      <c r="S768" s="200"/>
    </row>
    <row r="769" ht="15.75" customHeight="1">
      <c r="R769" s="200"/>
      <c r="S769" s="200"/>
    </row>
    <row r="770" ht="15.75" customHeight="1">
      <c r="R770" s="200"/>
      <c r="S770" s="200"/>
    </row>
    <row r="771" ht="15.75" customHeight="1">
      <c r="R771" s="200"/>
      <c r="S771" s="200"/>
    </row>
    <row r="772" ht="15.75" customHeight="1">
      <c r="R772" s="200"/>
      <c r="S772" s="200"/>
    </row>
    <row r="773" ht="15.75" customHeight="1">
      <c r="R773" s="200"/>
      <c r="S773" s="200"/>
    </row>
    <row r="774" ht="15.75" customHeight="1">
      <c r="R774" s="200"/>
      <c r="S774" s="200"/>
    </row>
    <row r="775" ht="15.75" customHeight="1">
      <c r="R775" s="200"/>
      <c r="S775" s="200"/>
    </row>
    <row r="776" ht="15.75" customHeight="1">
      <c r="R776" s="200"/>
      <c r="S776" s="200"/>
    </row>
    <row r="777" ht="15.75" customHeight="1">
      <c r="R777" s="200"/>
      <c r="S777" s="200"/>
    </row>
    <row r="778" ht="15.75" customHeight="1">
      <c r="R778" s="200"/>
      <c r="S778" s="200"/>
    </row>
    <row r="779" ht="15.75" customHeight="1">
      <c r="R779" s="200"/>
      <c r="S779" s="200"/>
    </row>
    <row r="780" ht="15.75" customHeight="1">
      <c r="R780" s="200"/>
      <c r="S780" s="200"/>
    </row>
    <row r="781" ht="15.75" customHeight="1">
      <c r="R781" s="200"/>
      <c r="S781" s="200"/>
    </row>
    <row r="782" ht="15.75" customHeight="1">
      <c r="R782" s="200"/>
      <c r="S782" s="200"/>
    </row>
    <row r="783" ht="15.75" customHeight="1">
      <c r="R783" s="200"/>
      <c r="S783" s="200"/>
    </row>
    <row r="784" ht="15.75" customHeight="1">
      <c r="R784" s="200"/>
      <c r="S784" s="200"/>
    </row>
    <row r="785" ht="15.75" customHeight="1">
      <c r="R785" s="200"/>
      <c r="S785" s="200"/>
    </row>
    <row r="786" ht="15.75" customHeight="1">
      <c r="R786" s="200"/>
      <c r="S786" s="200"/>
    </row>
    <row r="787" ht="15.75" customHeight="1">
      <c r="R787" s="200"/>
      <c r="S787" s="200"/>
    </row>
    <row r="788" ht="15.75" customHeight="1">
      <c r="R788" s="200"/>
      <c r="S788" s="200"/>
    </row>
    <row r="789" ht="15.75" customHeight="1">
      <c r="R789" s="200"/>
      <c r="S789" s="200"/>
    </row>
    <row r="790" ht="15.75" customHeight="1">
      <c r="R790" s="200"/>
      <c r="S790" s="200"/>
    </row>
    <row r="791" ht="15.75" customHeight="1">
      <c r="R791" s="200"/>
      <c r="S791" s="200"/>
    </row>
    <row r="792" ht="15.75" customHeight="1">
      <c r="R792" s="200"/>
      <c r="S792" s="200"/>
    </row>
    <row r="793" ht="15.75" customHeight="1">
      <c r="R793" s="200"/>
      <c r="S793" s="200"/>
    </row>
    <row r="794" ht="15.75" customHeight="1">
      <c r="R794" s="200"/>
      <c r="S794" s="200"/>
    </row>
    <row r="795" ht="15.75" customHeight="1">
      <c r="R795" s="200"/>
      <c r="S795" s="200"/>
    </row>
    <row r="796" ht="15.75" customHeight="1">
      <c r="R796" s="200"/>
      <c r="S796" s="200"/>
    </row>
    <row r="797" ht="15.75" customHeight="1">
      <c r="R797" s="200"/>
      <c r="S797" s="200"/>
    </row>
    <row r="798" ht="15.75" customHeight="1">
      <c r="R798" s="200"/>
      <c r="S798" s="200"/>
    </row>
    <row r="799" ht="15.75" customHeight="1">
      <c r="R799" s="200"/>
      <c r="S799" s="200"/>
    </row>
    <row r="800" ht="15.75" customHeight="1">
      <c r="R800" s="200"/>
      <c r="S800" s="200"/>
    </row>
    <row r="801" ht="15.75" customHeight="1">
      <c r="R801" s="200"/>
      <c r="S801" s="200"/>
    </row>
    <row r="802" ht="15.75" customHeight="1">
      <c r="R802" s="200"/>
      <c r="S802" s="200"/>
    </row>
    <row r="803" ht="15.75" customHeight="1">
      <c r="R803" s="200"/>
      <c r="S803" s="200"/>
    </row>
    <row r="804" ht="15.75" customHeight="1">
      <c r="R804" s="200"/>
      <c r="S804" s="200"/>
    </row>
    <row r="805" ht="15.75" customHeight="1">
      <c r="R805" s="200"/>
      <c r="S805" s="200"/>
    </row>
    <row r="806" ht="15.75" customHeight="1">
      <c r="R806" s="200"/>
      <c r="S806" s="200"/>
    </row>
    <row r="807" ht="15.75" customHeight="1">
      <c r="R807" s="200"/>
      <c r="S807" s="200"/>
    </row>
    <row r="808" ht="15.75" customHeight="1">
      <c r="R808" s="200"/>
      <c r="S808" s="200"/>
    </row>
    <row r="809" ht="15.75" customHeight="1">
      <c r="R809" s="200"/>
      <c r="S809" s="200"/>
    </row>
    <row r="810" ht="15.75" customHeight="1">
      <c r="R810" s="200"/>
      <c r="S810" s="200"/>
    </row>
    <row r="811" ht="15.75" customHeight="1">
      <c r="R811" s="200"/>
      <c r="S811" s="200"/>
    </row>
    <row r="812" ht="15.75" customHeight="1">
      <c r="R812" s="200"/>
      <c r="S812" s="200"/>
    </row>
    <row r="813" ht="15.75" customHeight="1">
      <c r="R813" s="200"/>
      <c r="S813" s="200"/>
    </row>
    <row r="814" ht="15.75" customHeight="1">
      <c r="R814" s="200"/>
      <c r="S814" s="200"/>
    </row>
    <row r="815" ht="15.75" customHeight="1">
      <c r="R815" s="200"/>
      <c r="S815" s="200"/>
    </row>
    <row r="816" ht="15.75" customHeight="1">
      <c r="R816" s="200"/>
      <c r="S816" s="200"/>
    </row>
    <row r="817" ht="15.75" customHeight="1">
      <c r="R817" s="200"/>
      <c r="S817" s="200"/>
    </row>
    <row r="818" ht="15.75" customHeight="1">
      <c r="R818" s="200"/>
      <c r="S818" s="200"/>
    </row>
    <row r="819" ht="15.75" customHeight="1">
      <c r="R819" s="200"/>
      <c r="S819" s="200"/>
    </row>
    <row r="820" ht="15.75" customHeight="1">
      <c r="R820" s="200"/>
      <c r="S820" s="200"/>
    </row>
    <row r="821" ht="15.75" customHeight="1">
      <c r="R821" s="200"/>
      <c r="S821" s="200"/>
    </row>
    <row r="822" ht="15.75" customHeight="1">
      <c r="R822" s="200"/>
      <c r="S822" s="200"/>
    </row>
    <row r="823" ht="15.75" customHeight="1">
      <c r="R823" s="200"/>
      <c r="S823" s="200"/>
    </row>
    <row r="824" ht="15.75" customHeight="1">
      <c r="R824" s="200"/>
      <c r="S824" s="200"/>
    </row>
    <row r="825" ht="15.75" customHeight="1">
      <c r="R825" s="200"/>
      <c r="S825" s="200"/>
    </row>
    <row r="826" ht="15.75" customHeight="1">
      <c r="R826" s="200"/>
      <c r="S826" s="200"/>
    </row>
    <row r="827" ht="15.75" customHeight="1">
      <c r="R827" s="200"/>
      <c r="S827" s="200"/>
    </row>
    <row r="828" ht="15.75" customHeight="1">
      <c r="R828" s="200"/>
      <c r="S828" s="200"/>
    </row>
    <row r="829" ht="15.75" customHeight="1">
      <c r="R829" s="200"/>
      <c r="S829" s="200"/>
    </row>
    <row r="830" ht="15.75" customHeight="1">
      <c r="R830" s="200"/>
      <c r="S830" s="200"/>
    </row>
    <row r="831" ht="15.75" customHeight="1">
      <c r="R831" s="200"/>
      <c r="S831" s="200"/>
    </row>
    <row r="832" ht="15.75" customHeight="1">
      <c r="R832" s="200"/>
      <c r="S832" s="200"/>
    </row>
    <row r="833" ht="15.75" customHeight="1">
      <c r="R833" s="200"/>
      <c r="S833" s="200"/>
    </row>
    <row r="834" ht="15.75" customHeight="1">
      <c r="R834" s="200"/>
      <c r="S834" s="200"/>
    </row>
    <row r="835" ht="15.75" customHeight="1">
      <c r="R835" s="200"/>
      <c r="S835" s="200"/>
    </row>
    <row r="836" ht="15.75" customHeight="1">
      <c r="R836" s="200"/>
      <c r="S836" s="200"/>
    </row>
    <row r="837" ht="15.75" customHeight="1">
      <c r="R837" s="200"/>
      <c r="S837" s="200"/>
    </row>
    <row r="838" ht="15.75" customHeight="1">
      <c r="R838" s="200"/>
      <c r="S838" s="200"/>
    </row>
    <row r="839" ht="15.75" customHeight="1">
      <c r="R839" s="200"/>
      <c r="S839" s="200"/>
    </row>
    <row r="840" ht="15.75" customHeight="1">
      <c r="R840" s="200"/>
      <c r="S840" s="200"/>
    </row>
    <row r="841" ht="15.75" customHeight="1">
      <c r="R841" s="200"/>
      <c r="S841" s="200"/>
    </row>
    <row r="842" ht="15.75" customHeight="1">
      <c r="R842" s="200"/>
      <c r="S842" s="200"/>
    </row>
    <row r="843" ht="15.75" customHeight="1">
      <c r="R843" s="200"/>
      <c r="S843" s="200"/>
    </row>
    <row r="844" ht="15.75" customHeight="1">
      <c r="R844" s="200"/>
      <c r="S844" s="200"/>
    </row>
    <row r="845" ht="15.75" customHeight="1">
      <c r="R845" s="200"/>
      <c r="S845" s="200"/>
    </row>
    <row r="846" ht="15.75" customHeight="1">
      <c r="R846" s="200"/>
      <c r="S846" s="200"/>
    </row>
    <row r="847" ht="15.75" customHeight="1">
      <c r="R847" s="200"/>
      <c r="S847" s="200"/>
    </row>
    <row r="848" ht="15.75" customHeight="1">
      <c r="R848" s="200"/>
      <c r="S848" s="200"/>
    </row>
    <row r="849" ht="15.75" customHeight="1">
      <c r="R849" s="200"/>
      <c r="S849" s="200"/>
    </row>
    <row r="850" ht="15.75" customHeight="1">
      <c r="R850" s="200"/>
      <c r="S850" s="200"/>
    </row>
    <row r="851" ht="15.75" customHeight="1">
      <c r="R851" s="200"/>
      <c r="S851" s="200"/>
    </row>
    <row r="852" ht="15.75" customHeight="1">
      <c r="R852" s="200"/>
      <c r="S852" s="200"/>
    </row>
    <row r="853" ht="15.75" customHeight="1">
      <c r="R853" s="200"/>
      <c r="S853" s="200"/>
    </row>
    <row r="854" ht="15.75" customHeight="1">
      <c r="R854" s="200"/>
      <c r="S854" s="200"/>
    </row>
    <row r="855" ht="15.75" customHeight="1">
      <c r="R855" s="200"/>
      <c r="S855" s="200"/>
    </row>
    <row r="856" ht="15.75" customHeight="1">
      <c r="R856" s="200"/>
      <c r="S856" s="200"/>
    </row>
    <row r="857" ht="15.75" customHeight="1">
      <c r="R857" s="200"/>
      <c r="S857" s="200"/>
    </row>
    <row r="858" ht="15.75" customHeight="1">
      <c r="R858" s="200"/>
      <c r="S858" s="200"/>
    </row>
    <row r="859" ht="15.75" customHeight="1">
      <c r="R859" s="200"/>
      <c r="S859" s="200"/>
    </row>
    <row r="860" ht="15.75" customHeight="1">
      <c r="R860" s="200"/>
      <c r="S860" s="200"/>
    </row>
    <row r="861" ht="15.75" customHeight="1">
      <c r="R861" s="200"/>
      <c r="S861" s="200"/>
    </row>
    <row r="862" ht="15.75" customHeight="1">
      <c r="R862" s="200"/>
      <c r="S862" s="200"/>
    </row>
    <row r="863" ht="15.75" customHeight="1">
      <c r="R863" s="200"/>
      <c r="S863" s="200"/>
    </row>
    <row r="864" ht="15.75" customHeight="1">
      <c r="R864" s="200"/>
      <c r="S864" s="200"/>
    </row>
    <row r="865" ht="15.75" customHeight="1">
      <c r="R865" s="200"/>
      <c r="S865" s="200"/>
    </row>
    <row r="866" ht="15.75" customHeight="1">
      <c r="R866" s="200"/>
      <c r="S866" s="200"/>
    </row>
    <row r="867" ht="15.75" customHeight="1">
      <c r="R867" s="200"/>
      <c r="S867" s="200"/>
    </row>
    <row r="868" ht="15.75" customHeight="1">
      <c r="R868" s="200"/>
      <c r="S868" s="200"/>
    </row>
    <row r="869" ht="15.75" customHeight="1">
      <c r="R869" s="200"/>
      <c r="S869" s="200"/>
    </row>
    <row r="870" ht="15.75" customHeight="1">
      <c r="R870" s="200"/>
      <c r="S870" s="200"/>
    </row>
    <row r="871" ht="15.75" customHeight="1">
      <c r="R871" s="200"/>
      <c r="S871" s="200"/>
    </row>
    <row r="872" ht="15.75" customHeight="1">
      <c r="R872" s="200"/>
      <c r="S872" s="200"/>
    </row>
    <row r="873" ht="15.75" customHeight="1">
      <c r="R873" s="200"/>
      <c r="S873" s="200"/>
    </row>
    <row r="874" ht="15.75" customHeight="1">
      <c r="R874" s="200"/>
      <c r="S874" s="200"/>
    </row>
    <row r="875" ht="15.75" customHeight="1">
      <c r="R875" s="200"/>
      <c r="S875" s="200"/>
    </row>
    <row r="876" ht="15.75" customHeight="1">
      <c r="R876" s="200"/>
      <c r="S876" s="200"/>
    </row>
    <row r="877" ht="15.75" customHeight="1">
      <c r="R877" s="200"/>
      <c r="S877" s="200"/>
    </row>
    <row r="878" ht="15.75" customHeight="1">
      <c r="R878" s="200"/>
      <c r="S878" s="200"/>
    </row>
    <row r="879" ht="15.75" customHeight="1">
      <c r="R879" s="200"/>
      <c r="S879" s="200"/>
    </row>
    <row r="880" ht="15.75" customHeight="1">
      <c r="R880" s="200"/>
      <c r="S880" s="200"/>
    </row>
    <row r="881" ht="15.75" customHeight="1">
      <c r="R881" s="200"/>
      <c r="S881" s="200"/>
    </row>
    <row r="882" ht="15.75" customHeight="1">
      <c r="R882" s="200"/>
      <c r="S882" s="200"/>
    </row>
    <row r="883" ht="15.75" customHeight="1">
      <c r="R883" s="200"/>
      <c r="S883" s="200"/>
    </row>
    <row r="884" ht="15.75" customHeight="1">
      <c r="R884" s="200"/>
      <c r="S884" s="200"/>
    </row>
    <row r="885" ht="15.75" customHeight="1">
      <c r="R885" s="200"/>
      <c r="S885" s="200"/>
    </row>
    <row r="886" ht="15.75" customHeight="1">
      <c r="R886" s="200"/>
      <c r="S886" s="200"/>
    </row>
    <row r="887" ht="15.75" customHeight="1">
      <c r="R887" s="200"/>
      <c r="S887" s="200"/>
    </row>
    <row r="888" ht="15.75" customHeight="1">
      <c r="R888" s="200"/>
      <c r="S888" s="200"/>
    </row>
    <row r="889" ht="15.75" customHeight="1">
      <c r="R889" s="200"/>
      <c r="S889" s="200"/>
    </row>
    <row r="890" ht="15.75" customHeight="1">
      <c r="R890" s="200"/>
      <c r="S890" s="200"/>
    </row>
    <row r="891" ht="15.75" customHeight="1">
      <c r="R891" s="200"/>
      <c r="S891" s="200"/>
    </row>
    <row r="892" ht="15.75" customHeight="1">
      <c r="R892" s="200"/>
      <c r="S892" s="200"/>
    </row>
    <row r="893" ht="15.75" customHeight="1">
      <c r="R893" s="200"/>
      <c r="S893" s="200"/>
    </row>
    <row r="894" ht="15.75" customHeight="1">
      <c r="R894" s="200"/>
      <c r="S894" s="200"/>
    </row>
    <row r="895" ht="15.75" customHeight="1">
      <c r="R895" s="200"/>
      <c r="S895" s="200"/>
    </row>
    <row r="896" ht="15.75" customHeight="1">
      <c r="R896" s="200"/>
      <c r="S896" s="200"/>
    </row>
    <row r="897" ht="15.75" customHeight="1">
      <c r="R897" s="200"/>
      <c r="S897" s="200"/>
    </row>
    <row r="898" ht="15.75" customHeight="1">
      <c r="R898" s="200"/>
      <c r="S898" s="200"/>
    </row>
    <row r="899" ht="15.75" customHeight="1">
      <c r="R899" s="200"/>
      <c r="S899" s="200"/>
    </row>
    <row r="900" ht="15.75" customHeight="1">
      <c r="R900" s="200"/>
      <c r="S900" s="200"/>
    </row>
    <row r="901" ht="15.75" customHeight="1">
      <c r="R901" s="200"/>
      <c r="S901" s="200"/>
    </row>
    <row r="902" ht="15.75" customHeight="1">
      <c r="R902" s="200"/>
      <c r="S902" s="200"/>
    </row>
    <row r="903" ht="15.75" customHeight="1">
      <c r="R903" s="200"/>
      <c r="S903" s="200"/>
    </row>
    <row r="904" ht="15.75" customHeight="1">
      <c r="R904" s="200"/>
      <c r="S904" s="200"/>
    </row>
    <row r="905" ht="15.75" customHeight="1">
      <c r="R905" s="200"/>
      <c r="S905" s="200"/>
    </row>
    <row r="906" ht="15.75" customHeight="1">
      <c r="R906" s="200"/>
      <c r="S906" s="200"/>
    </row>
    <row r="907" ht="15.75" customHeight="1">
      <c r="R907" s="200"/>
      <c r="S907" s="200"/>
    </row>
    <row r="908" ht="15.75" customHeight="1">
      <c r="R908" s="200"/>
      <c r="S908" s="200"/>
    </row>
    <row r="909" ht="15.75" customHeight="1">
      <c r="R909" s="200"/>
      <c r="S909" s="200"/>
    </row>
    <row r="910" ht="15.75" customHeight="1">
      <c r="R910" s="200"/>
      <c r="S910" s="200"/>
    </row>
    <row r="911" ht="15.75" customHeight="1">
      <c r="R911" s="200"/>
      <c r="S911" s="200"/>
    </row>
    <row r="912" ht="15.75" customHeight="1">
      <c r="R912" s="200"/>
      <c r="S912" s="200"/>
    </row>
    <row r="913" ht="15.75" customHeight="1">
      <c r="R913" s="200"/>
      <c r="S913" s="200"/>
    </row>
    <row r="914" ht="15.75" customHeight="1">
      <c r="R914" s="200"/>
      <c r="S914" s="200"/>
    </row>
    <row r="915" ht="15.75" customHeight="1">
      <c r="R915" s="200"/>
      <c r="S915" s="200"/>
    </row>
    <row r="916" ht="15.75" customHeight="1">
      <c r="R916" s="200"/>
      <c r="S916" s="200"/>
    </row>
    <row r="917" ht="15.75" customHeight="1">
      <c r="R917" s="200"/>
      <c r="S917" s="200"/>
    </row>
    <row r="918" ht="15.75" customHeight="1">
      <c r="R918" s="200"/>
      <c r="S918" s="200"/>
    </row>
    <row r="919" ht="15.75" customHeight="1">
      <c r="R919" s="200"/>
      <c r="S919" s="200"/>
    </row>
    <row r="920" ht="15.75" customHeight="1">
      <c r="R920" s="200"/>
      <c r="S920" s="200"/>
    </row>
    <row r="921" ht="15.75" customHeight="1">
      <c r="R921" s="200"/>
      <c r="S921" s="200"/>
    </row>
    <row r="922" ht="15.75" customHeight="1">
      <c r="R922" s="200"/>
      <c r="S922" s="200"/>
    </row>
    <row r="923" ht="15.75" customHeight="1">
      <c r="R923" s="200"/>
      <c r="S923" s="200"/>
    </row>
    <row r="924" ht="15.75" customHeight="1">
      <c r="R924" s="200"/>
      <c r="S924" s="200"/>
    </row>
    <row r="925" ht="15.75" customHeight="1">
      <c r="R925" s="200"/>
      <c r="S925" s="200"/>
    </row>
    <row r="926" ht="15.75" customHeight="1">
      <c r="R926" s="200"/>
      <c r="S926" s="200"/>
    </row>
    <row r="927" ht="15.75" customHeight="1">
      <c r="R927" s="200"/>
      <c r="S927" s="200"/>
    </row>
    <row r="928" ht="15.75" customHeight="1">
      <c r="R928" s="200"/>
      <c r="S928" s="200"/>
    </row>
    <row r="929" ht="15.75" customHeight="1">
      <c r="R929" s="200"/>
      <c r="S929" s="200"/>
    </row>
    <row r="930" ht="15.75" customHeight="1">
      <c r="R930" s="200"/>
      <c r="S930" s="200"/>
    </row>
    <row r="931" ht="15.75" customHeight="1">
      <c r="R931" s="200"/>
      <c r="S931" s="200"/>
    </row>
    <row r="932" ht="15.75" customHeight="1">
      <c r="R932" s="200"/>
      <c r="S932" s="200"/>
    </row>
    <row r="933" ht="15.75" customHeight="1">
      <c r="R933" s="200"/>
      <c r="S933" s="200"/>
    </row>
    <row r="934" ht="15.75" customHeight="1">
      <c r="R934" s="200"/>
      <c r="S934" s="200"/>
    </row>
    <row r="935" ht="15.75" customHeight="1">
      <c r="R935" s="200"/>
      <c r="S935" s="200"/>
    </row>
    <row r="936" ht="15.75" customHeight="1">
      <c r="R936" s="200"/>
      <c r="S936" s="200"/>
    </row>
    <row r="937" ht="15.75" customHeight="1">
      <c r="R937" s="200"/>
      <c r="S937" s="200"/>
    </row>
    <row r="938" ht="15.75" customHeight="1">
      <c r="R938" s="200"/>
      <c r="S938" s="200"/>
    </row>
    <row r="939" ht="15.75" customHeight="1">
      <c r="R939" s="200"/>
      <c r="S939" s="200"/>
    </row>
    <row r="940" ht="15.75" customHeight="1">
      <c r="R940" s="200"/>
      <c r="S940" s="200"/>
    </row>
    <row r="941" ht="15.75" customHeight="1">
      <c r="R941" s="200"/>
      <c r="S941" s="200"/>
    </row>
    <row r="942" ht="15.75" customHeight="1">
      <c r="R942" s="200"/>
      <c r="S942" s="200"/>
    </row>
    <row r="943" ht="15.75" customHeight="1">
      <c r="R943" s="200"/>
      <c r="S943" s="200"/>
    </row>
    <row r="944" ht="15.75" customHeight="1">
      <c r="R944" s="200"/>
      <c r="S944" s="200"/>
    </row>
    <row r="945" ht="15.75" customHeight="1">
      <c r="R945" s="200"/>
      <c r="S945" s="200"/>
    </row>
    <row r="946" ht="15.75" customHeight="1">
      <c r="R946" s="200"/>
      <c r="S946" s="200"/>
    </row>
    <row r="947" ht="15.75" customHeight="1">
      <c r="R947" s="200"/>
      <c r="S947" s="200"/>
    </row>
    <row r="948" ht="15.75" customHeight="1">
      <c r="R948" s="200"/>
      <c r="S948" s="200"/>
    </row>
    <row r="949" ht="15.75" customHeight="1">
      <c r="R949" s="200"/>
      <c r="S949" s="200"/>
    </row>
    <row r="950" ht="15.75" customHeight="1">
      <c r="R950" s="200"/>
      <c r="S950" s="200"/>
    </row>
    <row r="951" ht="15.75" customHeight="1">
      <c r="R951" s="200"/>
      <c r="S951" s="200"/>
    </row>
    <row r="952" ht="15.75" customHeight="1">
      <c r="R952" s="200"/>
      <c r="S952" s="200"/>
    </row>
    <row r="953" ht="15.75" customHeight="1">
      <c r="R953" s="200"/>
      <c r="S953" s="200"/>
    </row>
    <row r="954" ht="15.75" customHeight="1">
      <c r="R954" s="200"/>
      <c r="S954" s="200"/>
    </row>
    <row r="955" ht="15.75" customHeight="1">
      <c r="R955" s="200"/>
      <c r="S955" s="200"/>
    </row>
    <row r="956" ht="15.75" customHeight="1">
      <c r="R956" s="200"/>
      <c r="S956" s="200"/>
    </row>
    <row r="957" ht="15.75" customHeight="1">
      <c r="R957" s="200"/>
      <c r="S957" s="200"/>
    </row>
    <row r="958" ht="15.75" customHeight="1">
      <c r="R958" s="200"/>
      <c r="S958" s="200"/>
    </row>
    <row r="959" ht="15.75" customHeight="1">
      <c r="R959" s="200"/>
      <c r="S959" s="200"/>
    </row>
    <row r="960" ht="15.75" customHeight="1">
      <c r="R960" s="200"/>
      <c r="S960" s="200"/>
    </row>
    <row r="961" ht="15.75" customHeight="1">
      <c r="R961" s="200"/>
      <c r="S961" s="200"/>
    </row>
    <row r="962" ht="15.75" customHeight="1">
      <c r="R962" s="200"/>
      <c r="S962" s="200"/>
    </row>
    <row r="963" ht="15.75" customHeight="1">
      <c r="R963" s="200"/>
      <c r="S963" s="200"/>
    </row>
    <row r="964" ht="15.75" customHeight="1">
      <c r="R964" s="200"/>
      <c r="S964" s="200"/>
    </row>
    <row r="965" ht="15.75" customHeight="1">
      <c r="R965" s="200"/>
      <c r="S965" s="200"/>
    </row>
    <row r="966" ht="15.75" customHeight="1">
      <c r="R966" s="200"/>
      <c r="S966" s="200"/>
    </row>
    <row r="967" ht="15.75" customHeight="1">
      <c r="R967" s="200"/>
      <c r="S967" s="200"/>
    </row>
    <row r="968" ht="15.75" customHeight="1">
      <c r="R968" s="200"/>
      <c r="S968" s="200"/>
    </row>
    <row r="969" ht="15.75" customHeight="1">
      <c r="R969" s="200"/>
      <c r="S969" s="200"/>
    </row>
    <row r="970" ht="15.75" customHeight="1">
      <c r="R970" s="200"/>
      <c r="S970" s="200"/>
    </row>
    <row r="971" ht="15.75" customHeight="1">
      <c r="R971" s="200"/>
      <c r="S971" s="200"/>
    </row>
    <row r="972" ht="15.75" customHeight="1">
      <c r="R972" s="200"/>
      <c r="S972" s="200"/>
    </row>
    <row r="973" ht="15.75" customHeight="1">
      <c r="R973" s="200"/>
      <c r="S973" s="200"/>
    </row>
    <row r="974" ht="15.75" customHeight="1">
      <c r="R974" s="200"/>
      <c r="S974" s="200"/>
    </row>
    <row r="975" ht="15.75" customHeight="1">
      <c r="R975" s="200"/>
      <c r="S975" s="200"/>
    </row>
    <row r="976" ht="15.75" customHeight="1">
      <c r="R976" s="200"/>
      <c r="S976" s="200"/>
    </row>
    <row r="977" ht="15.75" customHeight="1">
      <c r="R977" s="200"/>
      <c r="S977" s="200"/>
    </row>
    <row r="978" ht="15.75" customHeight="1">
      <c r="R978" s="200"/>
      <c r="S978" s="200"/>
    </row>
    <row r="979" ht="15.75" customHeight="1">
      <c r="R979" s="200"/>
      <c r="S979" s="200"/>
    </row>
    <row r="980" ht="15.75" customHeight="1">
      <c r="R980" s="200"/>
      <c r="S980" s="200"/>
    </row>
    <row r="981" ht="15.75" customHeight="1">
      <c r="R981" s="200"/>
      <c r="S981" s="200"/>
    </row>
    <row r="982" ht="15.75" customHeight="1">
      <c r="R982" s="200"/>
      <c r="S982" s="200"/>
    </row>
    <row r="983" ht="15.75" customHeight="1">
      <c r="R983" s="200"/>
      <c r="S983" s="200"/>
    </row>
    <row r="984" ht="15.75" customHeight="1">
      <c r="R984" s="200"/>
      <c r="S984" s="200"/>
    </row>
    <row r="985" ht="15.75" customHeight="1">
      <c r="R985" s="200"/>
      <c r="S985" s="200"/>
    </row>
    <row r="986" ht="15.75" customHeight="1">
      <c r="R986" s="200"/>
      <c r="S986" s="200"/>
    </row>
    <row r="987" ht="15.75" customHeight="1">
      <c r="R987" s="200"/>
      <c r="S987" s="200"/>
    </row>
    <row r="988" ht="15.75" customHeight="1">
      <c r="R988" s="200"/>
      <c r="S988" s="200"/>
    </row>
    <row r="989" ht="15.75" customHeight="1">
      <c r="R989" s="200"/>
      <c r="S989" s="200"/>
    </row>
    <row r="990" ht="15.75" customHeight="1">
      <c r="R990" s="200"/>
      <c r="S990" s="200"/>
    </row>
    <row r="991" ht="15.75" customHeight="1">
      <c r="R991" s="200"/>
      <c r="S991" s="200"/>
    </row>
    <row r="992" ht="15.75" customHeight="1">
      <c r="R992" s="200"/>
      <c r="S992" s="200"/>
    </row>
    <row r="993" ht="15.75" customHeight="1">
      <c r="R993" s="200"/>
      <c r="S993" s="200"/>
    </row>
    <row r="994" ht="15.75" customHeight="1">
      <c r="R994" s="200"/>
      <c r="S994" s="200"/>
    </row>
    <row r="995" ht="15.75" customHeight="1">
      <c r="R995" s="200"/>
      <c r="S995" s="200"/>
    </row>
    <row r="996" ht="15.75" customHeight="1">
      <c r="R996" s="200"/>
      <c r="S996" s="200"/>
    </row>
    <row r="997" ht="15.75" customHeight="1">
      <c r="R997" s="200"/>
      <c r="S997" s="200"/>
    </row>
    <row r="998" ht="15.75" customHeight="1">
      <c r="R998" s="200"/>
      <c r="S998" s="200"/>
    </row>
    <row r="999" ht="15.75" customHeight="1">
      <c r="R999" s="200"/>
      <c r="S999" s="200"/>
    </row>
    <row r="1000" ht="15.75" customHeight="1">
      <c r="R1000" s="200"/>
      <c r="S1000" s="200"/>
    </row>
    <row r="1001" ht="15.75" customHeight="1">
      <c r="R1001" s="200"/>
      <c r="S1001" s="200"/>
    </row>
    <row r="1002" ht="15.75" customHeight="1">
      <c r="R1002" s="200"/>
      <c r="S1002" s="200"/>
    </row>
    <row r="1003" ht="15.75" customHeight="1">
      <c r="R1003" s="200"/>
      <c r="S1003" s="200"/>
    </row>
    <row r="1004" ht="15.75" customHeight="1">
      <c r="R1004" s="200"/>
      <c r="S1004" s="200"/>
    </row>
    <row r="1005" ht="15.75" customHeight="1">
      <c r="R1005" s="200"/>
      <c r="S1005" s="200"/>
    </row>
    <row r="1006" ht="15.75" customHeight="1">
      <c r="R1006" s="200"/>
      <c r="S1006" s="200"/>
    </row>
    <row r="1007" ht="15.75" customHeight="1">
      <c r="R1007" s="200"/>
      <c r="S1007" s="200"/>
    </row>
    <row r="1008" ht="15.75" customHeight="1">
      <c r="R1008" s="200"/>
      <c r="S1008" s="200"/>
    </row>
    <row r="1009" ht="15.75" customHeight="1">
      <c r="R1009" s="200"/>
      <c r="S1009" s="200"/>
    </row>
    <row r="1010" ht="15.75" customHeight="1">
      <c r="R1010" s="200"/>
      <c r="S1010" s="200"/>
    </row>
    <row r="1011" ht="15.75" customHeight="1">
      <c r="R1011" s="200"/>
      <c r="S1011" s="200"/>
    </row>
    <row r="1012" ht="15.75" customHeight="1">
      <c r="R1012" s="200"/>
      <c r="S1012" s="200"/>
    </row>
    <row r="1013" ht="15.75" customHeight="1">
      <c r="R1013" s="200"/>
      <c r="S1013" s="200"/>
    </row>
    <row r="1014" ht="15.75" customHeight="1">
      <c r="R1014" s="200"/>
      <c r="S1014" s="200"/>
    </row>
    <row r="1015" ht="15.75" customHeight="1">
      <c r="R1015" s="200"/>
      <c r="S1015" s="200"/>
    </row>
    <row r="1016" ht="15.75" customHeight="1">
      <c r="R1016" s="200"/>
      <c r="S1016" s="200"/>
    </row>
    <row r="1017" ht="15.75" customHeight="1">
      <c r="R1017" s="200"/>
      <c r="S1017" s="200"/>
    </row>
    <row r="1018" ht="15.75" customHeight="1">
      <c r="R1018" s="200"/>
      <c r="S1018" s="200"/>
    </row>
    <row r="1019" ht="15.75" customHeight="1">
      <c r="R1019" s="200"/>
      <c r="S1019" s="200"/>
    </row>
    <row r="1020" ht="15.75" customHeight="1">
      <c r="R1020" s="200"/>
      <c r="S1020" s="200"/>
    </row>
    <row r="1021" ht="15.75" customHeight="1">
      <c r="R1021" s="200"/>
      <c r="S1021" s="200"/>
    </row>
    <row r="1022" ht="15.75" customHeight="1">
      <c r="R1022" s="200"/>
      <c r="S1022" s="200"/>
    </row>
    <row r="1023" ht="15.75" customHeight="1">
      <c r="R1023" s="200"/>
      <c r="S1023" s="200"/>
    </row>
    <row r="1024" ht="15.75" customHeight="1">
      <c r="R1024" s="200"/>
      <c r="S1024" s="200"/>
    </row>
    <row r="1025" ht="15.75" customHeight="1">
      <c r="R1025" s="200"/>
      <c r="S1025" s="200"/>
    </row>
    <row r="1026" ht="15.75" customHeight="1">
      <c r="R1026" s="200"/>
      <c r="S1026" s="200"/>
    </row>
    <row r="1027" ht="15.75" customHeight="1">
      <c r="R1027" s="200"/>
      <c r="S1027" s="200"/>
    </row>
    <row r="1028" ht="15.75" customHeight="1">
      <c r="R1028" s="200"/>
      <c r="S1028" s="200"/>
    </row>
    <row r="1029" ht="15.75" customHeight="1">
      <c r="R1029" s="200"/>
      <c r="S1029" s="200"/>
    </row>
    <row r="1030" ht="15.75" customHeight="1">
      <c r="R1030" s="200"/>
      <c r="S1030" s="200"/>
    </row>
    <row r="1031" ht="15.75" customHeight="1">
      <c r="R1031" s="200"/>
      <c r="S1031" s="200"/>
    </row>
    <row r="1032" ht="15.75" customHeight="1">
      <c r="R1032" s="200"/>
      <c r="S1032" s="200"/>
    </row>
    <row r="1033" ht="15.75" customHeight="1">
      <c r="R1033" s="200"/>
      <c r="S1033" s="200"/>
    </row>
    <row r="1034" ht="15.75" customHeight="1">
      <c r="R1034" s="200"/>
      <c r="S1034" s="200"/>
    </row>
    <row r="1035" ht="15.75" customHeight="1">
      <c r="R1035" s="200"/>
      <c r="S1035" s="200"/>
    </row>
    <row r="1036" ht="15.75" customHeight="1">
      <c r="R1036" s="200"/>
      <c r="S1036" s="200"/>
    </row>
    <row r="1037" ht="15.75" customHeight="1">
      <c r="R1037" s="200"/>
      <c r="S1037" s="200"/>
    </row>
    <row r="1038" ht="15.75" customHeight="1">
      <c r="R1038" s="200"/>
      <c r="S1038" s="200"/>
    </row>
    <row r="1039" ht="15.75" customHeight="1">
      <c r="R1039" s="200"/>
      <c r="S1039" s="200"/>
    </row>
    <row r="1040" ht="15.75" customHeight="1">
      <c r="R1040" s="200"/>
      <c r="S1040" s="200"/>
    </row>
    <row r="1041" ht="15.75" customHeight="1">
      <c r="R1041" s="200"/>
      <c r="S1041" s="200"/>
    </row>
    <row r="1042" ht="15.75" customHeight="1">
      <c r="R1042" s="200"/>
      <c r="S1042" s="200"/>
    </row>
    <row r="1043" ht="15.75" customHeight="1">
      <c r="R1043" s="200"/>
      <c r="S1043" s="200"/>
    </row>
    <row r="1044" ht="15.75" customHeight="1">
      <c r="R1044" s="200"/>
      <c r="S1044" s="200"/>
    </row>
    <row r="1045" ht="15.75" customHeight="1">
      <c r="R1045" s="200"/>
      <c r="S1045" s="200"/>
    </row>
    <row r="1046" ht="15.75" customHeight="1">
      <c r="R1046" s="200"/>
      <c r="S1046" s="200"/>
    </row>
    <row r="1047" ht="15.75" customHeight="1">
      <c r="R1047" s="200"/>
      <c r="S1047" s="200"/>
    </row>
    <row r="1048" ht="15.75" customHeight="1">
      <c r="R1048" s="200"/>
      <c r="S1048" s="200"/>
    </row>
    <row r="1049" ht="15.75" customHeight="1">
      <c r="R1049" s="200"/>
      <c r="S1049" s="200"/>
    </row>
    <row r="1050" ht="15.75" customHeight="1">
      <c r="R1050" s="200"/>
      <c r="S1050" s="200"/>
    </row>
    <row r="1051" ht="15.75" customHeight="1">
      <c r="R1051" s="200"/>
      <c r="S1051" s="200"/>
    </row>
    <row r="1052" ht="15.75" customHeight="1">
      <c r="R1052" s="200"/>
      <c r="S1052" s="200"/>
    </row>
    <row r="1053" ht="15.75" customHeight="1">
      <c r="R1053" s="200"/>
      <c r="S1053" s="200"/>
    </row>
    <row r="1054" ht="15.75" customHeight="1">
      <c r="R1054" s="200"/>
      <c r="S1054" s="200"/>
    </row>
  </sheetData>
  <mergeCells count="22">
    <mergeCell ref="B3:B8"/>
    <mergeCell ref="B15:B16"/>
    <mergeCell ref="B17:B22"/>
    <mergeCell ref="B26:B27"/>
    <mergeCell ref="B28:B33"/>
    <mergeCell ref="B37:B38"/>
    <mergeCell ref="B39:B44"/>
    <mergeCell ref="B83:B88"/>
    <mergeCell ref="B92:B93"/>
    <mergeCell ref="B94:B99"/>
    <mergeCell ref="B103:B104"/>
    <mergeCell ref="B105:B110"/>
    <mergeCell ref="B114:B115"/>
    <mergeCell ref="B116:B121"/>
    <mergeCell ref="B125:B131"/>
    <mergeCell ref="B48:B49"/>
    <mergeCell ref="B50:B55"/>
    <mergeCell ref="B59:B60"/>
    <mergeCell ref="B61:B66"/>
    <mergeCell ref="B70:B71"/>
    <mergeCell ref="B72:B77"/>
    <mergeCell ref="B81:B82"/>
  </mergeCells>
  <conditionalFormatting sqref="D17:P22 D28:P33 D39:P44 E50:P55 E61:P66 E72:P77 E83:P88 E94:P99 E105:P110 E116:P121">
    <cfRule type="expression" dxfId="1" priority="1">
      <formula>isformula(D17)</formula>
    </cfRule>
  </conditionalFormatting>
  <conditionalFormatting sqref="D16:P16 D27:P27 D38:P38 D49:P49 D60:P60 D71:P71 D82:P82 D93:P93 D104:P104 R104:S104 D115:P115">
    <cfRule type="expression" dxfId="2" priority="2">
      <formula>isformula(D16)</formula>
    </cfRule>
  </conditionalFormatting>
  <dataValidations>
    <dataValidation type="list" allowBlank="1" showErrorMessage="1" sqref="B14 B25 B36 B47 B58 B69 B80 B91 B102 B113">
      <formula1>"Core Activity,Non-core Activity"</formula1>
    </dataValidation>
    <dataValidation type="list" allowBlank="1" showErrorMessage="1" sqref="B15 B26 B37 B48 B59 B70 B81 B92 B103 B114">
      <formula1>Activity!$D$2:$D$26</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4.75"/>
    <col customWidth="1" min="3" max="3" width="29.38"/>
    <col customWidth="1" min="4" max="4" width="38.38"/>
    <col customWidth="1" min="5" max="5" width="106.75"/>
    <col customWidth="1" min="6" max="6" width="7.25"/>
  </cols>
  <sheetData>
    <row r="1">
      <c r="A1" s="186" t="s">
        <v>86</v>
      </c>
      <c r="B1" s="186" t="s">
        <v>88</v>
      </c>
      <c r="C1" s="186" t="s">
        <v>11</v>
      </c>
      <c r="D1" s="186" t="s">
        <v>3</v>
      </c>
      <c r="E1" s="186" t="s">
        <v>89</v>
      </c>
      <c r="F1" s="186" t="s">
        <v>25</v>
      </c>
    </row>
    <row r="2">
      <c r="A2" s="187" t="s">
        <v>90</v>
      </c>
      <c r="B2" s="188">
        <v>1.0</v>
      </c>
      <c r="C2" s="189" t="s">
        <v>91</v>
      </c>
      <c r="D2" s="190" t="s">
        <v>20</v>
      </c>
      <c r="E2" s="191" t="s">
        <v>92</v>
      </c>
      <c r="F2" s="192" t="s">
        <v>93</v>
      </c>
    </row>
    <row r="3">
      <c r="A3" s="189" t="s">
        <v>90</v>
      </c>
      <c r="B3" s="188">
        <v>2.0</v>
      </c>
      <c r="C3" s="189" t="s">
        <v>94</v>
      </c>
      <c r="D3" s="190" t="s">
        <v>20</v>
      </c>
      <c r="E3" s="191" t="s">
        <v>92</v>
      </c>
      <c r="F3" s="192" t="s">
        <v>93</v>
      </c>
    </row>
    <row r="4">
      <c r="A4" s="189" t="s">
        <v>90</v>
      </c>
      <c r="B4" s="188">
        <v>3.0</v>
      </c>
      <c r="C4" s="189" t="s">
        <v>95</v>
      </c>
      <c r="D4" s="193" t="s">
        <v>96</v>
      </c>
      <c r="E4" s="191" t="s">
        <v>98</v>
      </c>
      <c r="F4" s="192" t="s">
        <v>93</v>
      </c>
    </row>
    <row r="5">
      <c r="A5" s="189" t="s">
        <v>90</v>
      </c>
      <c r="B5" s="188">
        <v>4.0</v>
      </c>
      <c r="C5" s="189" t="s">
        <v>99</v>
      </c>
      <c r="D5" s="193" t="s">
        <v>96</v>
      </c>
      <c r="E5" s="191" t="s">
        <v>98</v>
      </c>
      <c r="F5" s="192" t="s">
        <v>93</v>
      </c>
    </row>
    <row r="6">
      <c r="A6" s="189" t="s">
        <v>90</v>
      </c>
      <c r="B6" s="188">
        <v>5.0</v>
      </c>
      <c r="C6" s="189" t="s">
        <v>100</v>
      </c>
      <c r="D6" s="190" t="s">
        <v>72</v>
      </c>
      <c r="E6" s="191" t="s">
        <v>101</v>
      </c>
      <c r="F6" s="192" t="s">
        <v>93</v>
      </c>
    </row>
    <row r="7">
      <c r="A7" s="195" t="s">
        <v>90</v>
      </c>
      <c r="B7" s="196">
        <v>6.0</v>
      </c>
      <c r="C7" s="195" t="s">
        <v>102</v>
      </c>
      <c r="D7" s="197" t="s">
        <v>82</v>
      </c>
      <c r="E7" s="198"/>
      <c r="F7" s="199" t="s">
        <v>93</v>
      </c>
      <c r="G7" s="200"/>
      <c r="H7" s="200"/>
      <c r="I7" s="200"/>
      <c r="J7" s="200"/>
      <c r="K7" s="200"/>
      <c r="L7" s="200"/>
      <c r="M7" s="200"/>
      <c r="N7" s="200"/>
      <c r="O7" s="200"/>
      <c r="P7" s="200"/>
      <c r="Q7" s="200"/>
      <c r="R7" s="200"/>
      <c r="S7" s="200"/>
      <c r="T7" s="200"/>
      <c r="U7" s="200"/>
      <c r="V7" s="200"/>
      <c r="W7" s="200"/>
      <c r="X7" s="200"/>
      <c r="Y7" s="200"/>
      <c r="Z7" s="200"/>
    </row>
    <row r="8">
      <c r="A8" s="195" t="s">
        <v>90</v>
      </c>
      <c r="B8" s="196">
        <v>8.0</v>
      </c>
      <c r="C8" s="195" t="s">
        <v>103</v>
      </c>
      <c r="D8" s="201" t="s">
        <v>104</v>
      </c>
      <c r="E8" s="198" t="s">
        <v>105</v>
      </c>
      <c r="F8" s="199" t="s">
        <v>93</v>
      </c>
      <c r="G8" s="200"/>
      <c r="H8" s="200"/>
      <c r="I8" s="200"/>
      <c r="J8" s="200"/>
      <c r="K8" s="200"/>
      <c r="L8" s="200"/>
      <c r="M8" s="200"/>
      <c r="N8" s="200"/>
      <c r="O8" s="200"/>
      <c r="P8" s="200"/>
      <c r="Q8" s="200"/>
      <c r="R8" s="200"/>
      <c r="S8" s="200"/>
      <c r="T8" s="200"/>
      <c r="U8" s="200"/>
      <c r="V8" s="200"/>
      <c r="W8" s="200"/>
      <c r="X8" s="200"/>
      <c r="Y8" s="200"/>
      <c r="Z8" s="200"/>
    </row>
    <row r="9">
      <c r="A9" s="195" t="s">
        <v>90</v>
      </c>
      <c r="B9" s="196">
        <v>9.0</v>
      </c>
      <c r="C9" s="195" t="s">
        <v>106</v>
      </c>
      <c r="D9" s="201" t="s">
        <v>107</v>
      </c>
      <c r="E9" s="198" t="s">
        <v>108</v>
      </c>
      <c r="F9" s="199" t="s">
        <v>93</v>
      </c>
      <c r="G9" s="200"/>
      <c r="H9" s="200"/>
      <c r="I9" s="200"/>
      <c r="J9" s="200"/>
      <c r="K9" s="200"/>
      <c r="L9" s="200"/>
      <c r="M9" s="200"/>
      <c r="N9" s="200"/>
      <c r="O9" s="200"/>
      <c r="P9" s="200"/>
      <c r="Q9" s="200"/>
      <c r="R9" s="200"/>
      <c r="S9" s="200"/>
      <c r="T9" s="200"/>
      <c r="U9" s="200"/>
      <c r="V9" s="200"/>
      <c r="W9" s="200"/>
      <c r="X9" s="200"/>
      <c r="Y9" s="200"/>
      <c r="Z9" s="200"/>
    </row>
    <row r="10">
      <c r="A10" s="189" t="s">
        <v>90</v>
      </c>
      <c r="B10" s="188">
        <v>15.0</v>
      </c>
      <c r="C10" s="189" t="s">
        <v>109</v>
      </c>
      <c r="D10" s="202" t="s">
        <v>84</v>
      </c>
      <c r="E10" s="202" t="s">
        <v>110</v>
      </c>
      <c r="F10" s="191" t="s">
        <v>93</v>
      </c>
      <c r="G10" s="40"/>
      <c r="H10" s="40"/>
      <c r="I10" s="40"/>
      <c r="J10" s="40"/>
      <c r="K10" s="40"/>
      <c r="L10" s="40"/>
      <c r="M10" s="40"/>
      <c r="N10" s="40"/>
      <c r="O10" s="40"/>
      <c r="P10" s="40"/>
      <c r="Q10" s="40"/>
      <c r="R10" s="40"/>
      <c r="S10" s="40"/>
      <c r="T10" s="40"/>
      <c r="U10" s="40"/>
      <c r="V10" s="40"/>
      <c r="W10" s="40"/>
      <c r="X10" s="40"/>
      <c r="Y10" s="40"/>
      <c r="Z10" s="40"/>
    </row>
    <row r="11">
      <c r="A11" s="189" t="s">
        <v>90</v>
      </c>
      <c r="B11" s="188">
        <v>15.0</v>
      </c>
      <c r="C11" s="189" t="s">
        <v>109</v>
      </c>
      <c r="D11" s="202" t="s">
        <v>111</v>
      </c>
      <c r="E11" s="202" t="s">
        <v>112</v>
      </c>
      <c r="F11" s="191" t="s">
        <v>93</v>
      </c>
      <c r="G11" s="40"/>
      <c r="H11" s="40"/>
      <c r="I11" s="40"/>
      <c r="J11" s="40"/>
      <c r="K11" s="40"/>
      <c r="L11" s="40"/>
      <c r="M11" s="40"/>
      <c r="N11" s="40"/>
      <c r="O11" s="40"/>
      <c r="P11" s="40"/>
      <c r="Q11" s="40"/>
      <c r="R11" s="40"/>
      <c r="S11" s="40"/>
      <c r="T11" s="40"/>
      <c r="U11" s="40"/>
      <c r="V11" s="40"/>
      <c r="W11" s="40"/>
      <c r="X11" s="40"/>
      <c r="Y11" s="40"/>
      <c r="Z11" s="40"/>
    </row>
    <row r="12">
      <c r="A12" s="189" t="s">
        <v>90</v>
      </c>
      <c r="B12" s="188">
        <v>15.0</v>
      </c>
      <c r="C12" s="189" t="s">
        <v>109</v>
      </c>
      <c r="D12" s="202" t="s">
        <v>113</v>
      </c>
      <c r="E12" s="202" t="s">
        <v>114</v>
      </c>
      <c r="F12" s="191" t="s">
        <v>93</v>
      </c>
      <c r="G12" s="40"/>
      <c r="H12" s="40"/>
      <c r="I12" s="40"/>
      <c r="J12" s="40"/>
      <c r="K12" s="40"/>
      <c r="L12" s="40"/>
      <c r="M12" s="40"/>
      <c r="N12" s="40"/>
      <c r="O12" s="40"/>
      <c r="P12" s="40"/>
      <c r="Q12" s="40"/>
      <c r="R12" s="40"/>
      <c r="S12" s="40"/>
      <c r="T12" s="40"/>
      <c r="U12" s="40"/>
      <c r="V12" s="40"/>
      <c r="W12" s="40"/>
      <c r="X12" s="40"/>
      <c r="Y12" s="40"/>
      <c r="Z12" s="40"/>
    </row>
    <row r="13">
      <c r="A13" s="203" t="s">
        <v>90</v>
      </c>
      <c r="B13" s="204">
        <v>11.0</v>
      </c>
      <c r="C13" s="203" t="s">
        <v>115</v>
      </c>
      <c r="D13" s="199" t="s">
        <v>116</v>
      </c>
      <c r="E13" s="205" t="s">
        <v>117</v>
      </c>
      <c r="F13" s="199" t="s">
        <v>93</v>
      </c>
      <c r="G13" s="200"/>
      <c r="H13" s="200"/>
      <c r="I13" s="200"/>
      <c r="J13" s="200"/>
      <c r="K13" s="200"/>
      <c r="L13" s="200"/>
      <c r="M13" s="200"/>
      <c r="N13" s="200"/>
      <c r="O13" s="200"/>
      <c r="P13" s="200"/>
      <c r="Q13" s="200"/>
      <c r="R13" s="200"/>
      <c r="S13" s="200"/>
      <c r="T13" s="200"/>
      <c r="U13" s="200"/>
      <c r="V13" s="200"/>
      <c r="W13" s="200"/>
      <c r="X13" s="200"/>
      <c r="Y13" s="200"/>
      <c r="Z13" s="200"/>
    </row>
    <row r="14">
      <c r="A14" s="195" t="s">
        <v>90</v>
      </c>
      <c r="B14" s="196">
        <v>10.0</v>
      </c>
      <c r="C14" s="195" t="s">
        <v>118</v>
      </c>
      <c r="D14" s="206" t="s">
        <v>119</v>
      </c>
      <c r="E14" s="206" t="s">
        <v>120</v>
      </c>
      <c r="F14" s="201" t="s">
        <v>93</v>
      </c>
      <c r="G14" s="207"/>
      <c r="H14" s="207"/>
      <c r="I14" s="207"/>
      <c r="J14" s="207"/>
      <c r="K14" s="207"/>
      <c r="L14" s="207"/>
      <c r="M14" s="207"/>
      <c r="N14" s="207"/>
      <c r="O14" s="207"/>
      <c r="P14" s="207"/>
      <c r="Q14" s="207"/>
      <c r="R14" s="207"/>
      <c r="S14" s="207"/>
      <c r="T14" s="207"/>
      <c r="U14" s="207"/>
      <c r="V14" s="207"/>
      <c r="W14" s="207"/>
      <c r="X14" s="207"/>
      <c r="Y14" s="207"/>
      <c r="Z14" s="207"/>
    </row>
    <row r="15">
      <c r="A15" s="195" t="s">
        <v>90</v>
      </c>
      <c r="B15" s="196">
        <v>10.0</v>
      </c>
      <c r="C15" s="195" t="s">
        <v>118</v>
      </c>
      <c r="D15" s="206" t="s">
        <v>87</v>
      </c>
      <c r="E15" s="206" t="s">
        <v>120</v>
      </c>
      <c r="F15" s="201" t="s">
        <v>93</v>
      </c>
      <c r="G15" s="207"/>
      <c r="H15" s="207"/>
      <c r="I15" s="207"/>
      <c r="J15" s="207"/>
      <c r="K15" s="207"/>
      <c r="L15" s="207"/>
      <c r="M15" s="207"/>
      <c r="N15" s="207"/>
      <c r="O15" s="207"/>
      <c r="P15" s="207"/>
      <c r="Q15" s="207"/>
      <c r="R15" s="207"/>
      <c r="S15" s="207"/>
      <c r="T15" s="207"/>
      <c r="U15" s="207"/>
      <c r="V15" s="207"/>
      <c r="W15" s="207"/>
      <c r="X15" s="207"/>
      <c r="Y15" s="207"/>
      <c r="Z15" s="207"/>
    </row>
    <row r="16">
      <c r="A16" s="195" t="s">
        <v>90</v>
      </c>
      <c r="B16" s="196">
        <v>10.0</v>
      </c>
      <c r="C16" s="195" t="s">
        <v>118</v>
      </c>
      <c r="D16" s="206" t="s">
        <v>121</v>
      </c>
      <c r="E16" s="206" t="s">
        <v>120</v>
      </c>
      <c r="F16" s="201" t="s">
        <v>93</v>
      </c>
      <c r="G16" s="207"/>
      <c r="H16" s="207"/>
      <c r="I16" s="207"/>
      <c r="J16" s="207"/>
      <c r="K16" s="207"/>
      <c r="L16" s="207"/>
      <c r="M16" s="207"/>
      <c r="N16" s="207"/>
      <c r="O16" s="207"/>
      <c r="P16" s="207"/>
      <c r="Q16" s="207"/>
      <c r="R16" s="207"/>
      <c r="S16" s="207"/>
      <c r="T16" s="207"/>
      <c r="U16" s="207"/>
      <c r="V16" s="207"/>
      <c r="W16" s="207"/>
      <c r="X16" s="207"/>
      <c r="Y16" s="207"/>
      <c r="Z16" s="207"/>
    </row>
    <row r="17">
      <c r="A17" s="195" t="s">
        <v>90</v>
      </c>
      <c r="B17" s="196">
        <v>10.0</v>
      </c>
      <c r="C17" s="195" t="s">
        <v>118</v>
      </c>
      <c r="D17" s="206" t="s">
        <v>77</v>
      </c>
      <c r="E17" s="206" t="s">
        <v>120</v>
      </c>
      <c r="F17" s="201" t="s">
        <v>93</v>
      </c>
      <c r="G17" s="207"/>
      <c r="H17" s="207"/>
      <c r="I17" s="207"/>
      <c r="J17" s="207"/>
      <c r="K17" s="207"/>
      <c r="L17" s="207"/>
      <c r="M17" s="207"/>
      <c r="N17" s="207"/>
      <c r="O17" s="207"/>
      <c r="P17" s="207"/>
      <c r="Q17" s="207"/>
      <c r="R17" s="207"/>
      <c r="S17" s="207"/>
      <c r="T17" s="207"/>
      <c r="U17" s="207"/>
      <c r="V17" s="207"/>
      <c r="W17" s="207"/>
      <c r="X17" s="207"/>
      <c r="Y17" s="207"/>
      <c r="Z17" s="207"/>
    </row>
    <row r="18">
      <c r="A18" s="195" t="s">
        <v>90</v>
      </c>
      <c r="B18" s="196">
        <v>10.0</v>
      </c>
      <c r="C18" s="195" t="s">
        <v>118</v>
      </c>
      <c r="D18" s="206" t="s">
        <v>122</v>
      </c>
      <c r="E18" s="206" t="s">
        <v>120</v>
      </c>
      <c r="F18" s="201" t="s">
        <v>93</v>
      </c>
      <c r="G18" s="207"/>
      <c r="H18" s="207"/>
      <c r="I18" s="207"/>
      <c r="J18" s="207"/>
      <c r="K18" s="207"/>
      <c r="L18" s="207"/>
      <c r="M18" s="207"/>
      <c r="N18" s="207"/>
      <c r="O18" s="207"/>
      <c r="P18" s="207"/>
      <c r="Q18" s="207"/>
      <c r="R18" s="207"/>
      <c r="S18" s="207"/>
      <c r="T18" s="207"/>
      <c r="U18" s="207"/>
      <c r="V18" s="207"/>
      <c r="W18" s="207"/>
      <c r="X18" s="207"/>
      <c r="Y18" s="207"/>
      <c r="Z18" s="207"/>
    </row>
    <row r="19">
      <c r="A19" s="195" t="s">
        <v>90</v>
      </c>
      <c r="B19" s="196">
        <v>10.0</v>
      </c>
      <c r="C19" s="195" t="s">
        <v>118</v>
      </c>
      <c r="D19" s="206" t="s">
        <v>123</v>
      </c>
      <c r="E19" s="206" t="s">
        <v>120</v>
      </c>
      <c r="F19" s="201" t="s">
        <v>93</v>
      </c>
      <c r="G19" s="207"/>
      <c r="H19" s="207"/>
      <c r="I19" s="207"/>
      <c r="J19" s="207"/>
      <c r="K19" s="207"/>
      <c r="L19" s="207"/>
      <c r="M19" s="207"/>
      <c r="N19" s="207"/>
      <c r="O19" s="207"/>
      <c r="P19" s="207"/>
      <c r="Q19" s="207"/>
      <c r="R19" s="207"/>
      <c r="S19" s="207"/>
      <c r="T19" s="207"/>
      <c r="U19" s="207"/>
      <c r="V19" s="207"/>
      <c r="W19" s="207"/>
      <c r="X19" s="207"/>
      <c r="Y19" s="207"/>
      <c r="Z19" s="207"/>
    </row>
    <row r="20">
      <c r="A20" s="195" t="s">
        <v>90</v>
      </c>
      <c r="B20" s="196">
        <v>10.0</v>
      </c>
      <c r="C20" s="195" t="s">
        <v>118</v>
      </c>
      <c r="D20" s="206" t="s">
        <v>124</v>
      </c>
      <c r="E20" s="206" t="s">
        <v>125</v>
      </c>
      <c r="F20" s="201" t="s">
        <v>93</v>
      </c>
      <c r="G20" s="207"/>
      <c r="H20" s="207"/>
      <c r="I20" s="207"/>
      <c r="J20" s="207"/>
      <c r="K20" s="207"/>
      <c r="L20" s="207"/>
      <c r="M20" s="207"/>
      <c r="N20" s="207"/>
      <c r="O20" s="207"/>
      <c r="P20" s="207"/>
      <c r="Q20" s="207"/>
      <c r="R20" s="207"/>
      <c r="S20" s="207"/>
      <c r="T20" s="207"/>
      <c r="U20" s="207"/>
      <c r="V20" s="207"/>
      <c r="W20" s="207"/>
      <c r="X20" s="207"/>
      <c r="Y20" s="207"/>
      <c r="Z20" s="207"/>
    </row>
    <row r="21">
      <c r="A21" s="195" t="s">
        <v>90</v>
      </c>
      <c r="B21" s="196">
        <v>10.0</v>
      </c>
      <c r="C21" s="195" t="s">
        <v>118</v>
      </c>
      <c r="D21" s="206" t="s">
        <v>126</v>
      </c>
      <c r="E21" s="206" t="s">
        <v>127</v>
      </c>
      <c r="F21" s="201" t="s">
        <v>93</v>
      </c>
      <c r="G21" s="207"/>
      <c r="H21" s="207"/>
      <c r="I21" s="207"/>
      <c r="J21" s="207"/>
      <c r="K21" s="207"/>
      <c r="L21" s="207"/>
      <c r="M21" s="207"/>
      <c r="N21" s="207"/>
      <c r="O21" s="207"/>
      <c r="P21" s="207"/>
      <c r="Q21" s="207"/>
      <c r="R21" s="207"/>
      <c r="S21" s="207"/>
      <c r="T21" s="207"/>
      <c r="U21" s="207"/>
      <c r="V21" s="207"/>
      <c r="W21" s="207"/>
      <c r="X21" s="207"/>
      <c r="Y21" s="207"/>
      <c r="Z21" s="207"/>
    </row>
    <row r="22">
      <c r="A22" s="187" t="s">
        <v>90</v>
      </c>
      <c r="B22" s="208">
        <v>12.0</v>
      </c>
      <c r="C22" s="187" t="s">
        <v>128</v>
      </c>
      <c r="D22" s="209" t="s">
        <v>79</v>
      </c>
      <c r="E22" s="192"/>
      <c r="F22" s="192" t="s">
        <v>93</v>
      </c>
    </row>
    <row r="23">
      <c r="A23" s="187" t="s">
        <v>90</v>
      </c>
      <c r="B23" s="208">
        <v>13.0</v>
      </c>
      <c r="C23" s="187" t="s">
        <v>129</v>
      </c>
      <c r="D23" s="209" t="s">
        <v>79</v>
      </c>
      <c r="E23" s="192"/>
      <c r="F23" s="192" t="s">
        <v>93</v>
      </c>
    </row>
    <row r="24">
      <c r="A24" s="187" t="s">
        <v>90</v>
      </c>
      <c r="B24" s="208">
        <v>14.0</v>
      </c>
      <c r="C24" s="187" t="s">
        <v>130</v>
      </c>
      <c r="D24" s="209" t="s">
        <v>79</v>
      </c>
      <c r="E24" s="192"/>
      <c r="F24" s="192" t="s">
        <v>93</v>
      </c>
    </row>
    <row r="25">
      <c r="A25" s="187"/>
      <c r="B25" s="208"/>
      <c r="C25" s="187" t="s">
        <v>131</v>
      </c>
      <c r="D25" s="192" t="s">
        <v>67</v>
      </c>
      <c r="E25" s="192" t="s">
        <v>132</v>
      </c>
      <c r="F25" s="192" t="s">
        <v>93</v>
      </c>
    </row>
    <row r="26">
      <c r="A26" s="187"/>
      <c r="B26" s="208"/>
      <c r="C26" s="187" t="s">
        <v>131</v>
      </c>
      <c r="D26" s="192" t="s">
        <v>29</v>
      </c>
      <c r="E26" s="192" t="s">
        <v>133</v>
      </c>
      <c r="F26" s="192" t="s">
        <v>93</v>
      </c>
    </row>
    <row r="30">
      <c r="A30" s="210"/>
      <c r="B30" s="210"/>
      <c r="C30" s="210"/>
      <c r="D30" s="210"/>
      <c r="E30" s="210"/>
      <c r="F30" s="210"/>
    </row>
    <row r="31">
      <c r="A31" s="187" t="s">
        <v>134</v>
      </c>
      <c r="B31" s="208">
        <v>19.0</v>
      </c>
      <c r="C31" s="187" t="s">
        <v>135</v>
      </c>
      <c r="D31" s="211" t="s">
        <v>96</v>
      </c>
      <c r="E31" s="212" t="s">
        <v>98</v>
      </c>
      <c r="F31" s="192" t="s">
        <v>93</v>
      </c>
    </row>
    <row r="32">
      <c r="A32" s="187" t="s">
        <v>134</v>
      </c>
      <c r="B32" s="208">
        <v>20.0</v>
      </c>
      <c r="C32" s="187" t="s">
        <v>136</v>
      </c>
      <c r="D32" s="211" t="s">
        <v>96</v>
      </c>
      <c r="E32" s="212" t="s">
        <v>98</v>
      </c>
      <c r="F32" s="192" t="s">
        <v>93</v>
      </c>
    </row>
    <row r="33">
      <c r="A33" s="187" t="s">
        <v>134</v>
      </c>
      <c r="B33" s="208">
        <v>21.0</v>
      </c>
      <c r="C33" s="187" t="s">
        <v>137</v>
      </c>
      <c r="D33" s="211" t="s">
        <v>96</v>
      </c>
      <c r="E33" s="212" t="s">
        <v>98</v>
      </c>
      <c r="F33" s="192" t="s">
        <v>93</v>
      </c>
    </row>
    <row r="34">
      <c r="A34" s="189" t="s">
        <v>134</v>
      </c>
      <c r="B34" s="188">
        <v>24.0</v>
      </c>
      <c r="C34" s="189" t="s">
        <v>138</v>
      </c>
      <c r="D34" s="202" t="s">
        <v>84</v>
      </c>
      <c r="E34" s="202" t="s">
        <v>139</v>
      </c>
      <c r="F34" s="191" t="s">
        <v>93</v>
      </c>
      <c r="G34" s="40"/>
      <c r="H34" s="40"/>
      <c r="I34" s="40"/>
      <c r="J34" s="40"/>
      <c r="K34" s="40"/>
      <c r="L34" s="40"/>
      <c r="M34" s="40"/>
      <c r="N34" s="40"/>
      <c r="O34" s="40"/>
      <c r="P34" s="40"/>
      <c r="Q34" s="40"/>
      <c r="R34" s="40"/>
      <c r="S34" s="40"/>
      <c r="T34" s="40"/>
      <c r="U34" s="40"/>
      <c r="V34" s="40"/>
      <c r="W34" s="40"/>
      <c r="X34" s="40"/>
      <c r="Y34" s="40"/>
      <c r="Z34" s="40"/>
    </row>
    <row r="35">
      <c r="A35" s="189" t="s">
        <v>134</v>
      </c>
      <c r="B35" s="188">
        <v>24.0</v>
      </c>
      <c r="C35" s="189" t="s">
        <v>138</v>
      </c>
      <c r="D35" s="202" t="s">
        <v>111</v>
      </c>
      <c r="E35" s="202" t="s">
        <v>140</v>
      </c>
      <c r="F35" s="191" t="s">
        <v>93</v>
      </c>
      <c r="G35" s="40"/>
      <c r="H35" s="40"/>
      <c r="I35" s="40"/>
      <c r="J35" s="40"/>
      <c r="K35" s="40"/>
      <c r="L35" s="40"/>
      <c r="M35" s="40"/>
      <c r="N35" s="40"/>
      <c r="O35" s="40"/>
      <c r="P35" s="40"/>
      <c r="Q35" s="40"/>
      <c r="R35" s="40"/>
      <c r="S35" s="40"/>
      <c r="T35" s="40"/>
      <c r="U35" s="40"/>
      <c r="V35" s="40"/>
      <c r="W35" s="40"/>
      <c r="X35" s="40"/>
      <c r="Y35" s="40"/>
      <c r="Z35" s="40"/>
    </row>
    <row r="36">
      <c r="A36" s="189" t="s">
        <v>134</v>
      </c>
      <c r="B36" s="188">
        <v>24.0</v>
      </c>
      <c r="C36" s="189" t="s">
        <v>138</v>
      </c>
      <c r="D36" s="202" t="s">
        <v>113</v>
      </c>
      <c r="E36" s="202" t="s">
        <v>142</v>
      </c>
      <c r="F36" s="191" t="s">
        <v>93</v>
      </c>
      <c r="G36" s="40"/>
      <c r="H36" s="40"/>
      <c r="I36" s="40"/>
      <c r="J36" s="40"/>
      <c r="K36" s="40"/>
      <c r="L36" s="40"/>
      <c r="M36" s="40"/>
      <c r="N36" s="40"/>
      <c r="O36" s="40"/>
      <c r="P36" s="40"/>
      <c r="Q36" s="40"/>
      <c r="R36" s="40"/>
      <c r="S36" s="40"/>
      <c r="T36" s="40"/>
      <c r="U36" s="40"/>
      <c r="V36" s="40"/>
      <c r="W36" s="40"/>
      <c r="X36" s="40"/>
      <c r="Y36" s="40"/>
      <c r="Z36" s="40"/>
    </row>
    <row r="37">
      <c r="A37" s="187" t="s">
        <v>134</v>
      </c>
      <c r="B37" s="208">
        <v>22.0</v>
      </c>
      <c r="C37" s="215" t="s">
        <v>143</v>
      </c>
      <c r="D37" s="209" t="s">
        <v>144</v>
      </c>
      <c r="E37" s="192"/>
      <c r="F37" s="192" t="s">
        <v>93</v>
      </c>
    </row>
    <row r="38">
      <c r="A38" s="187" t="s">
        <v>134</v>
      </c>
      <c r="B38" s="208">
        <v>23.0</v>
      </c>
      <c r="C38" s="187" t="s">
        <v>145</v>
      </c>
      <c r="D38" s="209" t="s">
        <v>144</v>
      </c>
      <c r="E38" s="192"/>
      <c r="F38" s="192" t="s">
        <v>93</v>
      </c>
    </row>
    <row r="39">
      <c r="A39" s="187" t="s">
        <v>134</v>
      </c>
      <c r="B39" s="208">
        <v>26.0</v>
      </c>
      <c r="C39" s="187" t="s">
        <v>146</v>
      </c>
      <c r="D39" s="216" t="s">
        <v>116</v>
      </c>
      <c r="E39" s="209" t="s">
        <v>147</v>
      </c>
      <c r="F39" s="192" t="s">
        <v>93</v>
      </c>
    </row>
    <row r="40">
      <c r="A40" s="187" t="s">
        <v>134</v>
      </c>
      <c r="B40" s="208">
        <v>16.0</v>
      </c>
      <c r="C40" s="187" t="s">
        <v>148</v>
      </c>
      <c r="D40" s="217" t="s">
        <v>149</v>
      </c>
      <c r="E40" s="192"/>
      <c r="F40" s="192" t="s">
        <v>93</v>
      </c>
    </row>
    <row r="41">
      <c r="A41" s="187" t="s">
        <v>134</v>
      </c>
      <c r="B41" s="208">
        <v>16.0</v>
      </c>
      <c r="C41" s="187" t="s">
        <v>148</v>
      </c>
      <c r="D41" s="217" t="s">
        <v>150</v>
      </c>
      <c r="E41" s="192"/>
      <c r="F41" s="192" t="s">
        <v>93</v>
      </c>
    </row>
    <row r="42">
      <c r="A42" s="187" t="s">
        <v>134</v>
      </c>
      <c r="B42" s="208">
        <v>25.0</v>
      </c>
      <c r="C42" s="187" t="s">
        <v>151</v>
      </c>
      <c r="D42" s="219" t="s">
        <v>152</v>
      </c>
      <c r="E42" s="220" t="s">
        <v>120</v>
      </c>
      <c r="F42" s="192" t="s">
        <v>93</v>
      </c>
    </row>
    <row r="43">
      <c r="A43" s="187" t="s">
        <v>134</v>
      </c>
      <c r="B43" s="208">
        <v>25.0</v>
      </c>
      <c r="C43" s="187" t="s">
        <v>151</v>
      </c>
      <c r="D43" s="219" t="s">
        <v>153</v>
      </c>
      <c r="E43" s="220" t="s">
        <v>154</v>
      </c>
      <c r="F43" s="192" t="s">
        <v>93</v>
      </c>
    </row>
    <row r="44">
      <c r="A44" s="187" t="s">
        <v>134</v>
      </c>
      <c r="B44" s="208">
        <v>17.0</v>
      </c>
      <c r="C44" s="187" t="s">
        <v>155</v>
      </c>
      <c r="D44" s="211" t="s">
        <v>156</v>
      </c>
      <c r="E44" s="212" t="s">
        <v>157</v>
      </c>
      <c r="F44" s="192" t="s">
        <v>93</v>
      </c>
    </row>
    <row r="45">
      <c r="A45" s="187" t="s">
        <v>134</v>
      </c>
      <c r="B45" s="208">
        <v>18.0</v>
      </c>
      <c r="C45" s="187" t="s">
        <v>158</v>
      </c>
      <c r="D45" s="211" t="s">
        <v>156</v>
      </c>
      <c r="E45" s="212" t="s">
        <v>157</v>
      </c>
      <c r="F45" s="192" t="s">
        <v>93</v>
      </c>
    </row>
    <row r="46">
      <c r="A46" s="187" t="s">
        <v>159</v>
      </c>
      <c r="B46" s="208">
        <v>27.0</v>
      </c>
      <c r="C46" s="187" t="s">
        <v>160</v>
      </c>
      <c r="D46" s="216" t="s">
        <v>161</v>
      </c>
      <c r="E46" s="221" t="s">
        <v>162</v>
      </c>
      <c r="F46" s="192" t="s">
        <v>93</v>
      </c>
    </row>
    <row r="47">
      <c r="A47" s="187" t="s">
        <v>159</v>
      </c>
      <c r="B47" s="208">
        <v>28.0</v>
      </c>
      <c r="C47" s="187" t="s">
        <v>163</v>
      </c>
      <c r="D47" s="216" t="s">
        <v>164</v>
      </c>
      <c r="E47" s="221" t="s">
        <v>165</v>
      </c>
      <c r="F47" s="192" t="s">
        <v>93</v>
      </c>
    </row>
    <row r="48">
      <c r="A48" s="187" t="s">
        <v>159</v>
      </c>
      <c r="B48" s="208">
        <v>29.0</v>
      </c>
      <c r="C48" s="187" t="s">
        <v>166</v>
      </c>
      <c r="D48" s="216" t="s">
        <v>167</v>
      </c>
      <c r="E48" s="209" t="s">
        <v>168</v>
      </c>
      <c r="F48" s="192" t="s">
        <v>93</v>
      </c>
    </row>
    <row r="49">
      <c r="A49" s="187" t="s">
        <v>169</v>
      </c>
      <c r="B49" s="208">
        <v>30.0</v>
      </c>
      <c r="C49" s="187" t="s">
        <v>170</v>
      </c>
      <c r="D49" s="216" t="s">
        <v>171</v>
      </c>
      <c r="E49" s="221" t="s">
        <v>172</v>
      </c>
      <c r="F49" s="192" t="s">
        <v>93</v>
      </c>
    </row>
    <row r="50">
      <c r="A50" s="187" t="s">
        <v>169</v>
      </c>
      <c r="B50" s="208">
        <v>31.0</v>
      </c>
      <c r="C50" s="187" t="s">
        <v>173</v>
      </c>
      <c r="D50" s="217" t="s">
        <v>174</v>
      </c>
      <c r="E50" s="222" t="s">
        <v>175</v>
      </c>
      <c r="F50" s="192" t="s">
        <v>93</v>
      </c>
    </row>
    <row r="51">
      <c r="A51" s="187" t="s">
        <v>169</v>
      </c>
      <c r="B51" s="208">
        <v>31.0</v>
      </c>
      <c r="C51" s="187" t="s">
        <v>173</v>
      </c>
      <c r="D51" s="217" t="s">
        <v>176</v>
      </c>
      <c r="E51" s="222" t="s">
        <v>177</v>
      </c>
      <c r="F51" s="192" t="s">
        <v>93</v>
      </c>
    </row>
    <row r="52">
      <c r="A52" s="187" t="s">
        <v>169</v>
      </c>
      <c r="B52" s="208">
        <v>32.0</v>
      </c>
      <c r="C52" s="187" t="s">
        <v>178</v>
      </c>
      <c r="D52" s="192" t="s">
        <v>179</v>
      </c>
      <c r="E52" s="192"/>
      <c r="F52" s="192" t="s">
        <v>93</v>
      </c>
    </row>
    <row r="53">
      <c r="A53" s="187" t="s">
        <v>169</v>
      </c>
      <c r="B53" s="208">
        <v>33.0</v>
      </c>
      <c r="C53" s="187" t="s">
        <v>180</v>
      </c>
      <c r="D53" s="192" t="s">
        <v>179</v>
      </c>
      <c r="E53" s="192"/>
      <c r="F53" s="192" t="s">
        <v>93</v>
      </c>
    </row>
    <row r="54">
      <c r="A54" s="187" t="s">
        <v>169</v>
      </c>
      <c r="B54" s="208">
        <v>34.0</v>
      </c>
      <c r="C54" s="187" t="s">
        <v>181</v>
      </c>
      <c r="D54" s="192" t="s">
        <v>179</v>
      </c>
      <c r="E54" s="192"/>
      <c r="F54" s="192" t="s">
        <v>93</v>
      </c>
    </row>
    <row r="55">
      <c r="A55" s="187"/>
      <c r="B55" s="208"/>
      <c r="C55" s="187" t="s">
        <v>131</v>
      </c>
      <c r="D55" s="192" t="s">
        <v>29</v>
      </c>
      <c r="E55" s="192" t="s">
        <v>133</v>
      </c>
      <c r="F55" s="192" t="s">
        <v>93</v>
      </c>
    </row>
    <row r="56">
      <c r="A56" s="187"/>
      <c r="B56" s="208"/>
      <c r="C56" s="187" t="s">
        <v>131</v>
      </c>
      <c r="D56" s="192" t="s">
        <v>67</v>
      </c>
      <c r="E56" s="192" t="s">
        <v>132</v>
      </c>
      <c r="F56" s="192" t="s">
        <v>93</v>
      </c>
    </row>
    <row r="122">
      <c r="C122" s="223" t="s">
        <v>182</v>
      </c>
    </row>
    <row r="125">
      <c r="C125" s="224" t="s">
        <v>183</v>
      </c>
    </row>
    <row r="126">
      <c r="C126" s="225" t="s">
        <v>184</v>
      </c>
    </row>
    <row r="129">
      <c r="C129" s="224" t="s">
        <v>185</v>
      </c>
    </row>
    <row r="130">
      <c r="C130" s="223" t="s">
        <v>186</v>
      </c>
    </row>
    <row r="135">
      <c r="C135" s="224" t="s">
        <v>187</v>
      </c>
    </row>
    <row r="136">
      <c r="C136" s="223" t="s">
        <v>188</v>
      </c>
    </row>
  </sheetData>
  <mergeCells count="4">
    <mergeCell ref="C122:E124"/>
    <mergeCell ref="C126:E128"/>
    <mergeCell ref="C130:E134"/>
    <mergeCell ref="C136:E139"/>
  </mergeCells>
  <drawing r:id="rId2"/>
  <legacyDrawing r:id="rId3"/>
</worksheet>
</file>