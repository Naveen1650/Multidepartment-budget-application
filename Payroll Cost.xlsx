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nel Cost" sheetId="1" r:id="rId5"/>
    <sheet state="visible" name="EHA" sheetId="2" r:id="rId6"/>
    <sheet state="visible" name="Fixed Asset" sheetId="3" r:id="rId7"/>
  </sheets>
  <definedNames/>
  <calcPr/>
</workbook>
</file>

<file path=xl/sharedStrings.xml><?xml version="1.0" encoding="utf-8"?>
<sst xmlns="http://schemas.openxmlformats.org/spreadsheetml/2006/main" count="520" uniqueCount="123">
  <si>
    <t>Sl. No.</t>
  </si>
  <si>
    <t>Country</t>
  </si>
  <si>
    <t>Entity</t>
  </si>
  <si>
    <t>Department</t>
  </si>
  <si>
    <t>Sub Department</t>
  </si>
  <si>
    <t>Full Time Employee/Consultant</t>
  </si>
  <si>
    <t>Salaries and Wages</t>
  </si>
  <si>
    <t>Name</t>
  </si>
  <si>
    <t>Designation</t>
  </si>
  <si>
    <t>Banding</t>
  </si>
  <si>
    <t>Level</t>
  </si>
  <si>
    <t xml:space="preserve">
Date of Joining</t>
  </si>
  <si>
    <t>Current
Annual CTC</t>
  </si>
  <si>
    <t>Current Per Month CTC (INR)</t>
  </si>
  <si>
    <t>New CTC p.m</t>
  </si>
  <si>
    <t>Date of Increment</t>
  </si>
  <si>
    <t>Consultant</t>
  </si>
  <si>
    <t>%
of Increment</t>
  </si>
  <si>
    <t>Salary</t>
  </si>
  <si>
    <t>Incremental
value</t>
  </si>
  <si>
    <t>Total 
CY-2026</t>
  </si>
  <si>
    <t>Total 
I-2026</t>
  </si>
  <si>
    <t>RCT</t>
  </si>
  <si>
    <t>India</t>
  </si>
  <si>
    <t>NHIPLC</t>
  </si>
  <si>
    <t>PDD</t>
  </si>
  <si>
    <t>Health Communication</t>
  </si>
  <si>
    <t>Full Time Employee</t>
  </si>
  <si>
    <t>Simerneet Bajwa</t>
  </si>
  <si>
    <t>Senior Health Communications Lead</t>
  </si>
  <si>
    <t>NH4</t>
  </si>
  <si>
    <t>L3</t>
  </si>
  <si>
    <t>External hired Assistance</t>
  </si>
  <si>
    <t>Kolakaluri Chandana</t>
  </si>
  <si>
    <t>Health Comms Reviewer - Telegu</t>
  </si>
  <si>
    <t>NH2</t>
  </si>
  <si>
    <t>L2</t>
  </si>
  <si>
    <t>-</t>
  </si>
  <si>
    <t>Sandeep Kumar Dwivedi</t>
  </si>
  <si>
    <t>Senior Manager Creative Content &amp; Translation</t>
  </si>
  <si>
    <t>NH3</t>
  </si>
  <si>
    <t>Yogitha Amol Holekunde</t>
  </si>
  <si>
    <t>Medical Content Reviewer - Marathi</t>
  </si>
  <si>
    <t>Tammana</t>
  </si>
  <si>
    <t>Medical Content Reviewer - Punjabi</t>
  </si>
  <si>
    <t>Tarana Rajkumar Emmanuel</t>
  </si>
  <si>
    <t>Associate Manager Creative Content</t>
  </si>
  <si>
    <t>L1</t>
  </si>
  <si>
    <t>Pallavi Sharma</t>
  </si>
  <si>
    <t>Hindi Translator</t>
  </si>
  <si>
    <t>Manasa K</t>
  </si>
  <si>
    <t>Medical Content Reviewer - Kannada</t>
  </si>
  <si>
    <t>Raoul Thimothy</t>
  </si>
  <si>
    <t>Somya Jain</t>
  </si>
  <si>
    <t>Medical Content Reviewer - Hindi</t>
  </si>
  <si>
    <t>Pallvi Sharma</t>
  </si>
  <si>
    <t>Punjabi Translator</t>
  </si>
  <si>
    <t>Raju Padadale</t>
  </si>
  <si>
    <t>Kannada Translator</t>
  </si>
  <si>
    <t>Vineetha Krishna</t>
  </si>
  <si>
    <t>Telegu Translator</t>
  </si>
  <si>
    <t>Manjusha Sugat Awale</t>
  </si>
  <si>
    <t>Marathi Translator</t>
  </si>
  <si>
    <t>Tanmaya Giun</t>
  </si>
  <si>
    <t>Medical Content Translator - Odia</t>
  </si>
  <si>
    <t xml:space="preserve">India </t>
  </si>
  <si>
    <t>Payroll Cost</t>
  </si>
  <si>
    <t>91101-91107</t>
  </si>
  <si>
    <t>Komal Arora</t>
  </si>
  <si>
    <t>Medical Translator - Hindi</t>
  </si>
  <si>
    <t xml:space="preserve">Consultant engaged </t>
  </si>
  <si>
    <t xml:space="preserve">Translator - Assamese </t>
  </si>
  <si>
    <t>Sub group</t>
  </si>
  <si>
    <t>Name of Existing employee/New Resource</t>
  </si>
  <si>
    <t>Asset type (laptop/Printer)</t>
  </si>
  <si>
    <t>Macbook Air/Macbook Pro/Lenovo</t>
  </si>
  <si>
    <t>Fixed Assets</t>
  </si>
  <si>
    <t>Staff Training, Learning &amp; Development Expenses</t>
  </si>
  <si>
    <t xml:space="preserve">Total </t>
  </si>
  <si>
    <t xml:space="preserve">Translotor - Bengali </t>
  </si>
  <si>
    <t>Other Staff Expenses</t>
  </si>
  <si>
    <t>Staff Training, Learning &amp; Development Exp</t>
  </si>
  <si>
    <t xml:space="preserve">Current folks will be engaged </t>
  </si>
  <si>
    <t xml:space="preserve">Translator - Telugu </t>
  </si>
  <si>
    <t xml:space="preserve">Older folks will be engaged </t>
  </si>
  <si>
    <t xml:space="preserve">Med. Rev - Telugu </t>
  </si>
  <si>
    <t>Bonus</t>
  </si>
  <si>
    <t>Severance Pay-Pallavi Sharma</t>
  </si>
  <si>
    <t>Laptop/ Printer</t>
  </si>
  <si>
    <t xml:space="preserve">Translotor - Tamil </t>
  </si>
  <si>
    <t xml:space="preserve">Med. Rev - Tamil </t>
  </si>
  <si>
    <t xml:space="preserve">Translator - Marathi </t>
  </si>
  <si>
    <t xml:space="preserve">Translator - Kannada </t>
  </si>
  <si>
    <t xml:space="preserve">Med. Rev - Kannda </t>
  </si>
  <si>
    <t xml:space="preserve">Translator - Punjabi </t>
  </si>
  <si>
    <t xml:space="preserve">Med. Rev - Punjabi </t>
  </si>
  <si>
    <t xml:space="preserve">Translator - Khasi &amp; Garo </t>
  </si>
  <si>
    <t>Health and Retirement Benefits</t>
  </si>
  <si>
    <t>Gratuity &amp; Bonus</t>
  </si>
  <si>
    <t>91201-91207</t>
  </si>
  <si>
    <t xml:space="preserve">Med. Rev -  Khasi &amp; Garo </t>
  </si>
  <si>
    <t>TBH</t>
  </si>
  <si>
    <t xml:space="preserve">Behaviouir Change Expert </t>
  </si>
  <si>
    <t xml:space="preserve">Consultant for Elderly care </t>
  </si>
  <si>
    <t>Total</t>
  </si>
  <si>
    <t>Direct Consultants</t>
  </si>
  <si>
    <t>Resource Persons</t>
  </si>
  <si>
    <t>Program Resource Consultant (EHA)</t>
  </si>
  <si>
    <t xml:space="preserve">Assames and Bengali </t>
  </si>
  <si>
    <t xml:space="preserve">Rs. 2.5 per words </t>
  </si>
  <si>
    <t xml:space="preserve">1 FC cost </t>
  </si>
  <si>
    <t xml:space="preserve">For Onco - 2 full FCs hence 1 L and then some spillover costs are added </t>
  </si>
  <si>
    <t xml:space="preserve">The following names are missing in the above sheet </t>
  </si>
  <si>
    <t xml:space="preserve">CTCs as shared by People team </t>
  </si>
  <si>
    <t>Yogita Amol Holkunde</t>
  </si>
  <si>
    <t>Tamanna Bharadwaj</t>
  </si>
  <si>
    <t>Seema Murthy</t>
  </si>
  <si>
    <t xml:space="preserve">Do you remember what these points are ? </t>
  </si>
  <si>
    <t xml:space="preserve">Remove retainer </t>
  </si>
  <si>
    <t xml:space="preserve">Move transltaions out of the page </t>
  </si>
  <si>
    <t>Raju Paddedale</t>
  </si>
  <si>
    <t>Manjusha Sugath Awale</t>
  </si>
  <si>
    <t>Tanmaya Guin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</si>
</sst>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\-d"/>
    <numFmt numFmtId="165" formatCode="d&quot;-&quot;mmm&quot;-&quot;yyyy"/>
    <numFmt numFmtId="166" formatCode="mmm&quot;-&quot;yyyy"/>
    <numFmt numFmtId="167" formatCode="mmmm d"/>
    <numFmt numFmtId="168" formatCode="mmm yyyy"/>
    <numFmt numFmtId="169" formatCode="mmm d"/>
  </numFmts>
  <fonts count="18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color theme="1"/>
      <name val="Arial"/>
    </font>
    <font>
      <color rgb="FFFF0000"/>
      <name val="Poppins"/>
    </font>
    <font>
      <color rgb="FFFF0000"/>
      <name val="Arial"/>
    </font>
    <font>
      <color rgb="FF000000"/>
      <name val="Arial"/>
    </font>
    <font>
      <color theme="1"/>
      <name val="Poppins"/>
    </font>
    <font>
      <color rgb="FF000000"/>
      <name val="Poppins"/>
    </font>
    <font>
      <color rgb="FFFF0000"/>
      <name val="Arial"/>
      <scheme val="minor"/>
    </font>
    <font>
      <sz val="10.0"/>
      <color rgb="FFFF0000"/>
      <name val="Poppins"/>
    </font>
    <font>
      <color rgb="FF0000FF"/>
      <name val="Poppins"/>
    </font>
    <font>
      <color rgb="FF1F1F1F"/>
      <name val="Poppins"/>
    </font>
    <font>
      <color rgb="FF0000FF"/>
      <name val="Arial"/>
    </font>
    <font>
      <sz val="10.0"/>
      <color rgb="FF0000FF"/>
      <name val="Poppins"/>
    </font>
    <font>
      <color rgb="FF0000FF"/>
      <name val="Arial"/>
      <scheme val="minor"/>
    </font>
    <font>
      <sz val="9.0"/>
      <color theme="1"/>
      <name val="Arial"/>
    </font>
    <font>
      <u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666666"/>
        <bgColor rgb="FF66666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vertical="center" wrapText="1"/>
    </xf>
    <xf borderId="2" fillId="2" fontId="1" numFmtId="164" xfId="0" applyAlignment="1" applyBorder="1" applyFont="1" applyNumberFormat="1">
      <alignment horizontal="center" shrinkToFit="0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165" xfId="0" applyAlignment="1" applyBorder="1" applyFont="1" applyNumberFormat="1">
      <alignment horizontal="center" shrinkToFit="0" wrapText="1"/>
    </xf>
    <xf borderId="2" fillId="2" fontId="1" numFmtId="164" xfId="0" applyAlignment="1" applyBorder="1" applyFont="1" applyNumberFormat="1">
      <alignment horizontal="center" shrinkToFit="0" vertical="center" wrapText="1"/>
    </xf>
    <xf borderId="3" fillId="2" fontId="2" numFmtId="164" xfId="0" applyAlignment="1" applyBorder="1" applyFont="1" applyNumberFormat="1">
      <alignment horizontal="center" vertical="center"/>
    </xf>
    <xf borderId="1" fillId="2" fontId="2" numFmtId="166" xfId="0" applyAlignment="1" applyBorder="1" applyFont="1" applyNumberFormat="1">
      <alignment horizontal="center" shrinkToFit="0" vertical="center" wrapText="1"/>
    </xf>
    <xf borderId="2" fillId="2" fontId="1" numFmtId="165" xfId="0" applyAlignment="1" applyBorder="1" applyFont="1" applyNumberFormat="1">
      <alignment horizontal="center" shrinkToFit="0" vertical="center" wrapText="1"/>
    </xf>
    <xf borderId="4" fillId="0" fontId="3" numFmtId="0" xfId="0" applyBorder="1" applyFont="1"/>
    <xf borderId="3" fillId="2" fontId="1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horizontal="center" readingOrder="0" vertical="center"/>
    </xf>
    <xf borderId="3" fillId="4" fontId="4" numFmtId="0" xfId="0" applyAlignment="1" applyBorder="1" applyFill="1" applyFont="1">
      <alignment horizontal="center" vertical="bottom"/>
    </xf>
    <xf borderId="5" fillId="4" fontId="4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center"/>
    </xf>
    <xf borderId="5" fillId="4" fontId="4" numFmtId="0" xfId="0" applyAlignment="1" applyBorder="1" applyFont="1">
      <alignment vertical="bottom"/>
    </xf>
    <xf borderId="5" fillId="4" fontId="4" numFmtId="165" xfId="0" applyAlignment="1" applyBorder="1" applyFont="1" applyNumberFormat="1">
      <alignment vertical="bottom"/>
    </xf>
    <xf borderId="3" fillId="4" fontId="4" numFmtId="0" xfId="0" applyAlignment="1" applyBorder="1" applyFont="1">
      <alignment horizontal="center" readingOrder="0" vertical="bottom"/>
    </xf>
    <xf borderId="5" fillId="4" fontId="4" numFmtId="3" xfId="0" applyAlignment="1" applyBorder="1" applyFont="1" applyNumberFormat="1">
      <alignment horizontal="center" vertical="bottom"/>
    </xf>
    <xf borderId="1" fillId="4" fontId="4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horizontal="center" vertical="bottom"/>
    </xf>
    <xf borderId="1" fillId="4" fontId="3" numFmtId="167" xfId="0" applyAlignment="1" applyBorder="1" applyFont="1" applyNumberFormat="1">
      <alignment vertical="bottom"/>
    </xf>
    <xf borderId="5" fillId="4" fontId="4" numFmtId="3" xfId="0" applyAlignment="1" applyBorder="1" applyFont="1" applyNumberFormat="1">
      <alignment vertical="bottom"/>
    </xf>
    <xf borderId="1" fillId="4" fontId="3" numFmtId="1" xfId="0" applyAlignment="1" applyBorder="1" applyFont="1" applyNumberFormat="1">
      <alignment vertical="bottom"/>
    </xf>
    <xf borderId="5" fillId="4" fontId="4" numFmtId="0" xfId="0" applyAlignment="1" applyBorder="1" applyFont="1">
      <alignment readingOrder="0" vertical="bottom"/>
    </xf>
    <xf borderId="1" fillId="4" fontId="4" numFmtId="1" xfId="0" applyAlignment="1" applyBorder="1" applyFont="1" applyNumberFormat="1">
      <alignment horizontal="right" vertical="bottom"/>
    </xf>
    <xf borderId="5" fillId="4" fontId="4" numFmtId="10" xfId="0" applyAlignment="1" applyBorder="1" applyFont="1" applyNumberFormat="1">
      <alignment readingOrder="0" vertical="bottom"/>
    </xf>
    <xf borderId="5" fillId="4" fontId="3" numFmtId="0" xfId="0" applyAlignment="1" applyBorder="1" applyFont="1">
      <alignment vertical="bottom"/>
    </xf>
    <xf borderId="5" fillId="4" fontId="3" numFmtId="9" xfId="0" applyAlignment="1" applyBorder="1" applyFont="1" applyNumberFormat="1">
      <alignment vertical="bottom"/>
    </xf>
    <xf borderId="5" fillId="4" fontId="4" numFmtId="1" xfId="0" applyAlignment="1" applyBorder="1" applyFont="1" applyNumberFormat="1">
      <alignment vertical="bottom"/>
    </xf>
    <xf borderId="5" fillId="4" fontId="4" numFmtId="3" xfId="0" applyAlignment="1" applyBorder="1" applyFont="1" applyNumberFormat="1">
      <alignment horizontal="right" vertical="bottom"/>
    </xf>
    <xf borderId="5" fillId="4" fontId="4" numFmtId="3" xfId="0" applyAlignment="1" applyBorder="1" applyFont="1" applyNumberFormat="1">
      <alignment horizontal="right" readingOrder="0" vertical="bottom"/>
    </xf>
    <xf borderId="0" fillId="4" fontId="5" numFmtId="0" xfId="0" applyAlignment="1" applyFont="1">
      <alignment vertical="bottom"/>
    </xf>
    <xf borderId="1" fillId="4" fontId="4" numFmtId="3" xfId="0" applyAlignment="1" applyBorder="1" applyFont="1" applyNumberFormat="1">
      <alignment horizontal="center" vertical="bottom"/>
    </xf>
    <xf borderId="1" fillId="0" fontId="4" numFmtId="3" xfId="0" applyAlignment="1" applyBorder="1" applyFont="1" applyNumberFormat="1">
      <alignment horizontal="right" vertical="bottom"/>
    </xf>
    <xf borderId="1" fillId="0" fontId="4" numFmtId="3" xfId="0" applyAlignment="1" applyBorder="1" applyFont="1" applyNumberFormat="1">
      <alignment horizontal="right" readingOrder="0" vertical="bottom"/>
    </xf>
    <xf borderId="0" fillId="4" fontId="6" numFmtId="0" xfId="0" applyAlignment="1" applyFont="1">
      <alignment vertical="bottom"/>
    </xf>
    <xf borderId="3" fillId="4" fontId="7" numFmtId="0" xfId="0" applyAlignment="1" applyBorder="1" applyFont="1">
      <alignment horizontal="center" readingOrder="0" vertical="bottom"/>
    </xf>
    <xf borderId="5" fillId="4" fontId="8" numFmtId="0" xfId="0" applyAlignment="1" applyBorder="1" applyFont="1">
      <alignment horizontal="center" vertical="bottom"/>
    </xf>
    <xf borderId="4" fillId="4" fontId="3" numFmtId="0" xfId="0" applyAlignment="1" applyBorder="1" applyFont="1">
      <alignment vertical="bottom"/>
    </xf>
    <xf borderId="1" fillId="4" fontId="4" numFmtId="3" xfId="0" applyAlignment="1" applyBorder="1" applyFont="1" applyNumberFormat="1">
      <alignment horizontal="right" vertical="bottom"/>
    </xf>
    <xf borderId="5" fillId="4" fontId="8" numFmtId="0" xfId="0" applyAlignment="1" applyBorder="1" applyFont="1">
      <alignment vertical="bottom"/>
    </xf>
    <xf borderId="1" fillId="4" fontId="3" numFmtId="3" xfId="0" applyAlignment="1" applyBorder="1" applyFont="1" applyNumberFormat="1">
      <alignment vertical="bottom"/>
    </xf>
    <xf borderId="5" fillId="4" fontId="8" numFmtId="0" xfId="0" applyAlignment="1" applyBorder="1" applyFont="1">
      <alignment readingOrder="0" vertical="bottom"/>
    </xf>
    <xf borderId="0" fillId="4" fontId="9" numFmtId="0" xfId="0" applyFont="1"/>
    <xf borderId="5" fillId="4" fontId="8" numFmtId="0" xfId="0" applyAlignment="1" applyBorder="1" applyFont="1">
      <alignment horizontal="center" readingOrder="0" vertical="bottom"/>
    </xf>
    <xf borderId="5" fillId="4" fontId="8" numFmtId="165" xfId="0" applyAlignment="1" applyBorder="1" applyFont="1" applyNumberFormat="1">
      <alignment vertical="bottom"/>
    </xf>
    <xf borderId="3" fillId="4" fontId="5" numFmtId="0" xfId="0" applyAlignment="1" applyBorder="1" applyFont="1">
      <alignment horizontal="center" readingOrder="0" vertical="bottom"/>
    </xf>
    <xf borderId="5" fillId="4" fontId="8" numFmtId="3" xfId="0" applyAlignment="1" applyBorder="1" applyFont="1" applyNumberFormat="1">
      <alignment horizontal="center" readingOrder="0" vertical="bottom"/>
    </xf>
    <xf borderId="5" fillId="4" fontId="8" numFmtId="3" xfId="0" applyAlignment="1" applyBorder="1" applyFont="1" applyNumberFormat="1">
      <alignment horizontal="center" vertical="bottom"/>
    </xf>
    <xf borderId="5" fillId="4" fontId="8" numFmtId="3" xfId="0" applyAlignment="1" applyBorder="1" applyFont="1" applyNumberFormat="1">
      <alignment vertical="bottom"/>
    </xf>
    <xf borderId="5" fillId="4" fontId="8" numFmtId="168" xfId="0" applyAlignment="1" applyBorder="1" applyFont="1" applyNumberFormat="1">
      <alignment readingOrder="0" vertical="bottom"/>
    </xf>
    <xf borderId="5" fillId="4" fontId="8" numFmtId="10" xfId="0" applyAlignment="1" applyBorder="1" applyFont="1" applyNumberFormat="1">
      <alignment readingOrder="0" vertical="bottom"/>
    </xf>
    <xf borderId="1" fillId="4" fontId="3" numFmtId="169" xfId="0" applyAlignment="1" applyBorder="1" applyFont="1" applyNumberFormat="1">
      <alignment vertical="bottom"/>
    </xf>
    <xf borderId="5" fillId="4" fontId="8" numFmtId="1" xfId="0" applyAlignment="1" applyBorder="1" applyFont="1" applyNumberFormat="1">
      <alignment vertical="bottom"/>
    </xf>
    <xf borderId="5" fillId="4" fontId="8" numFmtId="3" xfId="0" applyAlignment="1" applyBorder="1" applyFont="1" applyNumberFormat="1">
      <alignment horizontal="right" vertical="bottom"/>
    </xf>
    <xf borderId="1" fillId="0" fontId="7" numFmtId="3" xfId="0" applyAlignment="1" applyBorder="1" applyFont="1" applyNumberFormat="1">
      <alignment horizontal="right" vertical="bottom"/>
    </xf>
    <xf borderId="3" fillId="5" fontId="8" numFmtId="0" xfId="0" applyAlignment="1" applyBorder="1" applyFill="1" applyFont="1">
      <alignment horizontal="center" vertical="bottom"/>
    </xf>
    <xf borderId="5" fillId="5" fontId="8" numFmtId="0" xfId="0" applyAlignment="1" applyBorder="1" applyFont="1">
      <alignment horizontal="center" vertical="bottom"/>
    </xf>
    <xf borderId="5" fillId="5" fontId="8" numFmtId="0" xfId="0" applyAlignment="1" applyBorder="1" applyFont="1">
      <alignment vertical="bottom"/>
    </xf>
    <xf borderId="5" fillId="5" fontId="8" numFmtId="0" xfId="0" applyAlignment="1" applyBorder="1" applyFont="1">
      <alignment readingOrder="0" vertical="bottom"/>
    </xf>
    <xf borderId="5" fillId="5" fontId="8" numFmtId="165" xfId="0" applyAlignment="1" applyBorder="1" applyFont="1" applyNumberFormat="1">
      <alignment vertical="bottom"/>
    </xf>
    <xf borderId="5" fillId="5" fontId="8" numFmtId="3" xfId="0" applyAlignment="1" applyBorder="1" applyFont="1" applyNumberFormat="1">
      <alignment horizontal="center" readingOrder="0" vertical="bottom"/>
    </xf>
    <xf borderId="5" fillId="5" fontId="8" numFmtId="3" xfId="0" applyAlignment="1" applyBorder="1" applyFont="1" applyNumberFormat="1">
      <alignment horizontal="center" vertical="bottom"/>
    </xf>
    <xf borderId="5" fillId="5" fontId="8" numFmtId="3" xfId="0" applyAlignment="1" applyBorder="1" applyFont="1" applyNumberFormat="1">
      <alignment vertical="bottom"/>
    </xf>
    <xf borderId="5" fillId="5" fontId="8" numFmtId="168" xfId="0" applyAlignment="1" applyBorder="1" applyFont="1" applyNumberFormat="1">
      <alignment readingOrder="0" vertical="bottom"/>
    </xf>
    <xf borderId="5" fillId="5" fontId="8" numFmtId="10" xfId="0" applyAlignment="1" applyBorder="1" applyFont="1" applyNumberFormat="1">
      <alignment readingOrder="0" vertical="bottom"/>
    </xf>
    <xf borderId="5" fillId="5" fontId="8" numFmtId="1" xfId="0" applyAlignment="1" applyBorder="1" applyFont="1" applyNumberFormat="1">
      <alignment vertical="bottom"/>
    </xf>
    <xf borderId="5" fillId="5" fontId="8" numFmtId="3" xfId="0" applyAlignment="1" applyBorder="1" applyFont="1" applyNumberFormat="1">
      <alignment horizontal="right" vertical="bottom"/>
    </xf>
    <xf borderId="0" fillId="5" fontId="6" numFmtId="0" xfId="0" applyAlignment="1" applyFont="1">
      <alignment vertical="bottom"/>
    </xf>
    <xf borderId="1" fillId="5" fontId="7" numFmtId="3" xfId="0" applyAlignment="1" applyBorder="1" applyFont="1" applyNumberFormat="1">
      <alignment horizontal="right" vertical="bottom"/>
    </xf>
    <xf borderId="1" fillId="5" fontId="8" numFmtId="0" xfId="0" applyAlignment="1" applyBorder="1" applyFont="1">
      <alignment vertical="bottom"/>
    </xf>
    <xf borderId="3" fillId="4" fontId="8" numFmtId="0" xfId="0" applyAlignment="1" applyBorder="1" applyFont="1">
      <alignment horizontal="center" vertical="bottom"/>
    </xf>
    <xf borderId="1" fillId="4" fontId="8" numFmtId="0" xfId="0" applyAlignment="1" applyBorder="1" applyFont="1">
      <alignment horizontal="center" vertical="bottom"/>
    </xf>
    <xf borderId="1" fillId="4" fontId="8" numFmtId="0" xfId="0" applyAlignment="1" applyBorder="1" applyFont="1">
      <alignment readingOrder="0" shrinkToFit="0" vertical="bottom" wrapText="0"/>
    </xf>
    <xf borderId="1" fillId="5" fontId="8" numFmtId="0" xfId="0" applyAlignment="1" applyBorder="1" applyFont="1">
      <alignment horizontal="center"/>
    </xf>
    <xf borderId="1" fillId="4" fontId="8" numFmtId="0" xfId="0" applyAlignment="1" applyBorder="1" applyFont="1">
      <alignment horizontal="center" readingOrder="0" vertical="bottom"/>
    </xf>
    <xf borderId="1" fillId="5" fontId="6" numFmtId="0" xfId="0" applyAlignment="1" applyBorder="1" applyFont="1">
      <alignment horizontal="center" vertical="bottom"/>
    </xf>
    <xf borderId="5" fillId="4" fontId="8" numFmtId="165" xfId="0" applyAlignment="1" applyBorder="1" applyFont="1" applyNumberFormat="1">
      <alignment readingOrder="0" vertical="bottom"/>
    </xf>
    <xf borderId="1" fillId="4" fontId="8" numFmtId="3" xfId="0" applyAlignment="1" applyBorder="1" applyFont="1" applyNumberFormat="1">
      <alignment horizontal="center" readingOrder="0" vertical="bottom"/>
    </xf>
    <xf borderId="1" fillId="5" fontId="8" numFmtId="0" xfId="0" applyAlignment="1" applyBorder="1" applyFont="1">
      <alignment horizontal="center" readingOrder="0" vertical="bottom"/>
    </xf>
    <xf borderId="1" fillId="4" fontId="8" numFmtId="0" xfId="0" applyAlignment="1" applyBorder="1" applyFont="1">
      <alignment readingOrder="0" vertical="bottom"/>
    </xf>
    <xf borderId="1" fillId="5" fontId="8" numFmtId="169" xfId="0" applyAlignment="1" applyBorder="1" applyFont="1" applyNumberFormat="1">
      <alignment vertical="bottom"/>
    </xf>
    <xf borderId="1" fillId="5" fontId="8" numFmtId="0" xfId="0" applyAlignment="1" applyBorder="1" applyFont="1">
      <alignment readingOrder="0" vertical="bottom"/>
    </xf>
    <xf borderId="1" fillId="4" fontId="8" numFmtId="3" xfId="0" applyAlignment="1" applyBorder="1" applyFont="1" applyNumberFormat="1">
      <alignment horizontal="right" vertical="bottom"/>
    </xf>
    <xf borderId="5" fillId="5" fontId="6" numFmtId="0" xfId="0" applyAlignment="1" applyBorder="1" applyFont="1">
      <alignment vertical="bottom"/>
    </xf>
    <xf borderId="5" fillId="5" fontId="6" numFmtId="0" xfId="0" applyAlignment="1" applyBorder="1" applyFont="1">
      <alignment readingOrder="0" vertical="bottom"/>
    </xf>
    <xf borderId="1" fillId="5" fontId="8" numFmtId="3" xfId="0" applyAlignment="1" applyBorder="1" applyFont="1" applyNumberFormat="1">
      <alignment horizontal="center" vertical="bottom"/>
    </xf>
    <xf borderId="5" fillId="6" fontId="4" numFmtId="0" xfId="0" applyAlignment="1" applyBorder="1" applyFill="1" applyFont="1">
      <alignment horizontal="center" vertical="bottom"/>
    </xf>
    <xf borderId="1" fillId="6" fontId="4" numFmtId="0" xfId="0" applyAlignment="1" applyBorder="1" applyFont="1">
      <alignment horizontal="center"/>
    </xf>
    <xf borderId="1" fillId="6" fontId="5" numFmtId="0" xfId="0" applyAlignment="1" applyBorder="1" applyFont="1">
      <alignment horizontal="center" vertical="bottom"/>
    </xf>
    <xf borderId="1" fillId="6" fontId="4" numFmtId="0" xfId="0" applyAlignment="1" applyBorder="1" applyFont="1">
      <alignment vertical="bottom"/>
    </xf>
    <xf borderId="1" fillId="6" fontId="4" numFmtId="0" xfId="0" applyAlignment="1" applyBorder="1" applyFont="1">
      <alignment horizontal="center" readingOrder="0" vertical="bottom"/>
    </xf>
    <xf borderId="3" fillId="4" fontId="6" numFmtId="0" xfId="0" applyAlignment="1" applyBorder="1" applyFont="1">
      <alignment vertical="bottom"/>
    </xf>
    <xf borderId="1" fillId="6" fontId="4" numFmtId="169" xfId="0" applyAlignment="1" applyBorder="1" applyFont="1" applyNumberFormat="1">
      <alignment vertical="bottom"/>
    </xf>
    <xf borderId="1" fillId="6" fontId="4" numFmtId="0" xfId="0" applyAlignment="1" applyBorder="1" applyFont="1">
      <alignment readingOrder="0" vertical="bottom"/>
    </xf>
    <xf borderId="5" fillId="6" fontId="4" numFmtId="0" xfId="0" applyAlignment="1" applyBorder="1" applyFont="1">
      <alignment vertical="bottom"/>
    </xf>
    <xf borderId="1" fillId="4" fontId="8" numFmtId="0" xfId="0" applyAlignment="1" applyBorder="1" applyFont="1">
      <alignment shrinkToFit="0" vertical="bottom" wrapText="0"/>
    </xf>
    <xf borderId="5" fillId="6" fontId="5" numFmtId="0" xfId="0" applyAlignment="1" applyBorder="1" applyFont="1">
      <alignment vertical="bottom"/>
    </xf>
    <xf borderId="1" fillId="4" fontId="6" numFmtId="0" xfId="0" applyAlignment="1" applyBorder="1" applyFont="1">
      <alignment vertical="bottom"/>
    </xf>
    <xf borderId="5" fillId="6" fontId="5" numFmtId="9" xfId="0" applyAlignment="1" applyBorder="1" applyFont="1" applyNumberFormat="1">
      <alignment vertical="bottom"/>
    </xf>
    <xf borderId="5" fillId="4" fontId="6" numFmtId="0" xfId="0" applyAlignment="1" applyBorder="1" applyFont="1">
      <alignment vertical="bottom"/>
    </xf>
    <xf borderId="5" fillId="6" fontId="4" numFmtId="3" xfId="0" applyAlignment="1" applyBorder="1" applyFont="1" applyNumberFormat="1">
      <alignment horizontal="center" vertical="bottom"/>
    </xf>
    <xf borderId="1" fillId="6" fontId="4" numFmtId="3" xfId="0" applyAlignment="1" applyBorder="1" applyFont="1" applyNumberFormat="1">
      <alignment horizontal="center" readingOrder="0" vertical="bottom"/>
    </xf>
    <xf borderId="5" fillId="4" fontId="6" numFmtId="3" xfId="0" applyAlignment="1" applyBorder="1" applyFont="1" applyNumberFormat="1">
      <alignment horizontal="right" vertical="bottom"/>
    </xf>
    <xf borderId="0" fillId="6" fontId="5" numFmtId="0" xfId="0" applyAlignment="1" applyFont="1">
      <alignment vertical="bottom"/>
    </xf>
    <xf borderId="1" fillId="6" fontId="4" numFmtId="3" xfId="0" applyAlignment="1" applyBorder="1" applyFont="1" applyNumberFormat="1">
      <alignment horizontal="right" readingOrder="0" vertical="bottom"/>
    </xf>
    <xf borderId="1" fillId="6" fontId="4" numFmtId="0" xfId="0" applyAlignment="1" applyBorder="1" applyFont="1">
      <alignment shrinkToFit="0" vertical="bottom" wrapText="0"/>
    </xf>
    <xf borderId="1" fillId="6" fontId="5" numFmtId="0" xfId="0" applyAlignment="1" applyBorder="1" applyFont="1">
      <alignment horizontal="center" readingOrder="0" vertical="bottom"/>
    </xf>
    <xf borderId="1" fillId="6" fontId="4" numFmtId="167" xfId="0" applyAlignment="1" applyBorder="1" applyFont="1" applyNumberFormat="1">
      <alignment vertical="bottom"/>
    </xf>
    <xf borderId="2" fillId="6" fontId="4" numFmtId="0" xfId="0" applyAlignment="1" applyBorder="1" applyFont="1">
      <alignment horizontal="center" vertical="bottom"/>
    </xf>
    <xf borderId="1" fillId="6" fontId="4" numFmtId="0" xfId="0" applyBorder="1" applyFont="1"/>
    <xf borderId="1" fillId="6" fontId="10" numFmtId="0" xfId="0" applyAlignment="1" applyBorder="1" applyFont="1">
      <alignment horizontal="left"/>
    </xf>
    <xf borderId="2" fillId="6" fontId="5" numFmtId="0" xfId="0" applyAlignment="1" applyBorder="1" applyFont="1">
      <alignment vertical="bottom"/>
    </xf>
    <xf borderId="2" fillId="6" fontId="4" numFmtId="3" xfId="0" applyAlignment="1" applyBorder="1" applyFont="1" applyNumberFormat="1">
      <alignment horizontal="center" vertical="bottom"/>
    </xf>
    <xf borderId="5" fillId="6" fontId="4" numFmtId="3" xfId="0" applyAlignment="1" applyBorder="1" applyFont="1" applyNumberFormat="1">
      <alignment horizontal="center" readingOrder="0" vertical="bottom"/>
    </xf>
    <xf borderId="3" fillId="7" fontId="1" numFmtId="0" xfId="0" applyAlignment="1" applyBorder="1" applyFill="1" applyFont="1">
      <alignment horizontal="center" shrinkToFit="0" wrapText="1"/>
    </xf>
    <xf borderId="5" fillId="7" fontId="1" numFmtId="0" xfId="0" applyAlignment="1" applyBorder="1" applyFont="1">
      <alignment horizontal="center"/>
    </xf>
    <xf borderId="5" fillId="7" fontId="1" numFmtId="0" xfId="0" applyAlignment="1" applyBorder="1" applyFont="1">
      <alignment horizontal="center" shrinkToFit="0" wrapText="1"/>
    </xf>
    <xf borderId="1" fillId="6" fontId="4" numFmtId="3" xfId="0" applyAlignment="1" applyBorder="1" applyFont="1" applyNumberFormat="1">
      <alignment horizontal="right" vertical="bottom"/>
    </xf>
    <xf borderId="5" fillId="7" fontId="3" numFmtId="0" xfId="0" applyBorder="1" applyFont="1"/>
    <xf borderId="1" fillId="6" fontId="4" numFmtId="0" xfId="0" applyAlignment="1" applyBorder="1" applyFont="1">
      <alignment horizontal="center" vertical="bottom"/>
    </xf>
    <xf borderId="5" fillId="7" fontId="1" numFmtId="3" xfId="0" applyAlignment="1" applyBorder="1" applyFont="1" applyNumberFormat="1">
      <alignment horizontal="right" shrinkToFit="0" vertical="bottom" wrapText="1"/>
    </xf>
    <xf borderId="1" fillId="6" fontId="5" numFmtId="167" xfId="0" applyAlignment="1" applyBorder="1" applyFont="1" applyNumberFormat="1">
      <alignment vertical="bottom"/>
    </xf>
    <xf borderId="4" fillId="6" fontId="5" numFmtId="0" xfId="0" applyAlignment="1" applyBorder="1" applyFont="1">
      <alignment vertical="bottom"/>
    </xf>
    <xf borderId="2" fillId="4" fontId="11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shrinkToFit="0" vertical="center" wrapText="1"/>
    </xf>
    <xf borderId="1" fillId="4" fontId="11" numFmtId="0" xfId="0" applyAlignment="1" applyBorder="1" applyFont="1">
      <alignment horizontal="center" vertical="bottom"/>
    </xf>
    <xf borderId="1" fillId="4" fontId="11" numFmtId="0" xfId="0" applyAlignment="1" applyBorder="1" applyFont="1">
      <alignment horizontal="center" readingOrder="0" vertical="bottom"/>
    </xf>
    <xf borderId="1" fillId="4" fontId="11" numFmtId="0" xfId="0" applyAlignment="1" applyBorder="1" applyFont="1">
      <alignment vertical="bottom"/>
    </xf>
    <xf borderId="5" fillId="4" fontId="1" numFmtId="3" xfId="0" applyAlignment="1" applyBorder="1" applyFont="1" applyNumberFormat="1">
      <alignment horizontal="center" shrinkToFit="0" vertical="bottom" wrapText="1"/>
    </xf>
    <xf borderId="2" fillId="2" fontId="2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vertical="bottom"/>
    </xf>
    <xf borderId="2" fillId="4" fontId="3" numFmtId="0" xfId="0" applyAlignment="1" applyBorder="1" applyFont="1">
      <alignment vertical="bottom"/>
    </xf>
    <xf borderId="4" fillId="4" fontId="3" numFmtId="0" xfId="0" applyBorder="1" applyFont="1"/>
    <xf borderId="0" fillId="0" fontId="7" numFmtId="0" xfId="0" applyAlignment="1" applyFont="1">
      <alignment vertical="center"/>
    </xf>
    <xf borderId="3" fillId="2" fontId="1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right" vertical="bottom"/>
    </xf>
    <xf borderId="2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5" fillId="0" fontId="8" numFmtId="0" xfId="0" applyBorder="1" applyFont="1"/>
    <xf borderId="1" fillId="4" fontId="8" numFmtId="0" xfId="0" applyAlignment="1" applyBorder="1" applyFont="1">
      <alignment horizontal="center"/>
    </xf>
    <xf borderId="0" fillId="0" fontId="3" numFmtId="0" xfId="0" applyFont="1"/>
    <xf borderId="0" fillId="0" fontId="3" numFmtId="0" xfId="0" applyAlignment="1" applyFont="1">
      <alignment vertical="bottom"/>
    </xf>
    <xf borderId="5" fillId="0" fontId="8" numFmtId="3" xfId="0" applyAlignment="1" applyBorder="1" applyFont="1" applyNumberFormat="1">
      <alignment horizontal="center"/>
    </xf>
    <xf borderId="5" fillId="0" fontId="8" numFmtId="0" xfId="0" applyAlignment="1" applyBorder="1" applyFont="1">
      <alignment horizontal="center"/>
    </xf>
    <xf borderId="0" fillId="0" fontId="4" numFmtId="0" xfId="0" applyFont="1"/>
    <xf borderId="6" fillId="0" fontId="3" numFmtId="0" xfId="0" applyBorder="1" applyFont="1"/>
    <xf borderId="6" fillId="0" fontId="3" numFmtId="0" xfId="0" applyAlignment="1" applyBorder="1" applyFont="1">
      <alignment vertical="bottom"/>
    </xf>
    <xf borderId="1" fillId="0" fontId="3" numFmtId="3" xfId="0" applyAlignment="1" applyBorder="1" applyFont="1" applyNumberFormat="1">
      <alignment horizontal="right" vertical="bottom"/>
    </xf>
    <xf borderId="5" fillId="7" fontId="11" numFmtId="3" xfId="0" applyAlignment="1" applyBorder="1" applyFont="1" applyNumberFormat="1">
      <alignment horizontal="center" vertical="bottom"/>
    </xf>
    <xf borderId="2" fillId="4" fontId="11" numFmtId="3" xfId="0" applyAlignment="1" applyBorder="1" applyFont="1" applyNumberFormat="1">
      <alignment horizontal="center" vertical="bottom"/>
    </xf>
    <xf borderId="3" fillId="0" fontId="7" numFmtId="0" xfId="0" applyAlignment="1" applyBorder="1" applyFont="1">
      <alignment horizontal="right" vertical="bottom"/>
    </xf>
    <xf borderId="3" fillId="4" fontId="7" numFmtId="0" xfId="0" applyAlignment="1" applyBorder="1" applyFont="1">
      <alignment horizontal="center"/>
    </xf>
    <xf borderId="5" fillId="0" fontId="11" numFmtId="3" xfId="0" applyAlignment="1" applyBorder="1" applyFont="1" applyNumberFormat="1">
      <alignment horizontal="center" vertical="bottom"/>
    </xf>
    <xf borderId="5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5" fillId="4" fontId="12" numFmtId="0" xfId="0" applyAlignment="1" applyBorder="1" applyFont="1">
      <alignment horizontal="center" vertical="bottom"/>
    </xf>
    <xf borderId="6" fillId="0" fontId="7" numFmtId="0" xfId="0" applyAlignment="1" applyBorder="1" applyFont="1">
      <alignment shrinkToFit="0" vertical="bottom" wrapText="0"/>
    </xf>
    <xf borderId="5" fillId="0" fontId="7" numFmtId="0" xfId="0" applyBorder="1" applyFont="1"/>
    <xf borderId="5" fillId="0" fontId="3" numFmtId="0" xfId="0" applyAlignment="1" applyBorder="1" applyFont="1">
      <alignment vertical="bottom"/>
    </xf>
    <xf borderId="4" fillId="4" fontId="6" numFmtId="0" xfId="0" applyAlignment="1" applyBorder="1" applyFont="1">
      <alignment vertical="bottom"/>
    </xf>
    <xf borderId="1" fillId="0" fontId="11" numFmtId="3" xfId="0" applyAlignment="1" applyBorder="1" applyFont="1" applyNumberFormat="1">
      <alignment horizontal="right" vertical="bottom"/>
    </xf>
    <xf borderId="5" fillId="0" fontId="7" numFmtId="0" xfId="0" applyAlignment="1" applyBorder="1" applyFont="1">
      <alignment horizontal="center"/>
    </xf>
    <xf borderId="5" fillId="0" fontId="7" numFmtId="0" xfId="0" applyAlignment="1" applyBorder="1" applyFont="1">
      <alignment horizontal="right" vertical="bottom"/>
    </xf>
    <xf borderId="5" fillId="8" fontId="3" numFmtId="0" xfId="0" applyAlignment="1" applyBorder="1" applyFill="1" applyFont="1">
      <alignment vertical="bottom"/>
    </xf>
    <xf borderId="0" fillId="0" fontId="7" numFmtId="0" xfId="0" applyFont="1"/>
    <xf borderId="5" fillId="0" fontId="7" numFmtId="3" xfId="0" applyAlignment="1" applyBorder="1" applyFont="1" applyNumberFormat="1">
      <alignment horizontal="right" vertical="bottom"/>
    </xf>
    <xf borderId="3" fillId="4" fontId="7" numFmtId="0" xfId="0" applyAlignment="1" applyBorder="1" applyFont="1">
      <alignment horizontal="right" vertical="bottom"/>
    </xf>
    <xf borderId="0" fillId="4" fontId="3" numFmtId="0" xfId="0" applyAlignment="1" applyFont="1">
      <alignment vertical="bottom"/>
    </xf>
    <xf borderId="5" fillId="4" fontId="7" numFmtId="0" xfId="0" applyAlignment="1" applyBorder="1" applyFont="1">
      <alignment horizontal="center" vertical="bottom"/>
    </xf>
    <xf borderId="5" fillId="4" fontId="11" numFmtId="0" xfId="0" applyAlignment="1" applyBorder="1" applyFont="1">
      <alignment horizontal="center" vertical="bottom"/>
    </xf>
    <xf borderId="1" fillId="4" fontId="7" numFmtId="0" xfId="0" applyAlignment="1" applyBorder="1" applyFont="1">
      <alignment horizontal="center" vertical="bottom"/>
    </xf>
    <xf borderId="5" fillId="4" fontId="7" numFmtId="0" xfId="0" applyBorder="1" applyFont="1"/>
    <xf borderId="5" fillId="4" fontId="7" numFmtId="0" xfId="0" applyAlignment="1" applyBorder="1" applyFont="1">
      <alignment horizontal="center"/>
    </xf>
    <xf borderId="1" fillId="4" fontId="6" numFmtId="0" xfId="0" applyAlignment="1" applyBorder="1" applyFont="1">
      <alignment horizontal="center" vertical="bottom"/>
    </xf>
    <xf borderId="5" fillId="7" fontId="3" numFmtId="0" xfId="0" applyAlignment="1" applyBorder="1" applyFont="1">
      <alignment vertical="bottom"/>
    </xf>
    <xf borderId="1" fillId="4" fontId="8" numFmtId="167" xfId="0" applyAlignment="1" applyBorder="1" applyFont="1" applyNumberFormat="1">
      <alignment vertical="bottom"/>
    </xf>
    <xf borderId="1" fillId="4" fontId="8" numFmtId="0" xfId="0" applyAlignment="1" applyBorder="1" applyFont="1">
      <alignment vertical="bottom"/>
    </xf>
    <xf borderId="0" fillId="4" fontId="7" numFmtId="0" xfId="0" applyFont="1"/>
    <xf borderId="5" fillId="4" fontId="11" numFmtId="3" xfId="0" applyAlignment="1" applyBorder="1" applyFont="1" applyNumberFormat="1">
      <alignment horizontal="center" vertical="bottom"/>
    </xf>
    <xf borderId="1" fillId="4" fontId="7" numFmtId="0" xfId="0" applyAlignment="1" applyBorder="1" applyFont="1">
      <alignment vertical="bottom"/>
    </xf>
    <xf borderId="2" fillId="4" fontId="7" numFmtId="0" xfId="0" applyAlignment="1" applyBorder="1" applyFont="1">
      <alignment horizontal="center" vertical="bottom"/>
    </xf>
    <xf borderId="1" fillId="4" fontId="11" numFmtId="0" xfId="0" applyAlignment="1" applyBorder="1" applyFont="1">
      <alignment readingOrder="0" vertical="bottom"/>
    </xf>
    <xf borderId="1" fillId="4" fontId="6" numFmtId="167" xfId="0" applyAlignment="1" applyBorder="1" applyFont="1" applyNumberFormat="1">
      <alignment vertical="bottom"/>
    </xf>
    <xf borderId="0" fillId="4" fontId="3" numFmtId="0" xfId="0" applyFont="1"/>
    <xf borderId="3" fillId="4" fontId="7" numFmtId="0" xfId="0" applyAlignment="1" applyBorder="1" applyFont="1">
      <alignment vertical="bottom"/>
    </xf>
    <xf borderId="5" fillId="4" fontId="11" numFmtId="0" xfId="0" applyAlignment="1" applyBorder="1" applyFont="1">
      <alignment vertical="bottom"/>
    </xf>
    <xf borderId="1" fillId="7" fontId="1" numFmtId="0" xfId="0" applyAlignment="1" applyBorder="1" applyFont="1">
      <alignment horizontal="center" shrinkToFit="0" wrapText="1"/>
    </xf>
    <xf borderId="3" fillId="0" fontId="7" numFmtId="0" xfId="0" applyAlignment="1" applyBorder="1" applyFont="1">
      <alignment horizontal="center"/>
    </xf>
    <xf borderId="2" fillId="7" fontId="1" numFmtId="0" xfId="0" applyAlignment="1" applyBorder="1" applyFont="1">
      <alignment horizontal="center"/>
    </xf>
    <xf borderId="3" fillId="7" fontId="1" numFmtId="0" xfId="0" applyAlignment="1" applyBorder="1" applyFont="1">
      <alignment horizontal="center"/>
    </xf>
    <xf borderId="5" fillId="7" fontId="1" numFmtId="0" xfId="0" applyBorder="1" applyFont="1"/>
    <xf borderId="5" fillId="7" fontId="1" numFmtId="0" xfId="0" applyAlignment="1" applyBorder="1" applyFont="1">
      <alignment horizontal="center" vertical="center"/>
    </xf>
    <xf borderId="5" fillId="0" fontId="7" numFmtId="3" xfId="0" applyAlignment="1" applyBorder="1" applyFont="1" applyNumberFormat="1">
      <alignment horizontal="center" vertical="bottom"/>
    </xf>
    <xf borderId="5" fillId="4" fontId="1" numFmtId="3" xfId="0" applyAlignment="1" applyBorder="1" applyFont="1" applyNumberFormat="1">
      <alignment horizontal="center" shrinkToFit="0" wrapText="1"/>
    </xf>
    <xf borderId="5" fillId="0" fontId="7" numFmtId="3" xfId="0" applyAlignment="1" applyBorder="1" applyFont="1" applyNumberFormat="1">
      <alignment horizontal="center" readingOrder="0" vertical="bottom"/>
    </xf>
    <xf borderId="5" fillId="4" fontId="1" numFmtId="0" xfId="0" applyAlignment="1" applyBorder="1" applyFont="1">
      <alignment horizontal="center" shrinkToFit="0" wrapText="1"/>
    </xf>
    <xf borderId="0" fillId="4" fontId="7" numFmtId="3" xfId="0" applyAlignment="1" applyFont="1" applyNumberFormat="1">
      <alignment horizontal="center" vertical="bottom"/>
    </xf>
    <xf borderId="1" fillId="0" fontId="3" numFmtId="0" xfId="0" applyAlignment="1" applyBorder="1" applyFont="1">
      <alignment vertical="bottom"/>
    </xf>
    <xf borderId="3" fillId="4" fontId="3" numFmtId="0" xfId="0" applyBorder="1" applyFont="1"/>
    <xf borderId="1" fillId="4" fontId="7" numFmtId="0" xfId="0" applyAlignment="1" applyBorder="1" applyFont="1">
      <alignment shrinkToFit="0" vertical="bottom" wrapText="0"/>
    </xf>
    <xf borderId="5" fillId="4" fontId="7" numFmtId="3" xfId="0" applyAlignment="1" applyBorder="1" applyFont="1" applyNumberFormat="1">
      <alignment horizontal="right" vertical="bottom"/>
    </xf>
    <xf borderId="5" fillId="4" fontId="7" numFmtId="3" xfId="0" applyAlignment="1" applyBorder="1" applyFont="1" applyNumberFormat="1">
      <alignment horizontal="center" vertical="bottom"/>
    </xf>
    <xf borderId="2" fillId="4" fontId="6" numFmtId="0" xfId="0" applyAlignment="1" applyBorder="1" applyFont="1">
      <alignment vertical="bottom"/>
    </xf>
    <xf borderId="5" fillId="4" fontId="6" numFmtId="0" xfId="0" applyAlignment="1" applyBorder="1" applyFont="1">
      <alignment horizontal="center" vertical="bottom"/>
    </xf>
    <xf borderId="5" fillId="4" fontId="6" numFmtId="167" xfId="0" applyAlignment="1" applyBorder="1" applyFont="1" applyNumberFormat="1">
      <alignment vertical="bottom"/>
    </xf>
    <xf borderId="4" fillId="4" fontId="7" numFmtId="3" xfId="0" applyAlignment="1" applyBorder="1" applyFont="1" applyNumberFormat="1">
      <alignment horizontal="center"/>
    </xf>
    <xf borderId="5" fillId="0" fontId="11" numFmtId="0" xfId="0" applyAlignment="1" applyBorder="1" applyFont="1">
      <alignment vertical="bottom"/>
    </xf>
    <xf borderId="5" fillId="4" fontId="13" numFmtId="3" xfId="0" applyAlignment="1" applyBorder="1" applyFont="1" applyNumberFormat="1">
      <alignment horizontal="center" readingOrder="0" vertical="bottom"/>
    </xf>
    <xf borderId="5" fillId="4" fontId="11" numFmtId="3" xfId="0" applyAlignment="1" applyBorder="1" applyFont="1" applyNumberFormat="1">
      <alignment horizontal="center" shrinkToFit="0" vertical="bottom" wrapText="1"/>
    </xf>
    <xf borderId="5" fillId="4" fontId="14" numFmtId="0" xfId="0" applyAlignment="1" applyBorder="1" applyFont="1">
      <alignment readingOrder="0" vertical="bottom"/>
    </xf>
    <xf borderId="5" fillId="4" fontId="13" numFmtId="0" xfId="0" applyAlignment="1" applyBorder="1" applyFont="1">
      <alignment horizontal="center" vertical="bottom"/>
    </xf>
    <xf borderId="5" fillId="4" fontId="13" numFmtId="167" xfId="0" applyAlignment="1" applyBorder="1" applyFont="1" applyNumberFormat="1">
      <alignment vertical="bottom"/>
    </xf>
    <xf borderId="5" fillId="4" fontId="13" numFmtId="0" xfId="0" applyAlignment="1" applyBorder="1" applyFont="1">
      <alignment vertical="bottom"/>
    </xf>
    <xf borderId="5" fillId="4" fontId="11" numFmtId="3" xfId="0" applyAlignment="1" applyBorder="1" applyFont="1" applyNumberFormat="1">
      <alignment horizontal="center" readingOrder="0" vertical="bottom"/>
    </xf>
    <xf borderId="0" fillId="4" fontId="13" numFmtId="0" xfId="0" applyAlignment="1" applyFont="1">
      <alignment vertical="bottom"/>
    </xf>
    <xf borderId="5" fillId="0" fontId="11" numFmtId="3" xfId="0" applyAlignment="1" applyBorder="1" applyFont="1" applyNumberFormat="1">
      <alignment horizontal="right" vertical="bottom"/>
    </xf>
    <xf borderId="0" fillId="0" fontId="15" numFmtId="0" xfId="0" applyFont="1"/>
    <xf borderId="5" fillId="7" fontId="1" numFmtId="3" xfId="0" applyAlignment="1" applyBorder="1" applyFont="1" applyNumberFormat="1">
      <alignment horizontal="center" shrinkToFit="0" wrapText="1"/>
    </xf>
    <xf borderId="0" fillId="0" fontId="3" numFmtId="0" xfId="0" applyAlignment="1" applyFont="1">
      <alignment horizontal="right" vertical="bottom"/>
    </xf>
    <xf borderId="0" fillId="5" fontId="3" numFmtId="0" xfId="0" applyAlignment="1" applyFont="1">
      <alignment vertical="bottom"/>
    </xf>
    <xf borderId="1" fillId="4" fontId="16" numFmtId="0" xfId="0" applyAlignment="1" applyBorder="1" applyFont="1">
      <alignment vertical="bottom"/>
    </xf>
    <xf borderId="1" fillId="4" fontId="16" numFmtId="3" xfId="0" applyAlignment="1" applyBorder="1" applyFont="1" applyNumberFormat="1">
      <alignment horizontal="right" vertical="bottom"/>
    </xf>
    <xf borderId="0" fillId="0" fontId="17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EAD1DC"/>
          <bgColor rgb="FFEAD1D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seema@noorahealth.or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13"/>
    <col customWidth="1" min="2" max="2" width="8.0"/>
    <col customWidth="1" min="3" max="3" width="7.13"/>
    <col customWidth="1" min="4" max="4" width="6.88"/>
    <col customWidth="1" min="5" max="5" width="23.88"/>
    <col customWidth="1" min="6" max="6" width="16.88"/>
    <col customWidth="1" min="7" max="7" width="16.63"/>
    <col customWidth="1" min="8" max="8" width="31.88"/>
    <col customWidth="1" min="9" max="9" width="37.13"/>
    <col customWidth="1" min="10" max="10" width="9.38"/>
    <col customWidth="1" min="11" max="11" width="6.75"/>
    <col customWidth="1" min="12" max="12" width="11.38"/>
    <col customWidth="1" min="32" max="32" width="5.13"/>
    <col customWidth="1" min="33" max="34" width="10.5"/>
    <col customWidth="1" min="35" max="35" width="5.13"/>
    <col customWidth="1" min="36" max="36" width="8.38"/>
    <col customWidth="1" min="37" max="37" width="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6" t="s">
        <v>15</v>
      </c>
      <c r="Q1" s="6" t="s">
        <v>17</v>
      </c>
      <c r="R1" s="4" t="s">
        <v>19</v>
      </c>
      <c r="S1" s="8" t="s">
        <v>20</v>
      </c>
      <c r="T1" s="9">
        <v>46023.0</v>
      </c>
      <c r="U1" s="9">
        <v>46054.0</v>
      </c>
      <c r="V1" s="9">
        <v>46082.0</v>
      </c>
      <c r="W1" s="9">
        <v>46113.0</v>
      </c>
      <c r="X1" s="9">
        <v>46143.0</v>
      </c>
      <c r="Y1" s="9">
        <v>46174.0</v>
      </c>
      <c r="Z1" s="9">
        <v>46204.0</v>
      </c>
      <c r="AA1" s="9">
        <v>46235.0</v>
      </c>
      <c r="AB1" s="9">
        <v>46266.0</v>
      </c>
      <c r="AC1" s="9">
        <v>46296.0</v>
      </c>
      <c r="AD1" s="9">
        <v>46327.0</v>
      </c>
      <c r="AE1" s="9">
        <v>46357.0</v>
      </c>
      <c r="AF1" s="11"/>
      <c r="AG1" s="12" t="s">
        <v>21</v>
      </c>
      <c r="AH1" s="13" t="s">
        <v>22</v>
      </c>
      <c r="AI1" s="11"/>
      <c r="AJ1" s="11"/>
      <c r="AK1" s="11"/>
    </row>
    <row r="2">
      <c r="A2" s="14">
        <v>1.0</v>
      </c>
      <c r="B2" s="15" t="s">
        <v>23</v>
      </c>
      <c r="C2" s="15" t="s">
        <v>24</v>
      </c>
      <c r="D2" s="15" t="s">
        <v>25</v>
      </c>
      <c r="E2" s="15" t="s">
        <v>26</v>
      </c>
      <c r="F2" s="15" t="s">
        <v>27</v>
      </c>
      <c r="G2" s="15">
        <v>2025.0</v>
      </c>
      <c r="H2" s="17" t="s">
        <v>28</v>
      </c>
      <c r="I2" s="17" t="s">
        <v>29</v>
      </c>
      <c r="J2" s="15" t="s">
        <v>30</v>
      </c>
      <c r="K2" s="15" t="s">
        <v>31</v>
      </c>
      <c r="L2" s="18">
        <v>44635.0</v>
      </c>
      <c r="M2" s="20">
        <v>4312000.0</v>
      </c>
      <c r="N2" s="20">
        <f t="shared" ref="N2:N6" si="1">M2/12</f>
        <v>359333.3333</v>
      </c>
      <c r="O2" s="26">
        <f t="shared" ref="O2:O5" si="2">N2+R2</f>
        <v>359333.3333</v>
      </c>
      <c r="P2" s="28" t="s">
        <v>37</v>
      </c>
      <c r="Q2" s="30">
        <v>0.0</v>
      </c>
      <c r="R2" s="33">
        <f t="shared" ref="R2:R5" si="3">N2*Q2</f>
        <v>0</v>
      </c>
      <c r="S2" s="34">
        <f t="shared" ref="S2:S6" si="4">SUM(T2:AE2)</f>
        <v>1078000</v>
      </c>
      <c r="T2" s="34">
        <f>N2</f>
        <v>359333.3333</v>
      </c>
      <c r="U2" s="34">
        <v>359333.3333333333</v>
      </c>
      <c r="V2" s="34">
        <v>359333.3333333333</v>
      </c>
      <c r="W2" s="35" t="s">
        <v>37</v>
      </c>
      <c r="X2" s="35" t="s">
        <v>37</v>
      </c>
      <c r="Y2" s="35" t="s">
        <v>37</v>
      </c>
      <c r="Z2" s="35" t="s">
        <v>37</v>
      </c>
      <c r="AA2" s="35" t="s">
        <v>37</v>
      </c>
      <c r="AB2" s="35" t="s">
        <v>37</v>
      </c>
      <c r="AC2" s="35" t="s">
        <v>37</v>
      </c>
      <c r="AD2" s="35" t="s">
        <v>37</v>
      </c>
      <c r="AE2" s="35" t="s">
        <v>37</v>
      </c>
      <c r="AF2" s="36"/>
      <c r="AG2" s="38">
        <v>1078000.0</v>
      </c>
      <c r="AH2" s="39"/>
      <c r="AI2" s="40"/>
      <c r="AJ2" s="40"/>
      <c r="AK2" s="40"/>
    </row>
    <row r="3">
      <c r="A3" s="41">
        <v>2.0</v>
      </c>
      <c r="B3" s="42" t="s">
        <v>23</v>
      </c>
      <c r="C3" s="42" t="s">
        <v>24</v>
      </c>
      <c r="D3" s="42" t="s">
        <v>25</v>
      </c>
      <c r="E3" s="42" t="s">
        <v>26</v>
      </c>
      <c r="F3" s="42" t="s">
        <v>27</v>
      </c>
      <c r="G3" s="42">
        <v>2025.0</v>
      </c>
      <c r="H3" s="45" t="s">
        <v>38</v>
      </c>
      <c r="I3" s="47" t="s">
        <v>39</v>
      </c>
      <c r="J3" s="42" t="s">
        <v>40</v>
      </c>
      <c r="K3" s="49" t="s">
        <v>31</v>
      </c>
      <c r="L3" s="50">
        <v>44790.0</v>
      </c>
      <c r="M3" s="52">
        <v>2467100.0</v>
      </c>
      <c r="N3" s="53">
        <f t="shared" si="1"/>
        <v>205591.6667</v>
      </c>
      <c r="O3" s="54">
        <f t="shared" si="2"/>
        <v>224094.9167</v>
      </c>
      <c r="P3" s="55">
        <v>46023.0</v>
      </c>
      <c r="Q3" s="56">
        <v>0.09</v>
      </c>
      <c r="R3" s="58">
        <f t="shared" si="3"/>
        <v>18503.25</v>
      </c>
      <c r="S3" s="59">
        <f t="shared" si="4"/>
        <v>2689139</v>
      </c>
      <c r="T3" s="59">
        <f t="shared" ref="T3:T5" si="5">O3</f>
        <v>224094.9167</v>
      </c>
      <c r="U3" s="59">
        <v>224094.91666666666</v>
      </c>
      <c r="V3" s="59">
        <v>224094.91666666666</v>
      </c>
      <c r="W3" s="59">
        <v>224094.91666666666</v>
      </c>
      <c r="X3" s="59">
        <v>224094.91666666666</v>
      </c>
      <c r="Y3" s="59">
        <v>224094.91666666666</v>
      </c>
      <c r="Z3" s="59">
        <v>224094.91666666666</v>
      </c>
      <c r="AA3" s="59">
        <v>224094.91666666666</v>
      </c>
      <c r="AB3" s="59">
        <v>224094.91666666666</v>
      </c>
      <c r="AC3" s="59">
        <v>224094.91666666666</v>
      </c>
      <c r="AD3" s="59">
        <v>224094.91666666666</v>
      </c>
      <c r="AE3" s="59">
        <v>224094.91666666666</v>
      </c>
      <c r="AF3" s="40"/>
      <c r="AG3" s="60">
        <v>2689139.0</v>
      </c>
      <c r="AH3" s="60"/>
      <c r="AI3" s="40"/>
      <c r="AJ3" s="40"/>
      <c r="AK3" s="40"/>
    </row>
    <row r="4">
      <c r="A4" s="61">
        <v>3.0</v>
      </c>
      <c r="B4" s="62" t="s">
        <v>23</v>
      </c>
      <c r="C4" s="62" t="s">
        <v>24</v>
      </c>
      <c r="D4" s="62" t="s">
        <v>25</v>
      </c>
      <c r="E4" s="62" t="s">
        <v>26</v>
      </c>
      <c r="F4" s="62" t="s">
        <v>27</v>
      </c>
      <c r="G4" s="62">
        <v>2025.0</v>
      </c>
      <c r="H4" s="63" t="s">
        <v>45</v>
      </c>
      <c r="I4" s="64" t="s">
        <v>46</v>
      </c>
      <c r="J4" s="62" t="s">
        <v>40</v>
      </c>
      <c r="K4" s="62" t="s">
        <v>47</v>
      </c>
      <c r="L4" s="65">
        <v>44791.0</v>
      </c>
      <c r="M4" s="66">
        <v>1444900.0</v>
      </c>
      <c r="N4" s="67">
        <f t="shared" si="1"/>
        <v>120408.3333</v>
      </c>
      <c r="O4" s="68">
        <f t="shared" si="2"/>
        <v>131245.0833</v>
      </c>
      <c r="P4" s="69">
        <v>46023.0</v>
      </c>
      <c r="Q4" s="70">
        <v>0.09</v>
      </c>
      <c r="R4" s="71">
        <f t="shared" si="3"/>
        <v>10836.75</v>
      </c>
      <c r="S4" s="72">
        <f t="shared" si="4"/>
        <v>1574941</v>
      </c>
      <c r="T4" s="72">
        <f t="shared" si="5"/>
        <v>131245.0833</v>
      </c>
      <c r="U4" s="72">
        <v>131245.0833333333</v>
      </c>
      <c r="V4" s="72">
        <v>131245.0833333333</v>
      </c>
      <c r="W4" s="72">
        <v>131245.0833333333</v>
      </c>
      <c r="X4" s="72">
        <v>131245.0833333333</v>
      </c>
      <c r="Y4" s="72">
        <v>131245.0833333333</v>
      </c>
      <c r="Z4" s="72">
        <v>131245.0833333333</v>
      </c>
      <c r="AA4" s="72">
        <v>131245.0833333333</v>
      </c>
      <c r="AB4" s="72">
        <v>131245.0833333333</v>
      </c>
      <c r="AC4" s="72">
        <v>131245.0833333333</v>
      </c>
      <c r="AD4" s="72">
        <v>131245.0833333333</v>
      </c>
      <c r="AE4" s="72">
        <v>131245.0833333333</v>
      </c>
      <c r="AF4" s="73"/>
      <c r="AG4" s="74">
        <v>1574940.9999999993</v>
      </c>
      <c r="AH4" s="74"/>
      <c r="AI4" s="40"/>
      <c r="AJ4" s="40"/>
      <c r="AK4" s="40"/>
    </row>
    <row r="5">
      <c r="A5" s="61">
        <v>4.0</v>
      </c>
      <c r="B5" s="62" t="s">
        <v>23</v>
      </c>
      <c r="C5" s="62" t="s">
        <v>24</v>
      </c>
      <c r="D5" s="62" t="s">
        <v>25</v>
      </c>
      <c r="E5" s="62" t="s">
        <v>26</v>
      </c>
      <c r="F5" s="62" t="s">
        <v>27</v>
      </c>
      <c r="G5" s="62">
        <v>2025.0</v>
      </c>
      <c r="H5" s="75" t="s">
        <v>48</v>
      </c>
      <c r="I5" s="75" t="s">
        <v>49</v>
      </c>
      <c r="J5" s="62" t="s">
        <v>35</v>
      </c>
      <c r="K5" s="62" t="s">
        <v>36</v>
      </c>
      <c r="L5" s="65">
        <v>44986.0</v>
      </c>
      <c r="M5" s="66">
        <v>781700.0</v>
      </c>
      <c r="N5" s="67">
        <f t="shared" si="1"/>
        <v>65141.66667</v>
      </c>
      <c r="O5" s="68">
        <f t="shared" si="2"/>
        <v>71004.41667</v>
      </c>
      <c r="P5" s="69">
        <v>46023.0</v>
      </c>
      <c r="Q5" s="70">
        <v>0.09</v>
      </c>
      <c r="R5" s="71">
        <f t="shared" si="3"/>
        <v>5862.75</v>
      </c>
      <c r="S5" s="72">
        <f t="shared" si="4"/>
        <v>213013.25</v>
      </c>
      <c r="T5" s="72">
        <f t="shared" si="5"/>
        <v>71004.41667</v>
      </c>
      <c r="U5" s="72">
        <v>71004.41666666666</v>
      </c>
      <c r="V5" s="72">
        <v>71004.41666666666</v>
      </c>
      <c r="W5" s="72"/>
      <c r="X5" s="72"/>
      <c r="Y5" s="72"/>
      <c r="Z5" s="72"/>
      <c r="AA5" s="72"/>
      <c r="AB5" s="72"/>
      <c r="AC5" s="72"/>
      <c r="AD5" s="72"/>
      <c r="AE5" s="72"/>
      <c r="AF5" s="73"/>
      <c r="AG5" s="74">
        <v>213013.24999999997</v>
      </c>
      <c r="AH5" s="74"/>
      <c r="AI5" s="40"/>
      <c r="AJ5" s="40"/>
      <c r="AK5" s="40"/>
    </row>
    <row r="6">
      <c r="A6" s="76">
        <v>5.0</v>
      </c>
      <c r="B6" s="77" t="s">
        <v>23</v>
      </c>
      <c r="C6" s="77" t="s">
        <v>24</v>
      </c>
      <c r="D6" s="77" t="s">
        <v>25</v>
      </c>
      <c r="E6" s="77" t="s">
        <v>26</v>
      </c>
      <c r="F6" s="77" t="s">
        <v>27</v>
      </c>
      <c r="G6" s="42">
        <v>2025.0</v>
      </c>
      <c r="H6" s="78" t="s">
        <v>52</v>
      </c>
      <c r="I6" s="78" t="s">
        <v>46</v>
      </c>
      <c r="J6" s="77" t="s">
        <v>40</v>
      </c>
      <c r="K6" s="80" t="s">
        <v>47</v>
      </c>
      <c r="L6" s="82">
        <v>45952.0</v>
      </c>
      <c r="M6" s="83">
        <v>1200000.0</v>
      </c>
      <c r="N6" s="53">
        <f t="shared" si="1"/>
        <v>100000</v>
      </c>
      <c r="O6" s="85" t="s">
        <v>37</v>
      </c>
      <c r="P6" s="85" t="s">
        <v>37</v>
      </c>
      <c r="Q6" s="85" t="s">
        <v>37</v>
      </c>
      <c r="R6" s="47" t="s">
        <v>37</v>
      </c>
      <c r="S6" s="59">
        <f t="shared" si="4"/>
        <v>1200000</v>
      </c>
      <c r="T6" s="88">
        <f>N6</f>
        <v>100000</v>
      </c>
      <c r="U6" s="88">
        <v>100000.0</v>
      </c>
      <c r="V6" s="88">
        <v>100000.0</v>
      </c>
      <c r="W6" s="88">
        <v>100000.0</v>
      </c>
      <c r="X6" s="88">
        <v>100000.0</v>
      </c>
      <c r="Y6" s="88">
        <v>100000.0</v>
      </c>
      <c r="Z6" s="88">
        <v>100000.0</v>
      </c>
      <c r="AA6" s="88">
        <v>100000.0</v>
      </c>
      <c r="AB6" s="88">
        <v>100000.0</v>
      </c>
      <c r="AC6" s="88">
        <v>100000.0</v>
      </c>
      <c r="AD6" s="88">
        <v>100000.0</v>
      </c>
      <c r="AE6" s="88">
        <v>100000.0</v>
      </c>
      <c r="AF6" s="40"/>
      <c r="AG6" s="60">
        <v>1200000.0</v>
      </c>
      <c r="AH6" s="60"/>
      <c r="AI6" s="40"/>
      <c r="AJ6" s="40"/>
      <c r="AK6" s="40"/>
    </row>
    <row r="7">
      <c r="A7" s="77">
        <v>6.0</v>
      </c>
      <c r="B7" s="77" t="s">
        <v>23</v>
      </c>
      <c r="C7" s="77" t="s">
        <v>24</v>
      </c>
      <c r="D7" s="77" t="s">
        <v>25</v>
      </c>
      <c r="E7" s="77" t="s">
        <v>26</v>
      </c>
      <c r="F7" s="77" t="s">
        <v>27</v>
      </c>
      <c r="G7" s="42">
        <v>2025.0</v>
      </c>
      <c r="H7" s="78"/>
      <c r="I7" s="78"/>
      <c r="J7" s="77"/>
      <c r="K7" s="80"/>
      <c r="L7" s="82"/>
      <c r="M7" s="83"/>
      <c r="N7" s="53"/>
      <c r="O7" s="85"/>
      <c r="P7" s="85"/>
      <c r="Q7" s="85"/>
      <c r="R7" s="47"/>
      <c r="S7" s="59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40"/>
      <c r="AG7" s="60"/>
      <c r="AH7" s="60"/>
      <c r="AI7" s="40"/>
      <c r="AJ7" s="40"/>
      <c r="AK7" s="40"/>
    </row>
    <row r="8">
      <c r="A8" s="97"/>
      <c r="B8" s="77" t="s">
        <v>23</v>
      </c>
      <c r="C8" s="77" t="s">
        <v>24</v>
      </c>
      <c r="D8" s="77" t="s">
        <v>25</v>
      </c>
      <c r="E8" s="77" t="s">
        <v>26</v>
      </c>
      <c r="F8" s="77" t="s">
        <v>27</v>
      </c>
      <c r="G8" s="42">
        <v>2025.0</v>
      </c>
      <c r="H8" s="101"/>
      <c r="I8" s="103"/>
      <c r="J8" s="105"/>
      <c r="K8" s="105"/>
      <c r="L8" s="105"/>
      <c r="M8" s="105"/>
      <c r="N8" s="105"/>
      <c r="O8" s="105"/>
      <c r="P8" s="105"/>
      <c r="Q8" s="105"/>
      <c r="R8" s="105"/>
      <c r="S8" s="59">
        <f t="shared" ref="S8:S12" si="6">SUM(T8:AE8)</f>
        <v>0</v>
      </c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40"/>
      <c r="AG8" s="60">
        <v>0.0</v>
      </c>
      <c r="AH8" s="60"/>
      <c r="AI8" s="40"/>
      <c r="AJ8" s="40"/>
      <c r="AK8" s="40"/>
    </row>
    <row r="9">
      <c r="A9" s="97"/>
      <c r="B9" s="77" t="s">
        <v>23</v>
      </c>
      <c r="C9" s="77" t="s">
        <v>24</v>
      </c>
      <c r="D9" s="77" t="s">
        <v>25</v>
      </c>
      <c r="E9" s="77" t="s">
        <v>26</v>
      </c>
      <c r="F9" s="77" t="s">
        <v>27</v>
      </c>
      <c r="G9" s="42">
        <v>2025.0</v>
      </c>
      <c r="H9" s="101"/>
      <c r="I9" s="103"/>
      <c r="J9" s="105"/>
      <c r="K9" s="105"/>
      <c r="L9" s="105"/>
      <c r="M9" s="105"/>
      <c r="N9" s="42"/>
      <c r="O9" s="105"/>
      <c r="P9" s="105"/>
      <c r="Q9" s="105"/>
      <c r="R9" s="105"/>
      <c r="S9" s="59">
        <f t="shared" si="6"/>
        <v>0</v>
      </c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40"/>
      <c r="AG9" s="60">
        <v>0.0</v>
      </c>
      <c r="AH9" s="60"/>
      <c r="AI9" s="40"/>
      <c r="AJ9" s="40"/>
      <c r="AK9" s="40"/>
    </row>
    <row r="10">
      <c r="A10" s="97"/>
      <c r="B10" s="42" t="s">
        <v>23</v>
      </c>
      <c r="C10" s="42" t="s">
        <v>24</v>
      </c>
      <c r="D10" s="42" t="s">
        <v>25</v>
      </c>
      <c r="E10" s="42" t="s">
        <v>26</v>
      </c>
      <c r="F10" s="42" t="s">
        <v>27</v>
      </c>
      <c r="G10" s="42">
        <v>2025.0</v>
      </c>
      <c r="H10" s="101"/>
      <c r="I10" s="103"/>
      <c r="J10" s="105"/>
      <c r="K10" s="105"/>
      <c r="L10" s="105"/>
      <c r="M10" s="105"/>
      <c r="N10" s="105"/>
      <c r="O10" s="105"/>
      <c r="P10" s="105"/>
      <c r="Q10" s="105"/>
      <c r="R10" s="105"/>
      <c r="S10" s="59">
        <f t="shared" si="6"/>
        <v>0</v>
      </c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40"/>
      <c r="AG10" s="60">
        <v>0.0</v>
      </c>
      <c r="AH10" s="60"/>
      <c r="AI10" s="40"/>
      <c r="AJ10" s="40"/>
      <c r="AK10" s="40"/>
    </row>
    <row r="11">
      <c r="A11" s="97"/>
      <c r="B11" s="42" t="s">
        <v>23</v>
      </c>
      <c r="C11" s="42" t="s">
        <v>24</v>
      </c>
      <c r="D11" s="42" t="s">
        <v>25</v>
      </c>
      <c r="E11" s="42" t="s">
        <v>26</v>
      </c>
      <c r="F11" s="42" t="s">
        <v>27</v>
      </c>
      <c r="G11" s="42">
        <v>2025.0</v>
      </c>
      <c r="H11" s="101"/>
      <c r="I11" s="103"/>
      <c r="J11" s="105"/>
      <c r="K11" s="105"/>
      <c r="L11" s="105"/>
      <c r="M11" s="105"/>
      <c r="N11" s="105"/>
      <c r="O11" s="105"/>
      <c r="P11" s="105"/>
      <c r="Q11" s="105"/>
      <c r="R11" s="105"/>
      <c r="S11" s="59">
        <f t="shared" si="6"/>
        <v>0</v>
      </c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40"/>
      <c r="AG11" s="60">
        <v>0.0</v>
      </c>
      <c r="AH11" s="60"/>
      <c r="AI11" s="40"/>
      <c r="AJ11" s="40"/>
      <c r="AK11" s="40"/>
    </row>
    <row r="12">
      <c r="A12" s="97"/>
      <c r="B12" s="42" t="s">
        <v>23</v>
      </c>
      <c r="C12" s="42" t="s">
        <v>24</v>
      </c>
      <c r="D12" s="42" t="s">
        <v>25</v>
      </c>
      <c r="E12" s="42" t="s">
        <v>26</v>
      </c>
      <c r="F12" s="42" t="s">
        <v>27</v>
      </c>
      <c r="G12" s="42">
        <v>2025.0</v>
      </c>
      <c r="H12" s="101"/>
      <c r="I12" s="103"/>
      <c r="J12" s="105"/>
      <c r="K12" s="105"/>
      <c r="L12" s="105"/>
      <c r="M12" s="105"/>
      <c r="N12" s="105"/>
      <c r="O12" s="105"/>
      <c r="P12" s="105"/>
      <c r="Q12" s="105"/>
      <c r="R12" s="105"/>
      <c r="S12" s="59">
        <f t="shared" si="6"/>
        <v>0</v>
      </c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40"/>
      <c r="AG12" s="60">
        <v>0.0</v>
      </c>
      <c r="AH12" s="60"/>
      <c r="AI12" s="40"/>
      <c r="AJ12" s="40"/>
      <c r="AK12" s="40"/>
    </row>
    <row r="13">
      <c r="A13" s="120">
        <f>count(A2:A12)</f>
        <v>6</v>
      </c>
      <c r="B13" s="121" t="s">
        <v>65</v>
      </c>
      <c r="C13" s="121" t="s">
        <v>24</v>
      </c>
      <c r="D13" s="121" t="s">
        <v>25</v>
      </c>
      <c r="E13" s="121" t="s">
        <v>26</v>
      </c>
      <c r="F13" s="122" t="s">
        <v>66</v>
      </c>
      <c r="G13" s="122" t="s">
        <v>6</v>
      </c>
      <c r="H13" s="122" t="s">
        <v>6</v>
      </c>
      <c r="I13" s="122" t="s">
        <v>67</v>
      </c>
      <c r="J13" s="124"/>
      <c r="K13" s="124"/>
      <c r="L13" s="124"/>
      <c r="M13" s="126">
        <f>SUM(M2:M9)</f>
        <v>10205700</v>
      </c>
      <c r="N13" s="126"/>
      <c r="O13" s="124"/>
      <c r="P13" s="124"/>
      <c r="Q13" s="124"/>
      <c r="R13" s="124"/>
      <c r="S13" s="134">
        <f t="shared" ref="S13:AE13" si="7">SUM(S2:S12)</f>
        <v>6755093.25</v>
      </c>
      <c r="T13" s="134">
        <f t="shared" si="7"/>
        <v>885677.75</v>
      </c>
      <c r="U13" s="134">
        <f t="shared" si="7"/>
        <v>885677.75</v>
      </c>
      <c r="V13" s="134">
        <f t="shared" si="7"/>
        <v>885677.75</v>
      </c>
      <c r="W13" s="134">
        <f t="shared" si="7"/>
        <v>455340</v>
      </c>
      <c r="X13" s="134">
        <f t="shared" si="7"/>
        <v>455340</v>
      </c>
      <c r="Y13" s="134">
        <f t="shared" si="7"/>
        <v>455340</v>
      </c>
      <c r="Z13" s="134">
        <f t="shared" si="7"/>
        <v>455340</v>
      </c>
      <c r="AA13" s="134">
        <f t="shared" si="7"/>
        <v>455340</v>
      </c>
      <c r="AB13" s="134">
        <f t="shared" si="7"/>
        <v>455340</v>
      </c>
      <c r="AC13" s="134">
        <f t="shared" si="7"/>
        <v>455340</v>
      </c>
      <c r="AD13" s="134">
        <f t="shared" si="7"/>
        <v>455340</v>
      </c>
      <c r="AE13" s="134">
        <f t="shared" si="7"/>
        <v>455340</v>
      </c>
      <c r="AF13" s="138"/>
      <c r="AG13" s="134">
        <f t="shared" ref="AG13:AH13" si="8">SUM(AG2:AG12)</f>
        <v>6755093.25</v>
      </c>
      <c r="AH13" s="134">
        <f t="shared" si="8"/>
        <v>0</v>
      </c>
      <c r="AI13" s="40"/>
      <c r="AJ13" s="40"/>
      <c r="AK13" s="40"/>
    </row>
    <row r="14">
      <c r="A14" s="146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40"/>
      <c r="AJ14" s="40"/>
      <c r="AK14" s="40"/>
    </row>
    <row r="15">
      <c r="A15" s="151"/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47"/>
      <c r="AG15" s="147"/>
      <c r="AH15" s="147"/>
      <c r="AI15" s="147"/>
      <c r="AJ15" s="147"/>
      <c r="AK15" s="147"/>
    </row>
    <row r="16">
      <c r="A16" s="157"/>
      <c r="B16" s="159" t="s">
        <v>65</v>
      </c>
      <c r="C16" s="159" t="s">
        <v>24</v>
      </c>
      <c r="D16" s="159" t="s">
        <v>25</v>
      </c>
      <c r="E16" s="159" t="s">
        <v>26</v>
      </c>
      <c r="F16" s="161" t="s">
        <v>27</v>
      </c>
      <c r="G16" s="162" t="s">
        <v>77</v>
      </c>
      <c r="H16" s="164"/>
      <c r="I16" s="168">
        <f>(24000*A16)*0</f>
        <v>0</v>
      </c>
      <c r="J16" s="169"/>
      <c r="K16" s="169"/>
      <c r="L16" s="169"/>
      <c r="M16" s="169"/>
      <c r="N16" s="169"/>
      <c r="O16" s="169"/>
      <c r="P16" s="169"/>
      <c r="Q16" s="169"/>
      <c r="R16" s="169"/>
      <c r="S16" s="171">
        <f>SUM(T16:AE16)</f>
        <v>0</v>
      </c>
      <c r="T16" s="164">
        <f t="shared" ref="T16:AE16" si="9">$I$16/12</f>
        <v>0</v>
      </c>
      <c r="U16" s="164">
        <f t="shared" si="9"/>
        <v>0</v>
      </c>
      <c r="V16" s="164">
        <f t="shared" si="9"/>
        <v>0</v>
      </c>
      <c r="W16" s="164">
        <f t="shared" si="9"/>
        <v>0</v>
      </c>
      <c r="X16" s="164">
        <f t="shared" si="9"/>
        <v>0</v>
      </c>
      <c r="Y16" s="164">
        <f t="shared" si="9"/>
        <v>0</v>
      </c>
      <c r="Z16" s="164">
        <f t="shared" si="9"/>
        <v>0</v>
      </c>
      <c r="AA16" s="164">
        <f t="shared" si="9"/>
        <v>0</v>
      </c>
      <c r="AB16" s="164">
        <f t="shared" si="9"/>
        <v>0</v>
      </c>
      <c r="AC16" s="164">
        <f t="shared" si="9"/>
        <v>0</v>
      </c>
      <c r="AD16" s="164">
        <f t="shared" si="9"/>
        <v>0</v>
      </c>
      <c r="AE16" s="164">
        <f t="shared" si="9"/>
        <v>0</v>
      </c>
      <c r="AF16" s="173"/>
      <c r="AG16" s="60">
        <v>0.0</v>
      </c>
      <c r="AH16" s="60"/>
      <c r="AI16" s="173"/>
      <c r="AJ16" s="173"/>
      <c r="AK16" s="173"/>
    </row>
    <row r="17">
      <c r="A17" s="120" t="s">
        <v>78</v>
      </c>
      <c r="B17" s="121" t="s">
        <v>65</v>
      </c>
      <c r="C17" s="121" t="s">
        <v>24</v>
      </c>
      <c r="D17" s="121" t="s">
        <v>25</v>
      </c>
      <c r="E17" s="121" t="s">
        <v>26</v>
      </c>
      <c r="F17" s="122" t="s">
        <v>66</v>
      </c>
      <c r="G17" s="122" t="s">
        <v>80</v>
      </c>
      <c r="H17" s="122" t="s">
        <v>81</v>
      </c>
      <c r="I17" s="122">
        <v>91302.0</v>
      </c>
      <c r="J17" s="180"/>
      <c r="K17" s="180"/>
      <c r="L17" s="180"/>
      <c r="M17" s="180"/>
      <c r="N17" s="180"/>
      <c r="O17" s="180"/>
      <c r="P17" s="180"/>
      <c r="Q17" s="180"/>
      <c r="R17" s="180"/>
      <c r="S17" s="134">
        <f t="shared" ref="S17:AE17" si="10">sum(S16)</f>
        <v>0</v>
      </c>
      <c r="T17" s="134">
        <f t="shared" si="10"/>
        <v>0</v>
      </c>
      <c r="U17" s="134">
        <f t="shared" si="10"/>
        <v>0</v>
      </c>
      <c r="V17" s="134">
        <f t="shared" si="10"/>
        <v>0</v>
      </c>
      <c r="W17" s="134">
        <f t="shared" si="10"/>
        <v>0</v>
      </c>
      <c r="X17" s="134">
        <f t="shared" si="10"/>
        <v>0</v>
      </c>
      <c r="Y17" s="134">
        <f t="shared" si="10"/>
        <v>0</v>
      </c>
      <c r="Z17" s="134">
        <f t="shared" si="10"/>
        <v>0</v>
      </c>
      <c r="AA17" s="134">
        <f t="shared" si="10"/>
        <v>0</v>
      </c>
      <c r="AB17" s="134">
        <f t="shared" si="10"/>
        <v>0</v>
      </c>
      <c r="AC17" s="134">
        <f t="shared" si="10"/>
        <v>0</v>
      </c>
      <c r="AD17" s="134">
        <f t="shared" si="10"/>
        <v>0</v>
      </c>
      <c r="AE17" s="134">
        <f t="shared" si="10"/>
        <v>0</v>
      </c>
      <c r="AF17" s="189"/>
      <c r="AG17" s="134">
        <f t="shared" ref="AG17:AH17" si="11">sum(AG16)</f>
        <v>0</v>
      </c>
      <c r="AH17" s="134">
        <f t="shared" si="11"/>
        <v>0</v>
      </c>
      <c r="AI17" s="189"/>
      <c r="AJ17" s="189"/>
      <c r="AK17" s="189"/>
    </row>
    <row r="18">
      <c r="A18" s="146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73"/>
      <c r="AG18" s="173"/>
      <c r="AH18" s="173"/>
      <c r="AI18" s="173"/>
      <c r="AJ18" s="173"/>
      <c r="AK18" s="173"/>
    </row>
    <row r="19" ht="15.75" customHeight="1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73"/>
      <c r="AG19" s="173"/>
      <c r="AH19" s="173"/>
      <c r="AI19" s="173"/>
      <c r="AJ19" s="173"/>
      <c r="AK19" s="173"/>
    </row>
    <row r="20" ht="15.75" customHeight="1">
      <c r="A20" s="193">
        <v>1.0</v>
      </c>
      <c r="B20" s="159" t="s">
        <v>23</v>
      </c>
      <c r="C20" s="159" t="s">
        <v>24</v>
      </c>
      <c r="D20" s="159" t="s">
        <v>25</v>
      </c>
      <c r="E20" s="159" t="s">
        <v>26</v>
      </c>
      <c r="F20" s="161" t="s">
        <v>27</v>
      </c>
      <c r="G20" s="159" t="s">
        <v>86</v>
      </c>
      <c r="H20" s="28" t="s">
        <v>87</v>
      </c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71">
        <f t="shared" ref="S20:S26" si="12">SUM(T20:AE20)</f>
        <v>315710</v>
      </c>
      <c r="T20" s="198"/>
      <c r="U20" s="198"/>
      <c r="V20" s="200">
        <v>315710.0</v>
      </c>
      <c r="W20" s="198"/>
      <c r="X20" s="198"/>
      <c r="Y20" s="198"/>
      <c r="Z20" s="198"/>
      <c r="AA20" s="198"/>
      <c r="AB20" s="198"/>
      <c r="AC20" s="198"/>
      <c r="AD20" s="198"/>
      <c r="AE20" s="198"/>
      <c r="AF20" s="202"/>
      <c r="AG20" s="60">
        <v>315710.0</v>
      </c>
      <c r="AH20" s="60"/>
      <c r="AI20" s="202"/>
      <c r="AJ20" s="202"/>
      <c r="AK20" s="202"/>
    </row>
    <row r="21" ht="15.75" customHeight="1">
      <c r="A21" s="193">
        <v>2.0</v>
      </c>
      <c r="B21" s="159" t="s">
        <v>23</v>
      </c>
      <c r="C21" s="159" t="s">
        <v>24</v>
      </c>
      <c r="D21" s="159" t="s">
        <v>25</v>
      </c>
      <c r="E21" s="159" t="s">
        <v>26</v>
      </c>
      <c r="F21" s="161" t="s">
        <v>27</v>
      </c>
      <c r="G21" s="159" t="s">
        <v>86</v>
      </c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71">
        <f t="shared" si="12"/>
        <v>0</v>
      </c>
      <c r="T21" s="198"/>
      <c r="U21" s="198"/>
      <c r="V21" s="198"/>
      <c r="W21" s="198"/>
      <c r="X21" s="198"/>
      <c r="Y21" s="198"/>
      <c r="Z21" s="198"/>
      <c r="AA21" s="198"/>
      <c r="AB21" s="198"/>
      <c r="AC21" s="198"/>
      <c r="AD21" s="198"/>
      <c r="AE21" s="198"/>
      <c r="AF21" s="202"/>
      <c r="AG21" s="60">
        <v>0.0</v>
      </c>
      <c r="AH21" s="60"/>
      <c r="AI21" s="202"/>
      <c r="AJ21" s="202"/>
      <c r="AK21" s="202"/>
    </row>
    <row r="22" ht="15.75" customHeight="1">
      <c r="A22" s="193">
        <v>3.0</v>
      </c>
      <c r="B22" s="159" t="s">
        <v>23</v>
      </c>
      <c r="C22" s="159" t="s">
        <v>24</v>
      </c>
      <c r="D22" s="159" t="s">
        <v>25</v>
      </c>
      <c r="E22" s="159" t="s">
        <v>26</v>
      </c>
      <c r="F22" s="161" t="s">
        <v>27</v>
      </c>
      <c r="G22" s="159" t="s">
        <v>86</v>
      </c>
      <c r="H22" s="203"/>
      <c r="I22" s="203"/>
      <c r="J22" s="164"/>
      <c r="K22" s="164"/>
      <c r="L22" s="164"/>
      <c r="M22" s="164"/>
      <c r="N22" s="164"/>
      <c r="O22" s="164"/>
      <c r="P22" s="164"/>
      <c r="Q22" s="164"/>
      <c r="R22" s="164"/>
      <c r="S22" s="171">
        <f t="shared" si="12"/>
        <v>0</v>
      </c>
      <c r="T22" s="198"/>
      <c r="U22" s="198"/>
      <c r="V22" s="198"/>
      <c r="W22" s="198"/>
      <c r="X22" s="198"/>
      <c r="Y22" s="198"/>
      <c r="Z22" s="198"/>
      <c r="AA22" s="198"/>
      <c r="AB22" s="198"/>
      <c r="AC22" s="198"/>
      <c r="AD22" s="198"/>
      <c r="AE22" s="198"/>
      <c r="AF22" s="202"/>
      <c r="AG22" s="60">
        <v>0.0</v>
      </c>
      <c r="AH22" s="60"/>
      <c r="AI22" s="202"/>
      <c r="AJ22" s="202"/>
      <c r="AK22" s="202"/>
    </row>
    <row r="23" ht="15.75" customHeight="1">
      <c r="A23" s="204"/>
      <c r="B23" s="174" t="s">
        <v>23</v>
      </c>
      <c r="C23" s="174" t="s">
        <v>24</v>
      </c>
      <c r="D23" s="174" t="s">
        <v>25</v>
      </c>
      <c r="E23" s="174" t="s">
        <v>26</v>
      </c>
      <c r="F23" s="161" t="s">
        <v>27</v>
      </c>
      <c r="G23" s="174" t="s">
        <v>86</v>
      </c>
      <c r="H23" s="205"/>
      <c r="I23" s="136"/>
      <c r="J23" s="31"/>
      <c r="K23" s="31"/>
      <c r="L23" s="31"/>
      <c r="M23" s="31"/>
      <c r="N23" s="31"/>
      <c r="O23" s="31"/>
      <c r="P23" s="31"/>
      <c r="Q23" s="31"/>
      <c r="R23" s="31"/>
      <c r="S23" s="206">
        <f t="shared" si="12"/>
        <v>0</v>
      </c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202"/>
      <c r="AG23" s="60">
        <v>0.0</v>
      </c>
      <c r="AH23" s="60"/>
      <c r="AI23" s="202"/>
      <c r="AJ23" s="202"/>
      <c r="AK23" s="202"/>
    </row>
    <row r="24" ht="15.75" customHeight="1">
      <c r="A24" s="204"/>
      <c r="B24" s="174" t="s">
        <v>23</v>
      </c>
      <c r="C24" s="174" t="s">
        <v>24</v>
      </c>
      <c r="D24" s="174" t="s">
        <v>25</v>
      </c>
      <c r="E24" s="174" t="s">
        <v>26</v>
      </c>
      <c r="F24" s="161" t="s">
        <v>27</v>
      </c>
      <c r="G24" s="174" t="s">
        <v>86</v>
      </c>
      <c r="H24" s="205"/>
      <c r="I24" s="136"/>
      <c r="J24" s="31"/>
      <c r="K24" s="31"/>
      <c r="L24" s="31"/>
      <c r="M24" s="31"/>
      <c r="N24" s="31"/>
      <c r="O24" s="31"/>
      <c r="P24" s="31"/>
      <c r="Q24" s="31"/>
      <c r="R24" s="31"/>
      <c r="S24" s="206">
        <f t="shared" si="12"/>
        <v>0</v>
      </c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  <c r="AE24" s="207"/>
      <c r="AF24" s="202"/>
      <c r="AG24" s="60">
        <v>0.0</v>
      </c>
      <c r="AH24" s="60"/>
      <c r="AI24" s="202"/>
      <c r="AJ24" s="202"/>
      <c r="AK24" s="202"/>
    </row>
    <row r="25" ht="15.75" customHeight="1">
      <c r="A25" s="204"/>
      <c r="B25" s="174" t="s">
        <v>23</v>
      </c>
      <c r="C25" s="174" t="s">
        <v>24</v>
      </c>
      <c r="D25" s="174" t="s">
        <v>25</v>
      </c>
      <c r="E25" s="174" t="s">
        <v>26</v>
      </c>
      <c r="F25" s="161" t="s">
        <v>27</v>
      </c>
      <c r="G25" s="174" t="s">
        <v>86</v>
      </c>
      <c r="H25" s="205"/>
      <c r="I25" s="136"/>
      <c r="J25" s="31"/>
      <c r="K25" s="31"/>
      <c r="L25" s="31"/>
      <c r="M25" s="31"/>
      <c r="N25" s="31"/>
      <c r="O25" s="31"/>
      <c r="P25" s="31"/>
      <c r="Q25" s="31"/>
      <c r="R25" s="31"/>
      <c r="S25" s="206">
        <f t="shared" si="12"/>
        <v>0</v>
      </c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2"/>
      <c r="AG25" s="60">
        <v>0.0</v>
      </c>
      <c r="AH25" s="60"/>
      <c r="AI25" s="202"/>
      <c r="AJ25" s="202"/>
      <c r="AK25" s="202"/>
    </row>
    <row r="26" ht="15.75" customHeight="1">
      <c r="A26" s="204"/>
      <c r="B26" s="174" t="s">
        <v>23</v>
      </c>
      <c r="C26" s="174" t="s">
        <v>24</v>
      </c>
      <c r="D26" s="174" t="s">
        <v>25</v>
      </c>
      <c r="E26" s="174" t="s">
        <v>26</v>
      </c>
      <c r="F26" s="161" t="s">
        <v>27</v>
      </c>
      <c r="G26" s="174" t="s">
        <v>86</v>
      </c>
      <c r="H26" s="205"/>
      <c r="I26" s="136"/>
      <c r="J26" s="31"/>
      <c r="K26" s="31"/>
      <c r="L26" s="31"/>
      <c r="M26" s="31"/>
      <c r="N26" s="31"/>
      <c r="O26" s="31"/>
      <c r="P26" s="31"/>
      <c r="Q26" s="31"/>
      <c r="R26" s="31"/>
      <c r="S26" s="206">
        <f t="shared" si="12"/>
        <v>0</v>
      </c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7"/>
      <c r="AF26" s="202"/>
      <c r="AG26" s="60">
        <v>0.0</v>
      </c>
      <c r="AH26" s="60"/>
      <c r="AI26" s="202"/>
      <c r="AJ26" s="202"/>
      <c r="AK26" s="202"/>
    </row>
    <row r="27" ht="15.75" customHeight="1">
      <c r="A27" s="120" t="s">
        <v>78</v>
      </c>
      <c r="B27" s="121" t="s">
        <v>65</v>
      </c>
      <c r="C27" s="121" t="s">
        <v>24</v>
      </c>
      <c r="D27" s="121" t="s">
        <v>25</v>
      </c>
      <c r="E27" s="121" t="s">
        <v>26</v>
      </c>
      <c r="F27" s="122" t="s">
        <v>66</v>
      </c>
      <c r="G27" s="122" t="s">
        <v>97</v>
      </c>
      <c r="H27" s="122" t="s">
        <v>98</v>
      </c>
      <c r="I27" s="122" t="s">
        <v>99</v>
      </c>
      <c r="J27" s="124"/>
      <c r="K27" s="124"/>
      <c r="L27" s="124"/>
      <c r="M27" s="124"/>
      <c r="N27" s="124"/>
      <c r="O27" s="124"/>
      <c r="P27" s="124"/>
      <c r="Q27" s="124"/>
      <c r="R27" s="124"/>
      <c r="S27" s="199">
        <f t="shared" ref="S27:AE27" si="13">SUM(S20:S26)</f>
        <v>315710</v>
      </c>
      <c r="T27" s="199">
        <f t="shared" si="13"/>
        <v>0</v>
      </c>
      <c r="U27" s="199">
        <f t="shared" si="13"/>
        <v>0</v>
      </c>
      <c r="V27" s="199">
        <f t="shared" si="13"/>
        <v>315710</v>
      </c>
      <c r="W27" s="199">
        <f t="shared" si="13"/>
        <v>0</v>
      </c>
      <c r="X27" s="199">
        <f t="shared" si="13"/>
        <v>0</v>
      </c>
      <c r="Y27" s="199">
        <f t="shared" si="13"/>
        <v>0</v>
      </c>
      <c r="Z27" s="199">
        <f t="shared" si="13"/>
        <v>0</v>
      </c>
      <c r="AA27" s="199">
        <f t="shared" si="13"/>
        <v>0</v>
      </c>
      <c r="AB27" s="199">
        <f t="shared" si="13"/>
        <v>0</v>
      </c>
      <c r="AC27" s="199">
        <f t="shared" si="13"/>
        <v>0</v>
      </c>
      <c r="AD27" s="199">
        <f t="shared" si="13"/>
        <v>0</v>
      </c>
      <c r="AE27" s="199">
        <f t="shared" si="13"/>
        <v>0</v>
      </c>
      <c r="AF27" s="211"/>
      <c r="AG27" s="199">
        <f t="shared" ref="AG27:AH27" si="14">SUM(AG20:AG26)</f>
        <v>315710</v>
      </c>
      <c r="AH27" s="199">
        <f t="shared" si="14"/>
        <v>0</v>
      </c>
      <c r="AI27" s="211"/>
      <c r="AJ27" s="211"/>
      <c r="AK27" s="211"/>
    </row>
    <row r="28" ht="15.75" customHeight="1">
      <c r="A28" s="146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</row>
    <row r="29" ht="15.75" customHeight="1">
      <c r="A29" s="146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</row>
    <row r="30" ht="15.75" customHeight="1">
      <c r="A30" s="146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</row>
    <row r="31" ht="15.75" customHeight="1">
      <c r="A31" s="146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</row>
    <row r="32" ht="15.75" customHeight="1">
      <c r="A32" s="146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</row>
    <row r="33" ht="15.75" customHeight="1">
      <c r="A33" s="146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</row>
    <row r="34" ht="15.75" customHeight="1">
      <c r="A34" s="146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</row>
    <row r="35" ht="15.75" customHeight="1">
      <c r="A35" s="146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</row>
    <row r="36" ht="15.75" customHeight="1">
      <c r="A36" s="146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</row>
    <row r="37" ht="15.75" customHeight="1">
      <c r="A37" s="146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</row>
    <row r="38" ht="15.75" customHeight="1">
      <c r="A38" s="146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</row>
    <row r="39" ht="15.75" customHeight="1">
      <c r="A39" s="146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</row>
    <row r="40" ht="15.75" customHeight="1">
      <c r="A40" s="146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</row>
    <row r="41" ht="15.75" customHeight="1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</row>
    <row r="42" ht="15.75" customHeight="1">
      <c r="A42" s="146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</row>
    <row r="43" ht="15.75" customHeight="1">
      <c r="A43" s="146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</row>
    <row r="44" ht="15.75" customHeight="1">
      <c r="A44" s="146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</row>
    <row r="45" ht="15.75" customHeight="1">
      <c r="A45" s="146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</row>
    <row r="46" ht="15.75" customHeight="1">
      <c r="A46" s="146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</row>
    <row r="47" ht="15.75" customHeight="1">
      <c r="A47" s="146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</row>
    <row r="48" ht="15.75" customHeight="1">
      <c r="A48" s="146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</row>
    <row r="49" ht="15.75" customHeight="1">
      <c r="A49" s="146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</row>
    <row r="50" ht="15.75" customHeight="1">
      <c r="A50" s="146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</row>
    <row r="51" ht="15.75" customHeight="1">
      <c r="A51" s="146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</row>
    <row r="52" ht="15.75" customHeight="1">
      <c r="A52" s="146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</row>
    <row r="53" ht="15.75" customHeight="1">
      <c r="A53" s="146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</row>
    <row r="54" ht="15.75" customHeight="1">
      <c r="A54" s="146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</row>
    <row r="55" ht="15.75" customHeight="1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</row>
    <row r="56" ht="15.75" customHeight="1">
      <c r="A56" s="146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</row>
    <row r="57" ht="15.75" customHeight="1">
      <c r="A57" s="146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</row>
    <row r="58" ht="15.75" customHeight="1">
      <c r="A58" s="146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</row>
    <row r="59" ht="15.75" customHeight="1">
      <c r="A59" s="146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</row>
    <row r="60" ht="15.75" customHeight="1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</row>
    <row r="61" ht="15.75" customHeight="1">
      <c r="A61" s="146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</row>
    <row r="62" ht="15.75" customHeight="1">
      <c r="A62" s="146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</row>
    <row r="63" ht="15.75" customHeight="1">
      <c r="A63" s="146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</row>
    <row r="64" ht="15.75" customHeight="1">
      <c r="A64" s="146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</row>
    <row r="65" ht="15.75" customHeight="1">
      <c r="A65" s="146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</row>
    <row r="66" ht="15.75" customHeight="1">
      <c r="A66" s="146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</row>
    <row r="67" ht="15.75" customHeight="1">
      <c r="A67" s="146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47"/>
    </row>
    <row r="68" ht="15.75" customHeight="1">
      <c r="A68" s="146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</row>
    <row r="69" ht="15.75" customHeight="1">
      <c r="A69" s="146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</row>
    <row r="70" ht="15.75" customHeight="1">
      <c r="A70" s="146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</row>
    <row r="71" ht="15.75" customHeight="1">
      <c r="A71" s="146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</row>
    <row r="72" ht="15.75" customHeight="1">
      <c r="A72" s="146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</row>
    <row r="73" ht="15.75" customHeight="1">
      <c r="A73" s="146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</row>
    <row r="74" ht="15.75" customHeight="1">
      <c r="A74" s="146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</row>
    <row r="75" ht="15.75" customHeight="1">
      <c r="A75" s="146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</row>
    <row r="76" ht="15.75" customHeight="1">
      <c r="A76" s="146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47"/>
    </row>
    <row r="77" ht="15.75" customHeight="1">
      <c r="A77" s="146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  <c r="AJ77" s="147"/>
      <c r="AK77" s="147"/>
    </row>
    <row r="78" ht="15.75" customHeight="1">
      <c r="A78" s="146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  <c r="AJ78" s="147"/>
      <c r="AK78" s="147"/>
    </row>
    <row r="79" ht="15.75" customHeight="1">
      <c r="A79" s="146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  <c r="AJ79" s="147"/>
      <c r="AK79" s="147"/>
    </row>
    <row r="80" ht="15.75" customHeight="1">
      <c r="A80" s="146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  <c r="AJ80" s="147"/>
      <c r="AK80" s="147"/>
    </row>
    <row r="81" ht="15.75" customHeight="1">
      <c r="A81" s="146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  <c r="AK81" s="147"/>
    </row>
    <row r="82" ht="15.75" customHeight="1">
      <c r="A82" s="146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  <c r="AK82" s="147"/>
    </row>
    <row r="83" ht="15.75" customHeight="1">
      <c r="A83" s="146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</row>
    <row r="84" ht="15.75" customHeight="1">
      <c r="A84" s="146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  <c r="AJ84" s="147"/>
      <c r="AK84" s="147"/>
    </row>
    <row r="85" ht="15.75" customHeight="1">
      <c r="A85" s="146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  <c r="AK85" s="147"/>
    </row>
    <row r="86" ht="15.75" customHeight="1">
      <c r="A86" s="146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  <c r="AJ86" s="147"/>
      <c r="AK86" s="147"/>
    </row>
    <row r="87" ht="15.75" customHeight="1">
      <c r="A87" s="146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  <c r="AJ87" s="147"/>
      <c r="AK87" s="147"/>
    </row>
    <row r="88" ht="15.75" customHeight="1">
      <c r="A88" s="146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  <c r="AJ88" s="147"/>
      <c r="AK88" s="147"/>
    </row>
    <row r="89" ht="15.75" customHeight="1">
      <c r="A89" s="146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  <c r="AJ89" s="147"/>
      <c r="AK89" s="147"/>
    </row>
    <row r="90" ht="15.75" customHeight="1">
      <c r="A90" s="146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  <c r="AJ90" s="147"/>
      <c r="AK90" s="147"/>
    </row>
    <row r="91" ht="15.75" customHeight="1">
      <c r="A91" s="146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</row>
    <row r="92" ht="15.75" customHeight="1">
      <c r="A92" s="146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  <c r="AJ92" s="147"/>
      <c r="AK92" s="147"/>
    </row>
    <row r="93" ht="15.75" customHeight="1">
      <c r="A93" s="146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</row>
    <row r="94" ht="15.75" customHeight="1">
      <c r="A94" s="146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  <c r="AJ94" s="147"/>
      <c r="AK94" s="147"/>
    </row>
    <row r="95" ht="15.75" customHeight="1">
      <c r="A95" s="146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  <c r="AJ95" s="147"/>
      <c r="AK95" s="147"/>
    </row>
    <row r="96" ht="15.75" customHeight="1">
      <c r="A96" s="146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  <c r="AJ96" s="147"/>
      <c r="AK96" s="147"/>
    </row>
    <row r="97" ht="15.75" customHeight="1">
      <c r="A97" s="146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  <c r="AJ97" s="147"/>
      <c r="AK97" s="147"/>
    </row>
    <row r="98" ht="15.75" customHeight="1">
      <c r="A98" s="146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  <c r="AJ98" s="147"/>
      <c r="AK98" s="147"/>
    </row>
    <row r="99" ht="15.75" customHeight="1">
      <c r="A99" s="146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  <c r="AJ99" s="147"/>
      <c r="AK99" s="147"/>
    </row>
    <row r="100" ht="15.75" customHeight="1">
      <c r="A100" s="146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  <c r="AJ100" s="147"/>
      <c r="AK100" s="147"/>
    </row>
    <row r="101" ht="15.75" customHeight="1">
      <c r="A101" s="146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  <c r="AJ101" s="147"/>
      <c r="AK101" s="147"/>
    </row>
    <row r="102" ht="15.75" customHeight="1">
      <c r="A102" s="146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  <c r="AJ102" s="147"/>
      <c r="AK102" s="147"/>
    </row>
    <row r="103" ht="15.75" customHeight="1">
      <c r="A103" s="146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</row>
    <row r="104" ht="15.75" customHeight="1">
      <c r="A104" s="146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  <c r="AJ104" s="147"/>
      <c r="AK104" s="147"/>
    </row>
    <row r="105" ht="15.75" customHeight="1">
      <c r="A105" s="146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  <c r="AJ105" s="147"/>
      <c r="AK105" s="147"/>
    </row>
    <row r="106" ht="15.75" customHeight="1">
      <c r="A106" s="146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  <c r="AJ106" s="147"/>
      <c r="AK106" s="147"/>
    </row>
    <row r="107" ht="15.75" customHeight="1">
      <c r="A107" s="146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</row>
    <row r="108" ht="15.75" customHeight="1">
      <c r="A108" s="146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</row>
    <row r="109" ht="15.75" customHeight="1">
      <c r="A109" s="146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  <c r="AJ109" s="147"/>
      <c r="AK109" s="147"/>
    </row>
    <row r="110" ht="15.75" customHeight="1">
      <c r="A110" s="146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  <c r="AJ110" s="147"/>
      <c r="AK110" s="147"/>
    </row>
    <row r="111" ht="15.75" customHeight="1">
      <c r="A111" s="146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  <c r="AJ111" s="147"/>
      <c r="AK111" s="147"/>
    </row>
    <row r="112" ht="15.75" customHeight="1">
      <c r="A112" s="146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  <c r="AJ112" s="147"/>
      <c r="AK112" s="147"/>
    </row>
    <row r="113" ht="15.75" customHeight="1">
      <c r="A113" s="146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</row>
    <row r="114" ht="15.75" customHeight="1">
      <c r="A114" s="146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  <c r="AJ114" s="147"/>
      <c r="AK114" s="147"/>
    </row>
    <row r="115" ht="15.75" customHeight="1">
      <c r="A115" s="146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  <c r="AJ115" s="147"/>
      <c r="AK115" s="147"/>
    </row>
    <row r="116" ht="15.75" customHeight="1">
      <c r="A116" s="146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  <c r="AJ116" s="147"/>
      <c r="AK116" s="147"/>
    </row>
    <row r="117" ht="15.75" customHeight="1">
      <c r="A117" s="146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</row>
    <row r="118" ht="15.75" customHeight="1">
      <c r="A118" s="146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  <c r="AJ118" s="147"/>
      <c r="AK118" s="147"/>
    </row>
    <row r="119" ht="15.75" customHeight="1">
      <c r="A119" s="146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  <c r="AJ119" s="147"/>
      <c r="AK119" s="147"/>
    </row>
    <row r="120" ht="15.75" customHeight="1">
      <c r="A120" s="146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  <c r="AJ120" s="147"/>
      <c r="AK120" s="147"/>
    </row>
    <row r="121" ht="15.75" customHeight="1">
      <c r="A121" s="146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  <c r="AJ121" s="147"/>
      <c r="AK121" s="147"/>
    </row>
    <row r="122" ht="15.75" customHeight="1">
      <c r="A122" s="146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  <c r="AJ122" s="147"/>
      <c r="AK122" s="147"/>
    </row>
    <row r="123" ht="15.75" customHeight="1">
      <c r="A123" s="146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  <c r="AJ123" s="147"/>
      <c r="AK123" s="147"/>
    </row>
    <row r="124" ht="15.75" customHeight="1">
      <c r="A124" s="146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  <c r="AJ124" s="147"/>
      <c r="AK124" s="147"/>
    </row>
    <row r="125" ht="15.75" customHeight="1">
      <c r="A125" s="146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  <c r="AJ125" s="147"/>
      <c r="AK125" s="147"/>
    </row>
    <row r="126" ht="15.75" customHeight="1">
      <c r="A126" s="146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  <c r="AJ126" s="147"/>
      <c r="AK126" s="147"/>
    </row>
    <row r="127" ht="15.75" customHeight="1">
      <c r="A127" s="146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  <c r="AJ127" s="147"/>
      <c r="AK127" s="147"/>
    </row>
    <row r="128" ht="15.75" customHeight="1">
      <c r="A128" s="146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  <c r="AJ128" s="147"/>
      <c r="AK128" s="147"/>
    </row>
    <row r="129" ht="15.75" customHeight="1">
      <c r="A129" s="146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147"/>
      <c r="AJ129" s="147"/>
      <c r="AK129" s="147"/>
    </row>
    <row r="130" ht="15.75" customHeight="1">
      <c r="A130" s="146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47"/>
      <c r="AJ130" s="147"/>
      <c r="AK130" s="147"/>
    </row>
    <row r="131" ht="15.75" customHeight="1">
      <c r="A131" s="146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  <c r="AJ131" s="147"/>
      <c r="AK131" s="147"/>
    </row>
    <row r="132" ht="15.75" customHeight="1">
      <c r="A132" s="146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147"/>
      <c r="AJ132" s="147"/>
      <c r="AK132" s="147"/>
    </row>
    <row r="133" ht="15.75" customHeight="1">
      <c r="A133" s="146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</row>
    <row r="134" ht="15.75" customHeight="1">
      <c r="A134" s="146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  <c r="AJ134" s="147"/>
      <c r="AK134" s="147"/>
    </row>
    <row r="135" ht="15.75" customHeight="1">
      <c r="A135" s="146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  <c r="AJ135" s="147"/>
      <c r="AK135" s="147"/>
    </row>
    <row r="136" ht="15.75" customHeight="1">
      <c r="A136" s="146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147"/>
      <c r="AJ136" s="147"/>
      <c r="AK136" s="147"/>
    </row>
    <row r="137" ht="15.75" customHeight="1">
      <c r="A137" s="146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  <c r="AJ137" s="147"/>
      <c r="AK137" s="147"/>
    </row>
    <row r="138" ht="15.75" customHeight="1">
      <c r="A138" s="146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  <c r="AJ138" s="147"/>
      <c r="AK138" s="147"/>
    </row>
    <row r="139" ht="15.75" customHeight="1">
      <c r="A139" s="146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  <c r="AJ139" s="147"/>
      <c r="AK139" s="147"/>
    </row>
    <row r="140" ht="15.75" customHeight="1">
      <c r="A140" s="146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  <c r="AJ140" s="147"/>
      <c r="AK140" s="147"/>
    </row>
    <row r="141" ht="15.75" customHeight="1">
      <c r="A141" s="146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47"/>
      <c r="AJ141" s="147"/>
      <c r="AK141" s="147"/>
    </row>
    <row r="142" ht="15.75" customHeight="1">
      <c r="A142" s="146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147"/>
      <c r="AJ142" s="147"/>
      <c r="AK142" s="147"/>
    </row>
    <row r="143" ht="15.75" customHeight="1">
      <c r="A143" s="146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  <c r="AI143" s="147"/>
      <c r="AJ143" s="147"/>
      <c r="AK143" s="147"/>
    </row>
    <row r="144" ht="15.75" customHeight="1">
      <c r="A144" s="146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  <c r="AJ144" s="147"/>
      <c r="AK144" s="147"/>
    </row>
    <row r="145" ht="15.75" customHeight="1">
      <c r="A145" s="146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  <c r="AI145" s="147"/>
      <c r="AJ145" s="147"/>
      <c r="AK145" s="147"/>
    </row>
    <row r="146" ht="15.75" customHeight="1">
      <c r="A146" s="146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  <c r="AJ146" s="147"/>
      <c r="AK146" s="147"/>
    </row>
    <row r="147" ht="15.75" customHeight="1">
      <c r="A147" s="146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147"/>
      <c r="AJ147" s="147"/>
      <c r="AK147" s="147"/>
    </row>
    <row r="148" ht="15.75" customHeight="1">
      <c r="A148" s="146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  <c r="AJ148" s="147"/>
      <c r="AK148" s="147"/>
    </row>
    <row r="149" ht="15.75" customHeight="1">
      <c r="A149" s="146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  <c r="AH149" s="147"/>
      <c r="AI149" s="147"/>
      <c r="AJ149" s="147"/>
      <c r="AK149" s="147"/>
    </row>
    <row r="150" ht="15.75" customHeight="1">
      <c r="A150" s="146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  <c r="AC150" s="147"/>
      <c r="AD150" s="147"/>
      <c r="AE150" s="147"/>
      <c r="AF150" s="147"/>
      <c r="AG150" s="147"/>
      <c r="AH150" s="147"/>
      <c r="AI150" s="147"/>
      <c r="AJ150" s="147"/>
      <c r="AK150" s="147"/>
    </row>
    <row r="151" ht="15.75" customHeight="1">
      <c r="A151" s="146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147"/>
      <c r="AE151" s="147"/>
      <c r="AF151" s="147"/>
      <c r="AG151" s="147"/>
      <c r="AH151" s="147"/>
      <c r="AI151" s="147"/>
      <c r="AJ151" s="147"/>
      <c r="AK151" s="147"/>
    </row>
    <row r="152" ht="15.75" customHeight="1">
      <c r="A152" s="146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  <c r="AH152" s="147"/>
      <c r="AI152" s="147"/>
      <c r="AJ152" s="147"/>
      <c r="AK152" s="147"/>
    </row>
    <row r="153" ht="15.75" customHeight="1">
      <c r="A153" s="146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  <c r="AC153" s="147"/>
      <c r="AD153" s="147"/>
      <c r="AE153" s="147"/>
      <c r="AF153" s="147"/>
      <c r="AG153" s="147"/>
      <c r="AH153" s="147"/>
      <c r="AI153" s="147"/>
      <c r="AJ153" s="147"/>
      <c r="AK153" s="147"/>
    </row>
    <row r="154" ht="15.75" customHeight="1">
      <c r="A154" s="146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  <c r="AH154" s="147"/>
      <c r="AI154" s="147"/>
      <c r="AJ154" s="147"/>
      <c r="AK154" s="147"/>
    </row>
    <row r="155" ht="15.75" customHeight="1">
      <c r="A155" s="146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  <c r="AJ155" s="147"/>
      <c r="AK155" s="147"/>
    </row>
    <row r="156" ht="15.75" customHeight="1">
      <c r="A156" s="146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  <c r="AJ156" s="147"/>
      <c r="AK156" s="147"/>
    </row>
    <row r="157" ht="15.75" customHeight="1">
      <c r="A157" s="146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  <c r="AJ157" s="147"/>
      <c r="AK157" s="147"/>
    </row>
    <row r="158" ht="15.75" customHeight="1">
      <c r="A158" s="146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</row>
    <row r="159" ht="15.75" customHeight="1">
      <c r="A159" s="146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  <c r="AJ159" s="147"/>
      <c r="AK159" s="147"/>
    </row>
    <row r="160" ht="15.75" customHeight="1">
      <c r="A160" s="146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  <c r="AH160" s="147"/>
      <c r="AI160" s="147"/>
      <c r="AJ160" s="147"/>
      <c r="AK160" s="147"/>
    </row>
    <row r="161" ht="15.75" customHeight="1">
      <c r="A161" s="146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  <c r="AJ161" s="147"/>
      <c r="AK161" s="147"/>
    </row>
    <row r="162" ht="15.75" customHeight="1">
      <c r="A162" s="146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  <c r="AH162" s="147"/>
      <c r="AI162" s="147"/>
      <c r="AJ162" s="147"/>
      <c r="AK162" s="147"/>
    </row>
    <row r="163" ht="15.75" customHeight="1">
      <c r="A163" s="146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  <c r="AJ163" s="147"/>
      <c r="AK163" s="147"/>
    </row>
    <row r="164" ht="15.75" customHeight="1">
      <c r="A164" s="146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  <c r="AH164" s="147"/>
      <c r="AI164" s="147"/>
      <c r="AJ164" s="147"/>
      <c r="AK164" s="147"/>
    </row>
    <row r="165" ht="15.75" customHeight="1">
      <c r="A165" s="146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  <c r="AH165" s="147"/>
      <c r="AI165" s="147"/>
      <c r="AJ165" s="147"/>
      <c r="AK165" s="147"/>
    </row>
    <row r="166" ht="15.75" customHeight="1">
      <c r="A166" s="146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  <c r="AJ166" s="147"/>
      <c r="AK166" s="147"/>
    </row>
    <row r="167" ht="15.75" customHeight="1">
      <c r="A167" s="146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  <c r="AJ167" s="147"/>
      <c r="AK167" s="147"/>
    </row>
    <row r="168" ht="15.75" customHeight="1">
      <c r="A168" s="146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  <c r="AJ168" s="147"/>
      <c r="AK168" s="147"/>
    </row>
    <row r="169" ht="15.75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  <c r="AJ169" s="147"/>
      <c r="AK169" s="147"/>
    </row>
    <row r="170" ht="15.75" customHeight="1">
      <c r="A170" s="146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  <c r="AJ170" s="147"/>
      <c r="AK170" s="147"/>
    </row>
    <row r="171" ht="15.75" customHeight="1">
      <c r="A171" s="146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  <c r="AJ171" s="147"/>
      <c r="AK171" s="147"/>
    </row>
    <row r="172" ht="15.75" customHeight="1">
      <c r="A172" s="146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  <c r="AJ172" s="147"/>
      <c r="AK172" s="147"/>
    </row>
    <row r="173" ht="15.75" customHeight="1">
      <c r="A173" s="146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  <c r="AJ173" s="147"/>
      <c r="AK173" s="147"/>
    </row>
    <row r="174" ht="15.75" customHeight="1">
      <c r="A174" s="146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  <c r="AJ174" s="147"/>
      <c r="AK174" s="147"/>
    </row>
    <row r="175" ht="15.75" customHeight="1">
      <c r="A175" s="146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  <c r="AJ175" s="147"/>
      <c r="AK175" s="147"/>
    </row>
    <row r="176" ht="15.75" customHeight="1">
      <c r="A176" s="146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/>
      <c r="AI176" s="147"/>
      <c r="AJ176" s="147"/>
      <c r="AK176" s="147"/>
    </row>
    <row r="177" ht="15.75" customHeight="1">
      <c r="A177" s="146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  <c r="AJ177" s="147"/>
      <c r="AK177" s="147"/>
    </row>
    <row r="178" ht="15.75" customHeight="1">
      <c r="A178" s="146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  <c r="AC178" s="147"/>
      <c r="AD178" s="147"/>
      <c r="AE178" s="147"/>
      <c r="AF178" s="147"/>
      <c r="AG178" s="147"/>
      <c r="AH178" s="147"/>
      <c r="AI178" s="147"/>
      <c r="AJ178" s="147"/>
      <c r="AK178" s="147"/>
    </row>
    <row r="179" ht="15.75" customHeight="1">
      <c r="A179" s="146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  <c r="AH179" s="147"/>
      <c r="AI179" s="147"/>
      <c r="AJ179" s="147"/>
      <c r="AK179" s="147"/>
    </row>
    <row r="180" ht="15.75" customHeight="1">
      <c r="A180" s="146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/>
      <c r="AJ180" s="147"/>
      <c r="AK180" s="147"/>
    </row>
    <row r="181" ht="15.75" customHeight="1">
      <c r="A181" s="146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47"/>
      <c r="AF181" s="147"/>
      <c r="AG181" s="147"/>
      <c r="AH181" s="147"/>
      <c r="AI181" s="147"/>
      <c r="AJ181" s="147"/>
      <c r="AK181" s="147"/>
    </row>
    <row r="182" ht="15.75" customHeight="1">
      <c r="A182" s="146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  <c r="AJ182" s="147"/>
      <c r="AK182" s="147"/>
    </row>
    <row r="183" ht="15.75" customHeight="1">
      <c r="A183" s="146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</row>
    <row r="184" ht="15.75" customHeight="1">
      <c r="A184" s="146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  <c r="AC184" s="147"/>
      <c r="AD184" s="147"/>
      <c r="AE184" s="147"/>
      <c r="AF184" s="147"/>
      <c r="AG184" s="147"/>
      <c r="AH184" s="147"/>
      <c r="AI184" s="147"/>
      <c r="AJ184" s="147"/>
      <c r="AK184" s="147"/>
    </row>
    <row r="185" ht="15.75" customHeight="1">
      <c r="A185" s="146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  <c r="AJ185" s="147"/>
      <c r="AK185" s="147"/>
    </row>
    <row r="186" ht="15.75" customHeight="1">
      <c r="A186" s="146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147"/>
      <c r="AF186" s="147"/>
      <c r="AG186" s="147"/>
      <c r="AH186" s="147"/>
      <c r="AI186" s="147"/>
      <c r="AJ186" s="147"/>
      <c r="AK186" s="147"/>
    </row>
    <row r="187" ht="15.75" customHeight="1">
      <c r="A187" s="146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  <c r="AJ187" s="147"/>
      <c r="AK187" s="147"/>
    </row>
    <row r="188" ht="15.75" customHeight="1">
      <c r="A188" s="146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  <c r="AH188" s="147"/>
      <c r="AI188" s="147"/>
      <c r="AJ188" s="147"/>
      <c r="AK188" s="147"/>
    </row>
    <row r="189" ht="15.75" customHeight="1">
      <c r="A189" s="146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/>
      <c r="AF189" s="147"/>
      <c r="AG189" s="147"/>
      <c r="AH189" s="147"/>
      <c r="AI189" s="147"/>
      <c r="AJ189" s="147"/>
      <c r="AK189" s="147"/>
    </row>
    <row r="190" ht="15.75" customHeight="1">
      <c r="A190" s="146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/>
      <c r="AI190" s="147"/>
      <c r="AJ190" s="147"/>
      <c r="AK190" s="147"/>
    </row>
    <row r="191" ht="15.75" customHeight="1">
      <c r="A191" s="146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  <c r="AJ191" s="147"/>
      <c r="AK191" s="147"/>
    </row>
    <row r="192" ht="15.75" customHeight="1">
      <c r="A192" s="146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  <c r="AJ192" s="147"/>
      <c r="AK192" s="147"/>
    </row>
    <row r="193" ht="15.75" customHeight="1">
      <c r="A193" s="146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  <c r="AJ193" s="147"/>
      <c r="AK193" s="147"/>
    </row>
    <row r="194" ht="15.75" customHeight="1">
      <c r="A194" s="146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  <c r="AJ194" s="147"/>
      <c r="AK194" s="147"/>
    </row>
    <row r="195" ht="15.75" customHeight="1">
      <c r="A195" s="146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  <c r="AJ195" s="147"/>
      <c r="AK195" s="147"/>
    </row>
    <row r="196" ht="15.75" customHeight="1">
      <c r="A196" s="146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  <c r="AJ196" s="147"/>
      <c r="AK196" s="147"/>
    </row>
    <row r="197" ht="15.75" customHeight="1">
      <c r="A197" s="146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  <c r="AJ197" s="147"/>
      <c r="AK197" s="147"/>
    </row>
    <row r="198" ht="15.75" customHeight="1">
      <c r="A198" s="146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  <c r="AJ198" s="147"/>
      <c r="AK198" s="147"/>
    </row>
    <row r="199" ht="15.75" customHeight="1">
      <c r="A199" s="146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  <c r="AJ199" s="147"/>
      <c r="AK199" s="147"/>
    </row>
    <row r="200" ht="15.75" customHeight="1">
      <c r="A200" s="146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  <c r="AJ200" s="147"/>
      <c r="AK200" s="147"/>
    </row>
    <row r="201" ht="15.75" customHeight="1">
      <c r="A201" s="146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  <c r="AJ201" s="147"/>
      <c r="AK201" s="147"/>
    </row>
    <row r="202" ht="15.75" customHeight="1">
      <c r="A202" s="146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  <c r="AH202" s="147"/>
      <c r="AI202" s="147"/>
      <c r="AJ202" s="147"/>
      <c r="AK202" s="147"/>
    </row>
    <row r="203" ht="15.75" customHeight="1">
      <c r="A203" s="146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  <c r="AJ203" s="147"/>
      <c r="AK203" s="147"/>
    </row>
    <row r="204" ht="15.75" customHeight="1">
      <c r="A204" s="146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  <c r="AJ204" s="147"/>
      <c r="AK204" s="147"/>
    </row>
    <row r="205" ht="15.75" customHeight="1">
      <c r="A205" s="146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  <c r="AJ205" s="147"/>
      <c r="AK205" s="147"/>
    </row>
    <row r="206" ht="15.75" customHeight="1">
      <c r="A206" s="146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  <c r="AJ206" s="147"/>
      <c r="AK206" s="147"/>
    </row>
    <row r="207" ht="15.75" customHeight="1">
      <c r="A207" s="146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  <c r="AJ207" s="147"/>
      <c r="AK207" s="147"/>
    </row>
    <row r="208" ht="15.75" customHeight="1">
      <c r="A208" s="146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  <c r="AC208" s="147"/>
      <c r="AD208" s="147"/>
      <c r="AE208" s="147"/>
      <c r="AF208" s="147"/>
      <c r="AG208" s="147"/>
      <c r="AH208" s="147"/>
      <c r="AI208" s="147"/>
      <c r="AJ208" s="147"/>
      <c r="AK208" s="147"/>
    </row>
    <row r="209" ht="15.75" customHeight="1">
      <c r="A209" s="146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  <c r="AJ209" s="147"/>
      <c r="AK209" s="147"/>
    </row>
    <row r="210" ht="15.75" customHeight="1">
      <c r="A210" s="146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  <c r="AH210" s="147"/>
      <c r="AI210" s="147"/>
      <c r="AJ210" s="147"/>
      <c r="AK210" s="147"/>
    </row>
    <row r="211" ht="15.75" customHeight="1">
      <c r="A211" s="146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  <c r="AJ211" s="147"/>
      <c r="AK211" s="147"/>
    </row>
    <row r="212" ht="15.75" customHeight="1">
      <c r="A212" s="146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  <c r="AJ212" s="147"/>
      <c r="AK212" s="147"/>
    </row>
    <row r="213" ht="15.75" customHeight="1">
      <c r="A213" s="146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  <c r="AJ213" s="147"/>
      <c r="AK213" s="147"/>
    </row>
    <row r="214" ht="15.75" customHeight="1">
      <c r="A214" s="146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  <c r="AH214" s="147"/>
      <c r="AI214" s="147"/>
      <c r="AJ214" s="147"/>
      <c r="AK214" s="147"/>
    </row>
    <row r="215" ht="15.75" customHeight="1">
      <c r="A215" s="146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  <c r="AH215" s="147"/>
      <c r="AI215" s="147"/>
      <c r="AJ215" s="147"/>
      <c r="AK215" s="147"/>
    </row>
    <row r="216" ht="15.75" customHeight="1">
      <c r="A216" s="146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  <c r="AH216" s="147"/>
      <c r="AI216" s="147"/>
      <c r="AJ216" s="147"/>
      <c r="AK216" s="147"/>
    </row>
    <row r="217" ht="15.75" customHeight="1">
      <c r="A217" s="146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  <c r="AJ217" s="147"/>
      <c r="AK217" s="147"/>
    </row>
    <row r="218" ht="15.75" customHeight="1">
      <c r="A218" s="146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  <c r="AH218" s="147"/>
      <c r="AI218" s="147"/>
      <c r="AJ218" s="147"/>
      <c r="AK218" s="147"/>
    </row>
    <row r="219" ht="15.75" customHeight="1">
      <c r="A219" s="146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/>
      <c r="AI219" s="147"/>
      <c r="AJ219" s="147"/>
      <c r="AK219" s="147"/>
    </row>
    <row r="220" ht="15.75" customHeight="1">
      <c r="A220" s="146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  <c r="AJ220" s="147"/>
      <c r="AK220" s="147"/>
    </row>
    <row r="221" ht="15.75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  <c r="AJ221" s="147"/>
      <c r="AK221" s="147"/>
    </row>
    <row r="222" ht="15.75" customHeight="1">
      <c r="A222" s="146"/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147"/>
      <c r="AF222" s="147"/>
      <c r="AG222" s="147"/>
      <c r="AH222" s="147"/>
      <c r="AI222" s="147"/>
      <c r="AJ222" s="147"/>
      <c r="AK222" s="147"/>
    </row>
    <row r="223" ht="15.75" customHeight="1">
      <c r="A223" s="146"/>
      <c r="B223" s="147"/>
      <c r="C223" s="147"/>
      <c r="D223" s="147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  <c r="AC223" s="147"/>
      <c r="AD223" s="147"/>
      <c r="AE223" s="147"/>
      <c r="AF223" s="147"/>
      <c r="AG223" s="147"/>
      <c r="AH223" s="147"/>
      <c r="AI223" s="147"/>
      <c r="AJ223" s="147"/>
      <c r="AK223" s="147"/>
    </row>
    <row r="224" ht="15.75" customHeight="1">
      <c r="A224" s="146"/>
      <c r="B224" s="147"/>
      <c r="C224" s="147"/>
      <c r="D224" s="147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  <c r="AC224" s="147"/>
      <c r="AD224" s="147"/>
      <c r="AE224" s="147"/>
      <c r="AF224" s="147"/>
      <c r="AG224" s="147"/>
      <c r="AH224" s="147"/>
      <c r="AI224" s="147"/>
      <c r="AJ224" s="147"/>
      <c r="AK224" s="147"/>
    </row>
    <row r="225" ht="15.75" customHeight="1">
      <c r="A225" s="146"/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7"/>
      <c r="AH225" s="147"/>
      <c r="AI225" s="147"/>
      <c r="AJ225" s="147"/>
      <c r="AK225" s="147"/>
    </row>
    <row r="226" ht="15.75" customHeight="1">
      <c r="A226" s="146"/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  <c r="AC226" s="147"/>
      <c r="AD226" s="147"/>
      <c r="AE226" s="147"/>
      <c r="AF226" s="147"/>
      <c r="AG226" s="147"/>
      <c r="AH226" s="147"/>
      <c r="AI226" s="147"/>
      <c r="AJ226" s="147"/>
      <c r="AK226" s="147"/>
    </row>
    <row r="227" ht="15.75" customHeight="1">
      <c r="A227" s="146"/>
      <c r="B227" s="147"/>
      <c r="C227" s="147"/>
      <c r="D227" s="147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  <c r="AC227" s="147"/>
      <c r="AD227" s="147"/>
      <c r="AE227" s="147"/>
      <c r="AF227" s="147"/>
      <c r="AG227" s="147"/>
      <c r="AH227" s="147"/>
      <c r="AI227" s="147"/>
      <c r="AJ227" s="147"/>
      <c r="AK227" s="147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S2:S13 T13:AE13 AG13:AH13 S16:S17 T17:AE17 AG17:AH17 S20:S27 T27:AE27 AG27:AH27">
    <cfRule type="expression" dxfId="0" priority="1">
      <formula>isformula(S2)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13"/>
    <col customWidth="1" min="2" max="2" width="8.0"/>
    <col customWidth="1" min="3" max="3" width="7.13"/>
    <col customWidth="1" min="4" max="4" width="11.5"/>
    <col customWidth="1" min="5" max="5" width="23.88"/>
    <col customWidth="1" min="6" max="6" width="21.63"/>
    <col customWidth="1" min="7" max="7" width="17.0"/>
    <col customWidth="1" min="8" max="8" width="28.25"/>
    <col customWidth="1" min="9" max="9" width="32.0"/>
    <col customWidth="1" min="10" max="10" width="8.25"/>
    <col customWidth="1" min="11" max="11" width="5.38"/>
    <col customWidth="1" min="12" max="12" width="12.38"/>
    <col customWidth="1" min="13" max="13" width="9.38"/>
    <col customWidth="1" min="14" max="14" width="9.63"/>
    <col customWidth="1" min="15" max="18" width="8.0"/>
    <col customWidth="1" min="32" max="32" width="5.13"/>
    <col customWidth="1" min="33" max="33" width="10.25"/>
    <col customWidth="1" min="34" max="34" width="10.75"/>
    <col customWidth="1" min="35" max="37" width="5.13"/>
  </cols>
  <sheetData>
    <row r="1">
      <c r="A1" s="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16</v>
      </c>
      <c r="G1" s="5" t="s">
        <v>18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5" t="s">
        <v>13</v>
      </c>
      <c r="O1" s="5" t="s">
        <v>14</v>
      </c>
      <c r="P1" s="10" t="s">
        <v>15</v>
      </c>
      <c r="Q1" s="10" t="s">
        <v>17</v>
      </c>
      <c r="R1" s="7" t="s">
        <v>19</v>
      </c>
      <c r="S1" s="8" t="s">
        <v>20</v>
      </c>
      <c r="T1" s="9">
        <v>46023.0</v>
      </c>
      <c r="U1" s="9">
        <v>46054.0</v>
      </c>
      <c r="V1" s="9">
        <v>46082.0</v>
      </c>
      <c r="W1" s="9">
        <v>46113.0</v>
      </c>
      <c r="X1" s="9">
        <v>46143.0</v>
      </c>
      <c r="Y1" s="9">
        <v>46174.0</v>
      </c>
      <c r="Z1" s="9">
        <v>46204.0</v>
      </c>
      <c r="AA1" s="9">
        <v>46235.0</v>
      </c>
      <c r="AB1" s="9">
        <v>46266.0</v>
      </c>
      <c r="AC1" s="9">
        <v>46296.0</v>
      </c>
      <c r="AD1" s="9">
        <v>46327.0</v>
      </c>
      <c r="AE1" s="9">
        <v>46357.0</v>
      </c>
      <c r="AF1" s="16"/>
      <c r="AG1" s="12" t="s">
        <v>21</v>
      </c>
      <c r="AH1" s="13" t="s">
        <v>22</v>
      </c>
    </row>
    <row r="2">
      <c r="A2" s="19">
        <v>1.0</v>
      </c>
      <c r="B2" s="15" t="s">
        <v>23</v>
      </c>
      <c r="C2" s="15" t="s">
        <v>24</v>
      </c>
      <c r="D2" s="15" t="s">
        <v>25</v>
      </c>
      <c r="E2" s="15" t="s">
        <v>26</v>
      </c>
      <c r="F2" s="21" t="s">
        <v>32</v>
      </c>
      <c r="G2" s="22">
        <v>2025.0</v>
      </c>
      <c r="H2" s="23" t="s">
        <v>33</v>
      </c>
      <c r="I2" s="23" t="s">
        <v>34</v>
      </c>
      <c r="J2" s="24" t="s">
        <v>35</v>
      </c>
      <c r="K2" s="24" t="s">
        <v>36</v>
      </c>
      <c r="L2" s="25"/>
      <c r="M2" s="27"/>
      <c r="N2" s="29">
        <v>38500.0</v>
      </c>
      <c r="O2" s="31"/>
      <c r="P2" s="31"/>
      <c r="Q2" s="32"/>
      <c r="R2" s="31"/>
      <c r="S2" s="20">
        <f t="shared" ref="S2:S29" si="1">sum(T2:AE2)</f>
        <v>77000</v>
      </c>
      <c r="T2" s="37">
        <f t="shared" ref="T2:T5" si="2">N2</f>
        <v>38500</v>
      </c>
      <c r="U2" s="37">
        <v>38500.0</v>
      </c>
      <c r="V2" s="37"/>
      <c r="W2" s="37"/>
      <c r="X2" s="37"/>
      <c r="Y2" s="37"/>
      <c r="Z2" s="37"/>
      <c r="AA2" s="37"/>
      <c r="AB2" s="37"/>
      <c r="AC2" s="37"/>
      <c r="AD2" s="37"/>
      <c r="AE2" s="37"/>
      <c r="AF2" s="43"/>
      <c r="AG2" s="44">
        <v>77000.0</v>
      </c>
      <c r="AH2" s="46"/>
      <c r="AI2" s="48"/>
      <c r="AJ2" s="48"/>
      <c r="AK2" s="48"/>
    </row>
    <row r="3">
      <c r="A3" s="51">
        <v>2.0</v>
      </c>
      <c r="B3" s="15" t="s">
        <v>23</v>
      </c>
      <c r="C3" s="15" t="s">
        <v>24</v>
      </c>
      <c r="D3" s="15" t="s">
        <v>25</v>
      </c>
      <c r="E3" s="15" t="s">
        <v>26</v>
      </c>
      <c r="F3" s="21" t="s">
        <v>32</v>
      </c>
      <c r="G3" s="22">
        <v>2025.0</v>
      </c>
      <c r="H3" s="23" t="s">
        <v>41</v>
      </c>
      <c r="I3" s="23" t="s">
        <v>42</v>
      </c>
      <c r="J3" s="24" t="s">
        <v>35</v>
      </c>
      <c r="K3" s="24" t="s">
        <v>36</v>
      </c>
      <c r="L3" s="57"/>
      <c r="M3" s="27"/>
      <c r="N3" s="29">
        <v>33000.0</v>
      </c>
      <c r="O3" s="31"/>
      <c r="P3" s="31"/>
      <c r="Q3" s="32"/>
      <c r="R3" s="31"/>
      <c r="S3" s="20">
        <f t="shared" si="1"/>
        <v>66000</v>
      </c>
      <c r="T3" s="37">
        <f t="shared" si="2"/>
        <v>33000</v>
      </c>
      <c r="U3" s="20">
        <v>33000.0</v>
      </c>
      <c r="V3" s="20"/>
      <c r="W3" s="20"/>
      <c r="X3" s="20"/>
      <c r="Y3" s="20"/>
      <c r="Z3" s="20"/>
      <c r="AA3" s="20"/>
      <c r="AB3" s="20"/>
      <c r="AC3" s="20"/>
      <c r="AD3" s="20"/>
      <c r="AE3" s="20"/>
      <c r="AF3" s="43"/>
      <c r="AG3" s="44">
        <v>66000.0</v>
      </c>
      <c r="AH3" s="46"/>
      <c r="AI3" s="48"/>
      <c r="AJ3" s="48"/>
      <c r="AK3" s="48"/>
    </row>
    <row r="4" ht="14.25" customHeight="1">
      <c r="A4" s="19">
        <v>3.0</v>
      </c>
      <c r="B4" s="15" t="s">
        <v>23</v>
      </c>
      <c r="C4" s="15" t="s">
        <v>24</v>
      </c>
      <c r="D4" s="15" t="s">
        <v>25</v>
      </c>
      <c r="E4" s="15" t="s">
        <v>26</v>
      </c>
      <c r="F4" s="21" t="s">
        <v>32</v>
      </c>
      <c r="G4" s="22">
        <v>2025.0</v>
      </c>
      <c r="H4" s="23" t="s">
        <v>43</v>
      </c>
      <c r="I4" s="23" t="s">
        <v>44</v>
      </c>
      <c r="J4" s="24" t="s">
        <v>35</v>
      </c>
      <c r="K4" s="24" t="s">
        <v>36</v>
      </c>
      <c r="L4" s="57"/>
      <c r="M4" s="27"/>
      <c r="N4" s="29">
        <v>38500.0</v>
      </c>
      <c r="O4" s="31"/>
      <c r="P4" s="31"/>
      <c r="Q4" s="32"/>
      <c r="R4" s="31"/>
      <c r="S4" s="20">
        <f t="shared" si="1"/>
        <v>77000</v>
      </c>
      <c r="T4" s="37">
        <f t="shared" si="2"/>
        <v>38500</v>
      </c>
      <c r="U4" s="37">
        <v>38500.0</v>
      </c>
      <c r="V4" s="37"/>
      <c r="W4" s="37"/>
      <c r="X4" s="37"/>
      <c r="Y4" s="37"/>
      <c r="Z4" s="37"/>
      <c r="AA4" s="37"/>
      <c r="AB4" s="37"/>
      <c r="AC4" s="37"/>
      <c r="AD4" s="37"/>
      <c r="AE4" s="37"/>
      <c r="AF4" s="43"/>
      <c r="AG4" s="44">
        <v>77000.0</v>
      </c>
      <c r="AH4" s="46"/>
      <c r="AI4" s="48"/>
      <c r="AJ4" s="48"/>
      <c r="AK4" s="48"/>
    </row>
    <row r="5" ht="14.25" customHeight="1">
      <c r="A5" s="51">
        <v>4.0</v>
      </c>
      <c r="B5" s="15" t="s">
        <v>23</v>
      </c>
      <c r="C5" s="15" t="s">
        <v>24</v>
      </c>
      <c r="D5" s="15" t="s">
        <v>25</v>
      </c>
      <c r="E5" s="15" t="s">
        <v>26</v>
      </c>
      <c r="F5" s="21" t="s">
        <v>32</v>
      </c>
      <c r="G5" s="22">
        <v>2025.0</v>
      </c>
      <c r="H5" s="23" t="s">
        <v>50</v>
      </c>
      <c r="I5" s="23" t="s">
        <v>51</v>
      </c>
      <c r="J5" s="24" t="s">
        <v>35</v>
      </c>
      <c r="K5" s="24" t="s">
        <v>36</v>
      </c>
      <c r="L5" s="57"/>
      <c r="M5" s="27"/>
      <c r="N5" s="29">
        <v>40000.0</v>
      </c>
      <c r="O5" s="31"/>
      <c r="P5" s="31"/>
      <c r="Q5" s="32"/>
      <c r="R5" s="31"/>
      <c r="S5" s="20">
        <f t="shared" si="1"/>
        <v>80000</v>
      </c>
      <c r="T5" s="37">
        <f t="shared" si="2"/>
        <v>40000</v>
      </c>
      <c r="U5" s="37">
        <v>40000.0</v>
      </c>
      <c r="V5" s="37"/>
      <c r="W5" s="37"/>
      <c r="X5" s="37"/>
      <c r="Y5" s="37"/>
      <c r="Z5" s="37"/>
      <c r="AA5" s="37"/>
      <c r="AB5" s="37"/>
      <c r="AC5" s="37"/>
      <c r="AD5" s="37"/>
      <c r="AE5" s="37"/>
      <c r="AF5" s="43"/>
      <c r="AG5" s="44">
        <v>80000.0</v>
      </c>
      <c r="AH5" s="46"/>
      <c r="AI5" s="48"/>
      <c r="AJ5" s="48"/>
      <c r="AK5" s="48"/>
    </row>
    <row r="6">
      <c r="A6" s="62">
        <v>5.0</v>
      </c>
      <c r="B6" s="62" t="s">
        <v>23</v>
      </c>
      <c r="C6" s="62" t="s">
        <v>24</v>
      </c>
      <c r="D6" s="62" t="s">
        <v>25</v>
      </c>
      <c r="E6" s="62" t="s">
        <v>26</v>
      </c>
      <c r="F6" s="79" t="s">
        <v>32</v>
      </c>
      <c r="G6" s="81">
        <v>2025.0</v>
      </c>
      <c r="H6" s="75" t="s">
        <v>53</v>
      </c>
      <c r="I6" s="75" t="s">
        <v>54</v>
      </c>
      <c r="J6" s="84" t="s">
        <v>35</v>
      </c>
      <c r="K6" s="84" t="s">
        <v>36</v>
      </c>
      <c r="L6" s="86"/>
      <c r="M6" s="75"/>
      <c r="N6" s="87">
        <v>84700.0</v>
      </c>
      <c r="O6" s="63">
        <f>N6+R6</f>
        <v>93170</v>
      </c>
      <c r="P6" s="89"/>
      <c r="Q6" s="90">
        <v>10.0</v>
      </c>
      <c r="R6" s="89">
        <f>N6*Q6%</f>
        <v>8470</v>
      </c>
      <c r="S6" s="67">
        <f t="shared" si="1"/>
        <v>1118040</v>
      </c>
      <c r="T6" s="91">
        <f>O6</f>
        <v>93170</v>
      </c>
      <c r="U6" s="91">
        <v>93170.0</v>
      </c>
      <c r="V6" s="91">
        <v>93170.0</v>
      </c>
      <c r="W6" s="91">
        <v>93170.0</v>
      </c>
      <c r="X6" s="91">
        <v>93170.0</v>
      </c>
      <c r="Y6" s="91">
        <v>93170.0</v>
      </c>
      <c r="Z6" s="91">
        <v>93170.0</v>
      </c>
      <c r="AA6" s="91">
        <v>93170.0</v>
      </c>
      <c r="AB6" s="91">
        <v>93170.0</v>
      </c>
      <c r="AC6" s="91">
        <v>93170.0</v>
      </c>
      <c r="AD6" s="91">
        <v>93170.0</v>
      </c>
      <c r="AE6" s="91">
        <v>93170.0</v>
      </c>
      <c r="AF6" s="73"/>
      <c r="AG6" s="74">
        <v>1118040.0</v>
      </c>
      <c r="AH6" s="74"/>
      <c r="AI6" s="48"/>
      <c r="AJ6" s="48"/>
      <c r="AK6" s="48"/>
    </row>
    <row r="7">
      <c r="A7" s="92">
        <v>6.0</v>
      </c>
      <c r="B7" s="92" t="s">
        <v>23</v>
      </c>
      <c r="C7" s="92" t="s">
        <v>24</v>
      </c>
      <c r="D7" s="92" t="s">
        <v>25</v>
      </c>
      <c r="E7" s="92" t="s">
        <v>26</v>
      </c>
      <c r="F7" s="93" t="s">
        <v>32</v>
      </c>
      <c r="G7" s="94">
        <v>2025.0</v>
      </c>
      <c r="H7" s="95" t="s">
        <v>55</v>
      </c>
      <c r="I7" s="95" t="s">
        <v>56</v>
      </c>
      <c r="J7" s="96" t="s">
        <v>35</v>
      </c>
      <c r="K7" s="96" t="s">
        <v>36</v>
      </c>
      <c r="L7" s="98"/>
      <c r="M7" s="95"/>
      <c r="N7" s="99">
        <v>53240.0</v>
      </c>
      <c r="O7" s="100"/>
      <c r="P7" s="102"/>
      <c r="Q7" s="104"/>
      <c r="R7" s="102"/>
      <c r="S7" s="106">
        <f t="shared" si="1"/>
        <v>12422</v>
      </c>
      <c r="T7" s="107">
        <v>12422.0</v>
      </c>
      <c r="U7" s="107" t="s">
        <v>37</v>
      </c>
      <c r="V7" s="107" t="s">
        <v>37</v>
      </c>
      <c r="W7" s="107" t="s">
        <v>37</v>
      </c>
      <c r="X7" s="107" t="s">
        <v>37</v>
      </c>
      <c r="Y7" s="107" t="s">
        <v>37</v>
      </c>
      <c r="Z7" s="107" t="s">
        <v>37</v>
      </c>
      <c r="AA7" s="107" t="s">
        <v>37</v>
      </c>
      <c r="AB7" s="107" t="s">
        <v>37</v>
      </c>
      <c r="AC7" s="107" t="s">
        <v>37</v>
      </c>
      <c r="AD7" s="107" t="s">
        <v>37</v>
      </c>
      <c r="AE7" s="107" t="s">
        <v>37</v>
      </c>
      <c r="AF7" s="109"/>
      <c r="AG7" s="110">
        <v>12422.0</v>
      </c>
      <c r="AH7" s="110"/>
      <c r="AI7" s="48"/>
      <c r="AJ7" s="48"/>
      <c r="AK7" s="48"/>
    </row>
    <row r="8">
      <c r="A8" s="92">
        <v>7.0</v>
      </c>
      <c r="B8" s="92" t="s">
        <v>23</v>
      </c>
      <c r="C8" s="92" t="s">
        <v>24</v>
      </c>
      <c r="D8" s="92" t="s">
        <v>25</v>
      </c>
      <c r="E8" s="92" t="s">
        <v>26</v>
      </c>
      <c r="F8" s="93" t="s">
        <v>32</v>
      </c>
      <c r="G8" s="94">
        <v>2025.0</v>
      </c>
      <c r="H8" s="111" t="s">
        <v>57</v>
      </c>
      <c r="I8" s="95" t="s">
        <v>58</v>
      </c>
      <c r="J8" s="112" t="s">
        <v>35</v>
      </c>
      <c r="K8" s="112" t="s">
        <v>36</v>
      </c>
      <c r="L8" s="113"/>
      <c r="M8" s="95"/>
      <c r="N8" s="99">
        <v>60500.0</v>
      </c>
      <c r="O8" s="102"/>
      <c r="P8" s="102"/>
      <c r="Q8" s="102"/>
      <c r="R8" s="102"/>
      <c r="S8" s="106">
        <f t="shared" si="1"/>
        <v>0</v>
      </c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9"/>
      <c r="AG8" s="110">
        <v>0.0</v>
      </c>
      <c r="AH8" s="110"/>
      <c r="AI8" s="48"/>
      <c r="AJ8" s="48"/>
      <c r="AK8" s="48"/>
    </row>
    <row r="9">
      <c r="A9" s="114">
        <v>8.0</v>
      </c>
      <c r="B9" s="114" t="s">
        <v>23</v>
      </c>
      <c r="C9" s="114" t="s">
        <v>24</v>
      </c>
      <c r="D9" s="114" t="s">
        <v>25</v>
      </c>
      <c r="E9" s="114" t="s">
        <v>26</v>
      </c>
      <c r="F9" s="93" t="s">
        <v>32</v>
      </c>
      <c r="G9" s="94">
        <v>2025.0</v>
      </c>
      <c r="H9" s="115" t="s">
        <v>59</v>
      </c>
      <c r="I9" s="95" t="s">
        <v>60</v>
      </c>
      <c r="J9" s="112" t="s">
        <v>35</v>
      </c>
      <c r="K9" s="112" t="s">
        <v>36</v>
      </c>
      <c r="L9" s="113"/>
      <c r="M9" s="95"/>
      <c r="N9" s="99">
        <v>48400.0</v>
      </c>
      <c r="O9" s="102"/>
      <c r="P9" s="102"/>
      <c r="Q9" s="102"/>
      <c r="R9" s="102"/>
      <c r="S9" s="106">
        <f t="shared" si="1"/>
        <v>0</v>
      </c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9"/>
      <c r="AG9" s="110">
        <v>0.0</v>
      </c>
      <c r="AH9" s="110"/>
      <c r="AI9" s="48"/>
      <c r="AJ9" s="48"/>
      <c r="AK9" s="48"/>
    </row>
    <row r="10">
      <c r="A10" s="92">
        <v>9.0</v>
      </c>
      <c r="B10" s="92" t="s">
        <v>23</v>
      </c>
      <c r="C10" s="92" t="s">
        <v>24</v>
      </c>
      <c r="D10" s="92" t="s">
        <v>25</v>
      </c>
      <c r="E10" s="92" t="s">
        <v>26</v>
      </c>
      <c r="F10" s="93" t="s">
        <v>32</v>
      </c>
      <c r="G10" s="94">
        <v>2025.0</v>
      </c>
      <c r="H10" s="116" t="s">
        <v>61</v>
      </c>
      <c r="I10" s="95" t="s">
        <v>62</v>
      </c>
      <c r="J10" s="112" t="s">
        <v>35</v>
      </c>
      <c r="K10" s="112" t="s">
        <v>36</v>
      </c>
      <c r="L10" s="113"/>
      <c r="M10" s="95"/>
      <c r="N10" s="99">
        <v>38500.0</v>
      </c>
      <c r="O10" s="117"/>
      <c r="P10" s="117"/>
      <c r="Q10" s="117"/>
      <c r="R10" s="117"/>
      <c r="S10" s="106">
        <f t="shared" si="1"/>
        <v>0</v>
      </c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09"/>
      <c r="AG10" s="110">
        <v>0.0</v>
      </c>
      <c r="AH10" s="110"/>
      <c r="AI10" s="48"/>
      <c r="AJ10" s="48"/>
      <c r="AK10" s="48"/>
    </row>
    <row r="11">
      <c r="A11" s="92">
        <v>10.0</v>
      </c>
      <c r="B11" s="92" t="s">
        <v>23</v>
      </c>
      <c r="C11" s="92" t="s">
        <v>24</v>
      </c>
      <c r="D11" s="92" t="s">
        <v>25</v>
      </c>
      <c r="E11" s="92" t="s">
        <v>26</v>
      </c>
      <c r="F11" s="93" t="s">
        <v>32</v>
      </c>
      <c r="G11" s="94">
        <v>2025.0</v>
      </c>
      <c r="H11" s="116" t="s">
        <v>63</v>
      </c>
      <c r="I11" s="95" t="s">
        <v>64</v>
      </c>
      <c r="J11" s="112" t="s">
        <v>35</v>
      </c>
      <c r="K11" s="112" t="s">
        <v>36</v>
      </c>
      <c r="L11" s="113"/>
      <c r="M11" s="95"/>
      <c r="N11" s="99">
        <v>40000.0</v>
      </c>
      <c r="O11" s="102"/>
      <c r="P11" s="102"/>
      <c r="Q11" s="102"/>
      <c r="R11" s="102"/>
      <c r="S11" s="106">
        <f t="shared" si="1"/>
        <v>14666</v>
      </c>
      <c r="T11" s="119">
        <v>14666.0</v>
      </c>
      <c r="U11" s="119" t="s">
        <v>37</v>
      </c>
      <c r="V11" s="119" t="s">
        <v>37</v>
      </c>
      <c r="W11" s="119" t="s">
        <v>37</v>
      </c>
      <c r="X11" s="119" t="s">
        <v>37</v>
      </c>
      <c r="Y11" s="119" t="s">
        <v>37</v>
      </c>
      <c r="Z11" s="119" t="s">
        <v>37</v>
      </c>
      <c r="AA11" s="119" t="s">
        <v>37</v>
      </c>
      <c r="AB11" s="119" t="s">
        <v>37</v>
      </c>
      <c r="AC11" s="119" t="s">
        <v>37</v>
      </c>
      <c r="AD11" s="119" t="s">
        <v>37</v>
      </c>
      <c r="AE11" s="119" t="s">
        <v>37</v>
      </c>
      <c r="AF11" s="109"/>
      <c r="AG11" s="110">
        <v>14666.0</v>
      </c>
      <c r="AH11" s="123"/>
      <c r="AI11" s="48"/>
      <c r="AJ11" s="48"/>
      <c r="AK11" s="48"/>
    </row>
    <row r="12">
      <c r="A12" s="92">
        <v>11.0</v>
      </c>
      <c r="B12" s="92" t="s">
        <v>23</v>
      </c>
      <c r="C12" s="92" t="s">
        <v>24</v>
      </c>
      <c r="D12" s="92" t="s">
        <v>25</v>
      </c>
      <c r="E12" s="92" t="s">
        <v>26</v>
      </c>
      <c r="F12" s="125" t="s">
        <v>32</v>
      </c>
      <c r="G12" s="94">
        <v>2025.0</v>
      </c>
      <c r="H12" s="95" t="s">
        <v>68</v>
      </c>
      <c r="I12" s="95" t="s">
        <v>69</v>
      </c>
      <c r="J12" s="112" t="s">
        <v>35</v>
      </c>
      <c r="K12" s="112" t="s">
        <v>36</v>
      </c>
      <c r="L12" s="127"/>
      <c r="M12" s="95"/>
      <c r="N12" s="99">
        <v>42000.0</v>
      </c>
      <c r="O12" s="102"/>
      <c r="P12" s="102"/>
      <c r="Q12" s="102"/>
      <c r="R12" s="102"/>
      <c r="S12" s="106">
        <f t="shared" si="1"/>
        <v>0</v>
      </c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28"/>
      <c r="AG12" s="110">
        <v>0.0</v>
      </c>
      <c r="AH12" s="123"/>
      <c r="AI12" s="48"/>
      <c r="AJ12" s="48"/>
      <c r="AK12" s="48"/>
    </row>
    <row r="13">
      <c r="A13" s="129">
        <v>12.0</v>
      </c>
      <c r="B13" s="129" t="s">
        <v>23</v>
      </c>
      <c r="C13" s="129" t="s">
        <v>24</v>
      </c>
      <c r="D13" s="129" t="s">
        <v>25</v>
      </c>
      <c r="E13" s="129" t="s">
        <v>26</v>
      </c>
      <c r="F13" s="131" t="s">
        <v>32</v>
      </c>
      <c r="G13" s="132">
        <v>2026.0</v>
      </c>
      <c r="H13" s="133" t="s">
        <v>70</v>
      </c>
      <c r="I13" s="133" t="s">
        <v>71</v>
      </c>
      <c r="J13" s="136"/>
      <c r="K13" s="136"/>
      <c r="L13" s="25"/>
      <c r="M13" s="136"/>
      <c r="N13" s="136"/>
      <c r="O13" s="137"/>
      <c r="P13" s="137"/>
      <c r="Q13" s="137"/>
      <c r="R13" s="137"/>
      <c r="S13" s="154">
        <f t="shared" si="1"/>
        <v>155000</v>
      </c>
      <c r="T13" s="155">
        <v>50000.0</v>
      </c>
      <c r="U13" s="155">
        <v>50000.0</v>
      </c>
      <c r="V13" s="155">
        <v>5000.0</v>
      </c>
      <c r="W13" s="158">
        <v>10000.0</v>
      </c>
      <c r="X13" s="158">
        <v>5000.0</v>
      </c>
      <c r="Y13" s="158">
        <v>5000.0</v>
      </c>
      <c r="Z13" s="158">
        <v>5000.0</v>
      </c>
      <c r="AA13" s="158">
        <v>5000.0</v>
      </c>
      <c r="AB13" s="158">
        <v>5000.0</v>
      </c>
      <c r="AC13" s="158">
        <v>5000.0</v>
      </c>
      <c r="AD13" s="158">
        <v>5000.0</v>
      </c>
      <c r="AE13" s="158">
        <v>5000.0</v>
      </c>
      <c r="AF13" s="165"/>
      <c r="AG13" s="166">
        <v>155000.0</v>
      </c>
      <c r="AH13" s="166"/>
      <c r="AI13" s="48"/>
      <c r="AJ13" s="48"/>
      <c r="AK13" s="48"/>
    </row>
    <row r="14">
      <c r="A14" s="129">
        <v>13.0</v>
      </c>
      <c r="B14" s="129" t="s">
        <v>23</v>
      </c>
      <c r="C14" s="129" t="s">
        <v>24</v>
      </c>
      <c r="D14" s="129" t="s">
        <v>25</v>
      </c>
      <c r="E14" s="129" t="s">
        <v>26</v>
      </c>
      <c r="F14" s="131" t="s">
        <v>32</v>
      </c>
      <c r="G14" s="132">
        <v>2026.0</v>
      </c>
      <c r="H14" s="133" t="s">
        <v>70</v>
      </c>
      <c r="I14" s="133" t="s">
        <v>71</v>
      </c>
      <c r="J14" s="136"/>
      <c r="K14" s="136"/>
      <c r="L14" s="25"/>
      <c r="M14" s="136"/>
      <c r="N14" s="136"/>
      <c r="O14" s="137"/>
      <c r="P14" s="137"/>
      <c r="Q14" s="137"/>
      <c r="R14" s="137"/>
      <c r="S14" s="154">
        <f t="shared" si="1"/>
        <v>155000</v>
      </c>
      <c r="T14" s="155">
        <v>50000.0</v>
      </c>
      <c r="U14" s="155">
        <v>50000.0</v>
      </c>
      <c r="V14" s="155">
        <v>5000.0</v>
      </c>
      <c r="W14" s="158">
        <v>10000.0</v>
      </c>
      <c r="X14" s="158">
        <v>5000.0</v>
      </c>
      <c r="Y14" s="158">
        <v>5000.0</v>
      </c>
      <c r="Z14" s="158">
        <v>5000.0</v>
      </c>
      <c r="AA14" s="158">
        <v>5000.0</v>
      </c>
      <c r="AB14" s="158">
        <v>5000.0</v>
      </c>
      <c r="AC14" s="158">
        <v>5000.0</v>
      </c>
      <c r="AD14" s="158">
        <v>5000.0</v>
      </c>
      <c r="AE14" s="158">
        <v>5000.0</v>
      </c>
      <c r="AF14" s="165"/>
      <c r="AG14" s="166">
        <v>155000.0</v>
      </c>
      <c r="AH14" s="166"/>
      <c r="AI14" s="48"/>
      <c r="AJ14" s="48"/>
      <c r="AK14" s="48"/>
    </row>
    <row r="15">
      <c r="A15" s="175">
        <v>14.0</v>
      </c>
      <c r="B15" s="175" t="s">
        <v>23</v>
      </c>
      <c r="C15" s="175" t="s">
        <v>24</v>
      </c>
      <c r="D15" s="175" t="s">
        <v>25</v>
      </c>
      <c r="E15" s="175" t="s">
        <v>26</v>
      </c>
      <c r="F15" s="131" t="s">
        <v>32</v>
      </c>
      <c r="G15" s="132">
        <v>2026.0</v>
      </c>
      <c r="H15" s="133" t="s">
        <v>70</v>
      </c>
      <c r="I15" s="133" t="s">
        <v>79</v>
      </c>
      <c r="J15" s="179"/>
      <c r="K15" s="179"/>
      <c r="L15" s="181"/>
      <c r="M15" s="182"/>
      <c r="N15" s="182"/>
      <c r="O15" s="105"/>
      <c r="P15" s="105"/>
      <c r="Q15" s="105"/>
      <c r="R15" s="105"/>
      <c r="S15" s="184">
        <f t="shared" si="1"/>
        <v>155000</v>
      </c>
      <c r="T15" s="184">
        <v>50000.0</v>
      </c>
      <c r="U15" s="184">
        <v>50000.0</v>
      </c>
      <c r="V15" s="155">
        <v>5000.0</v>
      </c>
      <c r="W15" s="158">
        <v>10000.0</v>
      </c>
      <c r="X15" s="158">
        <v>5000.0</v>
      </c>
      <c r="Y15" s="158">
        <v>5000.0</v>
      </c>
      <c r="Z15" s="158">
        <v>5000.0</v>
      </c>
      <c r="AA15" s="158">
        <v>5000.0</v>
      </c>
      <c r="AB15" s="158">
        <v>5000.0</v>
      </c>
      <c r="AC15" s="158">
        <v>5000.0</v>
      </c>
      <c r="AD15" s="158">
        <v>5000.0</v>
      </c>
      <c r="AE15" s="158">
        <v>5000.0</v>
      </c>
      <c r="AF15" s="165"/>
      <c r="AG15" s="60">
        <v>155000.0</v>
      </c>
      <c r="AH15" s="60"/>
    </row>
    <row r="16">
      <c r="A16" s="175">
        <v>15.0</v>
      </c>
      <c r="B16" s="175" t="s">
        <v>23</v>
      </c>
      <c r="C16" s="175" t="s">
        <v>24</v>
      </c>
      <c r="D16" s="175" t="s">
        <v>25</v>
      </c>
      <c r="E16" s="175" t="s">
        <v>26</v>
      </c>
      <c r="F16" s="131" t="s">
        <v>32</v>
      </c>
      <c r="G16" s="132">
        <v>2026.0</v>
      </c>
      <c r="H16" s="187" t="s">
        <v>82</v>
      </c>
      <c r="I16" s="133" t="s">
        <v>83</v>
      </c>
      <c r="J16" s="179"/>
      <c r="K16" s="179"/>
      <c r="L16" s="188"/>
      <c r="M16" s="182"/>
      <c r="N16" s="182"/>
      <c r="O16" s="105"/>
      <c r="P16" s="105"/>
      <c r="Q16" s="105"/>
      <c r="R16" s="105"/>
      <c r="S16" s="184">
        <f t="shared" si="1"/>
        <v>60000</v>
      </c>
      <c r="T16" s="155"/>
      <c r="U16" s="155"/>
      <c r="V16" s="155"/>
      <c r="W16" s="155"/>
      <c r="X16" s="155"/>
      <c r="Y16" s="155"/>
      <c r="Z16" s="155">
        <v>10000.0</v>
      </c>
      <c r="AA16" s="155">
        <v>10000.0</v>
      </c>
      <c r="AB16" s="155">
        <v>10000.0</v>
      </c>
      <c r="AC16" s="155">
        <v>10000.0</v>
      </c>
      <c r="AD16" s="155">
        <v>10000.0</v>
      </c>
      <c r="AE16" s="155">
        <v>10000.0</v>
      </c>
      <c r="AF16" s="43"/>
      <c r="AG16" s="166">
        <v>60000.0</v>
      </c>
      <c r="AH16" s="166"/>
    </row>
    <row r="17">
      <c r="A17" s="175">
        <v>16.0</v>
      </c>
      <c r="B17" s="175" t="s">
        <v>23</v>
      </c>
      <c r="C17" s="175" t="s">
        <v>24</v>
      </c>
      <c r="D17" s="175" t="s">
        <v>25</v>
      </c>
      <c r="E17" s="175" t="s">
        <v>26</v>
      </c>
      <c r="F17" s="131" t="s">
        <v>32</v>
      </c>
      <c r="G17" s="132">
        <v>2026.0</v>
      </c>
      <c r="H17" s="133" t="s">
        <v>84</v>
      </c>
      <c r="I17" s="191" t="s">
        <v>85</v>
      </c>
      <c r="J17" s="179"/>
      <c r="K17" s="179"/>
      <c r="L17" s="188"/>
      <c r="M17" s="182"/>
      <c r="N17" s="182"/>
      <c r="O17" s="105"/>
      <c r="P17" s="105"/>
      <c r="Q17" s="105"/>
      <c r="R17" s="105"/>
      <c r="S17" s="184">
        <f t="shared" si="1"/>
        <v>60000</v>
      </c>
      <c r="T17" s="155"/>
      <c r="U17" s="155"/>
      <c r="V17" s="155"/>
      <c r="W17" s="155"/>
      <c r="X17" s="155"/>
      <c r="Y17" s="155"/>
      <c r="Z17" s="155">
        <v>10000.0</v>
      </c>
      <c r="AA17" s="155">
        <v>10000.0</v>
      </c>
      <c r="AB17" s="155">
        <v>10000.0</v>
      </c>
      <c r="AC17" s="155">
        <v>10000.0</v>
      </c>
      <c r="AD17" s="155">
        <v>10000.0</v>
      </c>
      <c r="AE17" s="155">
        <v>10000.0</v>
      </c>
      <c r="AF17" s="173"/>
      <c r="AG17" s="166">
        <v>60000.0</v>
      </c>
      <c r="AH17" s="166"/>
    </row>
    <row r="18">
      <c r="A18" s="175">
        <v>17.0</v>
      </c>
      <c r="B18" s="175" t="s">
        <v>23</v>
      </c>
      <c r="C18" s="175" t="s">
        <v>24</v>
      </c>
      <c r="D18" s="175" t="s">
        <v>25</v>
      </c>
      <c r="E18" s="175" t="s">
        <v>26</v>
      </c>
      <c r="F18" s="131" t="s">
        <v>32</v>
      </c>
      <c r="G18" s="132">
        <v>2026.0</v>
      </c>
      <c r="H18" s="133" t="s">
        <v>84</v>
      </c>
      <c r="I18" s="191" t="s">
        <v>89</v>
      </c>
      <c r="J18" s="179"/>
      <c r="K18" s="179"/>
      <c r="L18" s="188"/>
      <c r="M18" s="182"/>
      <c r="N18" s="182"/>
      <c r="O18" s="105"/>
      <c r="P18" s="105"/>
      <c r="Q18" s="105"/>
      <c r="R18" s="105"/>
      <c r="S18" s="184">
        <f t="shared" si="1"/>
        <v>90000</v>
      </c>
      <c r="T18" s="155"/>
      <c r="U18" s="155"/>
      <c r="V18" s="155"/>
      <c r="W18" s="155">
        <v>10000.0</v>
      </c>
      <c r="X18" s="155">
        <v>10000.0</v>
      </c>
      <c r="Y18" s="155">
        <v>10000.0</v>
      </c>
      <c r="Z18" s="155">
        <v>10000.0</v>
      </c>
      <c r="AA18" s="155">
        <v>10000.0</v>
      </c>
      <c r="AB18" s="155">
        <v>10000.0</v>
      </c>
      <c r="AC18" s="155">
        <v>10000.0</v>
      </c>
      <c r="AD18" s="155">
        <v>10000.0</v>
      </c>
      <c r="AE18" s="155">
        <v>10000.0</v>
      </c>
      <c r="AF18" s="173"/>
      <c r="AG18" s="166">
        <v>90000.0</v>
      </c>
      <c r="AH18" s="166"/>
    </row>
    <row r="19">
      <c r="A19" s="175">
        <v>18.0</v>
      </c>
      <c r="B19" s="175" t="s">
        <v>23</v>
      </c>
      <c r="C19" s="175" t="s">
        <v>24</v>
      </c>
      <c r="D19" s="175" t="s">
        <v>25</v>
      </c>
      <c r="E19" s="175" t="s">
        <v>26</v>
      </c>
      <c r="F19" s="131" t="s">
        <v>32</v>
      </c>
      <c r="G19" s="132">
        <v>2026.0</v>
      </c>
      <c r="H19" s="133" t="s">
        <v>84</v>
      </c>
      <c r="I19" s="191" t="s">
        <v>90</v>
      </c>
      <c r="J19" s="179"/>
      <c r="K19" s="179"/>
      <c r="L19" s="188"/>
      <c r="M19" s="182"/>
      <c r="N19" s="182"/>
      <c r="O19" s="105"/>
      <c r="P19" s="105"/>
      <c r="Q19" s="105"/>
      <c r="R19" s="105"/>
      <c r="S19" s="184">
        <f t="shared" si="1"/>
        <v>90000</v>
      </c>
      <c r="T19" s="155"/>
      <c r="U19" s="155"/>
      <c r="V19" s="155"/>
      <c r="W19" s="155">
        <v>10000.0</v>
      </c>
      <c r="X19" s="155">
        <v>10000.0</v>
      </c>
      <c r="Y19" s="155">
        <v>10000.0</v>
      </c>
      <c r="Z19" s="155">
        <v>10000.0</v>
      </c>
      <c r="AA19" s="155">
        <v>10000.0</v>
      </c>
      <c r="AB19" s="155">
        <v>10000.0</v>
      </c>
      <c r="AC19" s="155">
        <v>10000.0</v>
      </c>
      <c r="AD19" s="155">
        <v>10000.0</v>
      </c>
      <c r="AE19" s="155">
        <v>10000.0</v>
      </c>
      <c r="AF19" s="173"/>
      <c r="AG19" s="166">
        <v>90000.0</v>
      </c>
      <c r="AH19" s="166"/>
    </row>
    <row r="20">
      <c r="A20" s="175">
        <v>19.0</v>
      </c>
      <c r="B20" s="175" t="s">
        <v>23</v>
      </c>
      <c r="C20" s="175" t="s">
        <v>24</v>
      </c>
      <c r="D20" s="175" t="s">
        <v>25</v>
      </c>
      <c r="E20" s="175" t="s">
        <v>26</v>
      </c>
      <c r="F20" s="131" t="s">
        <v>32</v>
      </c>
      <c r="G20" s="132">
        <v>2026.0</v>
      </c>
      <c r="H20" s="133" t="s">
        <v>84</v>
      </c>
      <c r="I20" s="191" t="s">
        <v>91</v>
      </c>
      <c r="J20" s="179"/>
      <c r="K20" s="179"/>
      <c r="L20" s="188"/>
      <c r="M20" s="182"/>
      <c r="N20" s="182"/>
      <c r="O20" s="105"/>
      <c r="P20" s="105"/>
      <c r="Q20" s="105"/>
      <c r="R20" s="105"/>
      <c r="S20" s="184">
        <f t="shared" si="1"/>
        <v>60000</v>
      </c>
      <c r="T20" s="155"/>
      <c r="U20" s="155"/>
      <c r="V20" s="155"/>
      <c r="W20" s="155">
        <v>10000.0</v>
      </c>
      <c r="X20" s="155">
        <v>10000.0</v>
      </c>
      <c r="Y20" s="155">
        <v>10000.0</v>
      </c>
      <c r="Z20" s="155"/>
      <c r="AA20" s="155"/>
      <c r="AB20" s="155"/>
      <c r="AC20" s="155">
        <v>10000.0</v>
      </c>
      <c r="AD20" s="155">
        <v>10000.0</v>
      </c>
      <c r="AE20" s="155">
        <v>10000.0</v>
      </c>
      <c r="AF20" s="173"/>
      <c r="AG20" s="166">
        <v>60000.0</v>
      </c>
      <c r="AH20" s="166"/>
    </row>
    <row r="21">
      <c r="A21" s="175">
        <v>20.0</v>
      </c>
      <c r="B21" s="175" t="s">
        <v>23</v>
      </c>
      <c r="C21" s="175" t="s">
        <v>24</v>
      </c>
      <c r="D21" s="175" t="s">
        <v>25</v>
      </c>
      <c r="E21" s="175" t="s">
        <v>26</v>
      </c>
      <c r="F21" s="131" t="s">
        <v>32</v>
      </c>
      <c r="G21" s="132">
        <v>2026.0</v>
      </c>
      <c r="H21" s="133" t="s">
        <v>84</v>
      </c>
      <c r="I21" s="191" t="s">
        <v>92</v>
      </c>
      <c r="J21" s="179"/>
      <c r="K21" s="179"/>
      <c r="L21" s="188"/>
      <c r="M21" s="182"/>
      <c r="N21" s="182"/>
      <c r="O21" s="105"/>
      <c r="P21" s="105"/>
      <c r="Q21" s="105"/>
      <c r="R21" s="105"/>
      <c r="S21" s="184">
        <f t="shared" si="1"/>
        <v>90000</v>
      </c>
      <c r="T21" s="155"/>
      <c r="U21" s="155"/>
      <c r="V21" s="155"/>
      <c r="W21" s="155">
        <v>10000.0</v>
      </c>
      <c r="X21" s="155">
        <v>10000.0</v>
      </c>
      <c r="Y21" s="155">
        <v>10000.0</v>
      </c>
      <c r="Z21" s="155">
        <v>10000.0</v>
      </c>
      <c r="AA21" s="155">
        <v>10000.0</v>
      </c>
      <c r="AB21" s="155">
        <v>10000.0</v>
      </c>
      <c r="AC21" s="155">
        <v>10000.0</v>
      </c>
      <c r="AD21" s="155">
        <v>10000.0</v>
      </c>
      <c r="AE21" s="155">
        <v>10000.0</v>
      </c>
      <c r="AF21" s="173"/>
      <c r="AG21" s="166">
        <v>90000.0</v>
      </c>
      <c r="AH21" s="166"/>
    </row>
    <row r="22">
      <c r="A22" s="175">
        <v>21.0</v>
      </c>
      <c r="B22" s="175" t="s">
        <v>23</v>
      </c>
      <c r="C22" s="175" t="s">
        <v>24</v>
      </c>
      <c r="D22" s="175" t="s">
        <v>25</v>
      </c>
      <c r="E22" s="175" t="s">
        <v>26</v>
      </c>
      <c r="F22" s="131" t="s">
        <v>32</v>
      </c>
      <c r="G22" s="132">
        <v>2026.0</v>
      </c>
      <c r="H22" s="133" t="s">
        <v>84</v>
      </c>
      <c r="I22" s="191" t="s">
        <v>93</v>
      </c>
      <c r="J22" s="179"/>
      <c r="K22" s="179"/>
      <c r="L22" s="188"/>
      <c r="M22" s="182"/>
      <c r="N22" s="182"/>
      <c r="O22" s="105"/>
      <c r="P22" s="105"/>
      <c r="Q22" s="105"/>
      <c r="R22" s="105"/>
      <c r="S22" s="184">
        <f t="shared" si="1"/>
        <v>90000</v>
      </c>
      <c r="T22" s="155"/>
      <c r="U22" s="155"/>
      <c r="V22" s="155"/>
      <c r="W22" s="155">
        <v>10000.0</v>
      </c>
      <c r="X22" s="155">
        <v>10000.0</v>
      </c>
      <c r="Y22" s="155">
        <v>10000.0</v>
      </c>
      <c r="Z22" s="155">
        <v>10000.0</v>
      </c>
      <c r="AA22" s="155">
        <v>10000.0</v>
      </c>
      <c r="AB22" s="155">
        <v>10000.0</v>
      </c>
      <c r="AC22" s="155">
        <v>10000.0</v>
      </c>
      <c r="AD22" s="155">
        <v>10000.0</v>
      </c>
      <c r="AE22" s="155">
        <v>10000.0</v>
      </c>
      <c r="AF22" s="173"/>
      <c r="AG22" s="166">
        <v>90000.0</v>
      </c>
      <c r="AH22" s="166"/>
    </row>
    <row r="23">
      <c r="A23" s="175">
        <v>22.0</v>
      </c>
      <c r="B23" s="175" t="s">
        <v>23</v>
      </c>
      <c r="C23" s="175" t="s">
        <v>24</v>
      </c>
      <c r="D23" s="175" t="s">
        <v>25</v>
      </c>
      <c r="E23" s="175" t="s">
        <v>26</v>
      </c>
      <c r="F23" s="131" t="s">
        <v>32</v>
      </c>
      <c r="G23" s="132">
        <v>2026.0</v>
      </c>
      <c r="H23" s="133" t="s">
        <v>84</v>
      </c>
      <c r="I23" s="191" t="s">
        <v>94</v>
      </c>
      <c r="J23" s="179"/>
      <c r="K23" s="179"/>
      <c r="L23" s="188"/>
      <c r="M23" s="182"/>
      <c r="N23" s="182"/>
      <c r="O23" s="105"/>
      <c r="P23" s="105"/>
      <c r="Q23" s="105"/>
      <c r="R23" s="105"/>
      <c r="S23" s="184">
        <f t="shared" si="1"/>
        <v>90000</v>
      </c>
      <c r="T23" s="155"/>
      <c r="U23" s="155"/>
      <c r="V23" s="155"/>
      <c r="W23" s="155">
        <v>10000.0</v>
      </c>
      <c r="X23" s="155">
        <v>10000.0</v>
      </c>
      <c r="Y23" s="155">
        <v>10000.0</v>
      </c>
      <c r="Z23" s="155">
        <v>10000.0</v>
      </c>
      <c r="AA23" s="155">
        <v>10000.0</v>
      </c>
      <c r="AB23" s="155">
        <v>10000.0</v>
      </c>
      <c r="AC23" s="155">
        <v>10000.0</v>
      </c>
      <c r="AD23" s="155">
        <v>10000.0</v>
      </c>
      <c r="AE23" s="155">
        <v>10000.0</v>
      </c>
      <c r="AF23" s="173"/>
      <c r="AG23" s="166">
        <v>90000.0</v>
      </c>
      <c r="AH23" s="166"/>
    </row>
    <row r="24">
      <c r="A24" s="175">
        <v>23.0</v>
      </c>
      <c r="B24" s="175" t="s">
        <v>23</v>
      </c>
      <c r="C24" s="175" t="s">
        <v>24</v>
      </c>
      <c r="D24" s="175" t="s">
        <v>25</v>
      </c>
      <c r="E24" s="175" t="s">
        <v>26</v>
      </c>
      <c r="F24" s="131" t="s">
        <v>32</v>
      </c>
      <c r="G24" s="132">
        <v>2026.0</v>
      </c>
      <c r="H24" s="133" t="s">
        <v>84</v>
      </c>
      <c r="I24" s="191" t="s">
        <v>95</v>
      </c>
      <c r="J24" s="179"/>
      <c r="K24" s="179"/>
      <c r="L24" s="188"/>
      <c r="M24" s="182"/>
      <c r="N24" s="182"/>
      <c r="O24" s="208"/>
      <c r="P24" s="208"/>
      <c r="Q24" s="208"/>
      <c r="R24" s="208"/>
      <c r="S24" s="184">
        <f t="shared" si="1"/>
        <v>90000</v>
      </c>
      <c r="T24" s="155"/>
      <c r="U24" s="155"/>
      <c r="V24" s="155"/>
      <c r="W24" s="155">
        <v>10000.0</v>
      </c>
      <c r="X24" s="155">
        <v>10000.0</v>
      </c>
      <c r="Y24" s="155">
        <v>10000.0</v>
      </c>
      <c r="Z24" s="155">
        <v>10000.0</v>
      </c>
      <c r="AA24" s="155">
        <v>10000.0</v>
      </c>
      <c r="AB24" s="155">
        <v>10000.0</v>
      </c>
      <c r="AC24" s="155">
        <v>10000.0</v>
      </c>
      <c r="AD24" s="155">
        <v>10000.0</v>
      </c>
      <c r="AE24" s="155">
        <v>10000.0</v>
      </c>
      <c r="AF24" s="173"/>
      <c r="AG24" s="166">
        <v>90000.0</v>
      </c>
      <c r="AH24" s="166"/>
    </row>
    <row r="25">
      <c r="A25" s="175">
        <v>24.0</v>
      </c>
      <c r="B25" s="175" t="s">
        <v>23</v>
      </c>
      <c r="C25" s="175" t="s">
        <v>24</v>
      </c>
      <c r="D25" s="175" t="s">
        <v>25</v>
      </c>
      <c r="E25" s="175" t="s">
        <v>26</v>
      </c>
      <c r="F25" s="131" t="s">
        <v>32</v>
      </c>
      <c r="G25" s="132">
        <v>2026.0</v>
      </c>
      <c r="H25" s="133" t="s">
        <v>84</v>
      </c>
      <c r="I25" s="191" t="s">
        <v>96</v>
      </c>
      <c r="J25" s="209"/>
      <c r="K25" s="209"/>
      <c r="L25" s="210"/>
      <c r="M25" s="45"/>
      <c r="N25" s="45"/>
      <c r="O25" s="105"/>
      <c r="P25" s="105"/>
      <c r="Q25" s="105"/>
      <c r="R25" s="105"/>
      <c r="S25" s="184">
        <f t="shared" si="1"/>
        <v>60000</v>
      </c>
      <c r="T25" s="155"/>
      <c r="U25" s="155"/>
      <c r="V25" s="155"/>
      <c r="W25" s="155"/>
      <c r="X25" s="155"/>
      <c r="Y25" s="155"/>
      <c r="Z25" s="155">
        <v>10000.0</v>
      </c>
      <c r="AA25" s="155">
        <v>10000.0</v>
      </c>
      <c r="AB25" s="155">
        <v>10000.0</v>
      </c>
      <c r="AC25" s="155">
        <v>10000.0</v>
      </c>
      <c r="AD25" s="155">
        <v>10000.0</v>
      </c>
      <c r="AE25" s="155">
        <v>10000.0</v>
      </c>
      <c r="AF25" s="173"/>
      <c r="AG25" s="166">
        <v>60000.0</v>
      </c>
      <c r="AH25" s="166"/>
    </row>
    <row r="26">
      <c r="A26" s="175">
        <v>25.0</v>
      </c>
      <c r="B26" s="175" t="s">
        <v>23</v>
      </c>
      <c r="C26" s="175" t="s">
        <v>24</v>
      </c>
      <c r="D26" s="175" t="s">
        <v>25</v>
      </c>
      <c r="E26" s="175" t="s">
        <v>26</v>
      </c>
      <c r="F26" s="131" t="s">
        <v>32</v>
      </c>
      <c r="G26" s="132">
        <v>2026.0</v>
      </c>
      <c r="H26" s="133" t="s">
        <v>84</v>
      </c>
      <c r="I26" s="191" t="s">
        <v>100</v>
      </c>
      <c r="J26" s="209"/>
      <c r="K26" s="209"/>
      <c r="L26" s="210"/>
      <c r="M26" s="45"/>
      <c r="N26" s="45"/>
      <c r="O26" s="105"/>
      <c r="P26" s="105"/>
      <c r="Q26" s="105"/>
      <c r="R26" s="105"/>
      <c r="S26" s="184">
        <f t="shared" si="1"/>
        <v>60000</v>
      </c>
      <c r="T26" s="155"/>
      <c r="U26" s="155"/>
      <c r="V26" s="155"/>
      <c r="W26" s="155"/>
      <c r="X26" s="155"/>
      <c r="Y26" s="155"/>
      <c r="Z26" s="155">
        <v>10000.0</v>
      </c>
      <c r="AA26" s="155">
        <v>10000.0</v>
      </c>
      <c r="AB26" s="155">
        <v>10000.0</v>
      </c>
      <c r="AC26" s="155">
        <v>10000.0</v>
      </c>
      <c r="AD26" s="155">
        <v>10000.0</v>
      </c>
      <c r="AE26" s="155">
        <v>10000.0</v>
      </c>
      <c r="AF26" s="173"/>
      <c r="AG26" s="166">
        <v>60000.0</v>
      </c>
      <c r="AH26" s="166"/>
    </row>
    <row r="27">
      <c r="A27" s="175">
        <v>26.0</v>
      </c>
      <c r="B27" s="175" t="s">
        <v>23</v>
      </c>
      <c r="C27" s="175" t="s">
        <v>24</v>
      </c>
      <c r="D27" s="175" t="s">
        <v>25</v>
      </c>
      <c r="E27" s="175" t="s">
        <v>26</v>
      </c>
      <c r="F27" s="131" t="s">
        <v>32</v>
      </c>
      <c r="G27" s="132">
        <v>2026.0</v>
      </c>
      <c r="H27" s="133" t="s">
        <v>101</v>
      </c>
      <c r="I27" s="212" t="s">
        <v>102</v>
      </c>
      <c r="J27" s="209"/>
      <c r="K27" s="209"/>
      <c r="L27" s="210"/>
      <c r="M27" s="45"/>
      <c r="N27" s="45"/>
      <c r="O27" s="105"/>
      <c r="P27" s="105"/>
      <c r="Q27" s="105"/>
      <c r="R27" s="105"/>
      <c r="S27" s="184">
        <f t="shared" si="1"/>
        <v>2700000</v>
      </c>
      <c r="T27" s="213"/>
      <c r="U27" s="213"/>
      <c r="V27" s="213"/>
      <c r="W27" s="214">
        <v>300000.0</v>
      </c>
      <c r="X27" s="214">
        <v>300000.0</v>
      </c>
      <c r="Y27" s="214">
        <v>300000.0</v>
      </c>
      <c r="Z27" s="214">
        <v>300000.0</v>
      </c>
      <c r="AA27" s="214">
        <v>300000.0</v>
      </c>
      <c r="AB27" s="214">
        <v>300000.0</v>
      </c>
      <c r="AC27" s="214">
        <v>300000.0</v>
      </c>
      <c r="AD27" s="214">
        <v>300000.0</v>
      </c>
      <c r="AE27" s="214">
        <v>300000.0</v>
      </c>
      <c r="AF27" s="173"/>
      <c r="AG27" s="166">
        <v>2700000.0</v>
      </c>
      <c r="AH27" s="166"/>
    </row>
    <row r="28">
      <c r="A28" s="175">
        <v>27.0</v>
      </c>
      <c r="B28" s="175" t="s">
        <v>23</v>
      </c>
      <c r="C28" s="175" t="s">
        <v>24</v>
      </c>
      <c r="D28" s="175" t="s">
        <v>25</v>
      </c>
      <c r="E28" s="175" t="s">
        <v>26</v>
      </c>
      <c r="F28" s="131" t="s">
        <v>32</v>
      </c>
      <c r="G28" s="132">
        <v>2026.0</v>
      </c>
      <c r="H28" s="133" t="s">
        <v>101</v>
      </c>
      <c r="I28" s="215" t="s">
        <v>103</v>
      </c>
      <c r="J28" s="216"/>
      <c r="K28" s="216"/>
      <c r="L28" s="217"/>
      <c r="M28" s="191"/>
      <c r="N28" s="191"/>
      <c r="O28" s="218"/>
      <c r="P28" s="218"/>
      <c r="Q28" s="218"/>
      <c r="R28" s="218"/>
      <c r="S28" s="184">
        <f t="shared" si="1"/>
        <v>600000</v>
      </c>
      <c r="T28" s="184"/>
      <c r="U28" s="184"/>
      <c r="V28" s="184"/>
      <c r="W28" s="219">
        <v>100000.0</v>
      </c>
      <c r="X28" s="219">
        <v>100000.0</v>
      </c>
      <c r="Y28" s="219">
        <v>100000.0</v>
      </c>
      <c r="Z28" s="219">
        <v>100000.0</v>
      </c>
      <c r="AA28" s="219">
        <v>100000.0</v>
      </c>
      <c r="AB28" s="219">
        <v>100000.0</v>
      </c>
      <c r="AC28" s="219"/>
      <c r="AD28" s="219"/>
      <c r="AE28" s="219"/>
      <c r="AF28" s="220"/>
      <c r="AG28" s="166">
        <v>600000.0</v>
      </c>
      <c r="AH28" s="221"/>
      <c r="AI28" s="222"/>
      <c r="AJ28" s="222"/>
      <c r="AK28" s="222"/>
    </row>
    <row r="29">
      <c r="A29" s="121" t="s">
        <v>104</v>
      </c>
      <c r="B29" s="121" t="s">
        <v>23</v>
      </c>
      <c r="C29" s="121" t="s">
        <v>24</v>
      </c>
      <c r="D29" s="121" t="s">
        <v>25</v>
      </c>
      <c r="E29" s="121" t="s">
        <v>26</v>
      </c>
      <c r="F29" s="122" t="s">
        <v>105</v>
      </c>
      <c r="G29" s="122" t="s">
        <v>106</v>
      </c>
      <c r="H29" s="122" t="s">
        <v>107</v>
      </c>
      <c r="I29" s="122">
        <v>92101.0</v>
      </c>
      <c r="J29" s="124"/>
      <c r="K29" s="124"/>
      <c r="L29" s="124"/>
      <c r="M29" s="223"/>
      <c r="N29" s="223"/>
      <c r="O29" s="124"/>
      <c r="P29" s="124"/>
      <c r="Q29" s="124"/>
      <c r="R29" s="124"/>
      <c r="S29" s="199">
        <f t="shared" si="1"/>
        <v>6050128</v>
      </c>
      <c r="T29" s="199">
        <f t="shared" ref="T29:AE29" si="3">SUM(T2:T28)</f>
        <v>420258</v>
      </c>
      <c r="U29" s="199">
        <f t="shared" si="3"/>
        <v>393170</v>
      </c>
      <c r="V29" s="199">
        <f t="shared" si="3"/>
        <v>108170</v>
      </c>
      <c r="W29" s="199">
        <f t="shared" si="3"/>
        <v>593170</v>
      </c>
      <c r="X29" s="199">
        <f t="shared" si="3"/>
        <v>578170</v>
      </c>
      <c r="Y29" s="199">
        <f t="shared" si="3"/>
        <v>578170</v>
      </c>
      <c r="Z29" s="199">
        <f t="shared" si="3"/>
        <v>608170</v>
      </c>
      <c r="AA29" s="199">
        <f t="shared" si="3"/>
        <v>608170</v>
      </c>
      <c r="AB29" s="199">
        <f t="shared" si="3"/>
        <v>608170</v>
      </c>
      <c r="AC29" s="199">
        <f t="shared" si="3"/>
        <v>518170</v>
      </c>
      <c r="AD29" s="199">
        <f t="shared" si="3"/>
        <v>518170</v>
      </c>
      <c r="AE29" s="199">
        <f t="shared" si="3"/>
        <v>518170</v>
      </c>
      <c r="AF29" s="189"/>
      <c r="AG29" s="199">
        <f t="shared" ref="AG29:AH29" si="4">SUM(AG2:AG28)</f>
        <v>6050128</v>
      </c>
      <c r="AH29" s="199">
        <f t="shared" si="4"/>
        <v>0</v>
      </c>
      <c r="AI29" s="189"/>
      <c r="AJ29" s="189"/>
      <c r="AK29" s="189"/>
    </row>
    <row r="30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</row>
    <row r="31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</row>
    <row r="32" ht="15.75" customHeight="1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</row>
    <row r="33" ht="15.75" customHeight="1">
      <c r="A33" s="147"/>
      <c r="B33" s="147"/>
      <c r="C33" s="147"/>
      <c r="D33" s="147"/>
      <c r="E33" s="147"/>
      <c r="F33" s="147"/>
      <c r="G33" s="147"/>
      <c r="H33" s="147" t="s">
        <v>108</v>
      </c>
      <c r="I33" s="147" t="s">
        <v>109</v>
      </c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</row>
    <row r="34" ht="15.75" customHeight="1">
      <c r="A34" s="147"/>
      <c r="B34" s="147"/>
      <c r="C34" s="147"/>
      <c r="D34" s="147"/>
      <c r="E34" s="147"/>
      <c r="F34" s="147"/>
      <c r="G34" s="147"/>
      <c r="H34" s="147" t="s">
        <v>110</v>
      </c>
      <c r="I34" s="224">
        <f>20000*2.5</f>
        <v>50000</v>
      </c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</row>
    <row r="35" ht="15.75" customHeight="1">
      <c r="A35" s="147"/>
      <c r="B35" s="147"/>
      <c r="C35" s="147"/>
      <c r="D35" s="147"/>
      <c r="E35" s="147"/>
      <c r="G35" s="147"/>
      <c r="H35" s="147" t="s">
        <v>111</v>
      </c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</row>
    <row r="36" ht="15.75" customHeight="1">
      <c r="A36" s="147"/>
      <c r="B36" s="147"/>
      <c r="C36" s="147"/>
      <c r="D36" s="147"/>
      <c r="E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</row>
    <row r="37" ht="15.75" customHeight="1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</row>
    <row r="38" ht="15.75" customHeight="1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</row>
    <row r="39" ht="15.75" customHeight="1">
      <c r="A39" s="147"/>
      <c r="B39" s="147"/>
      <c r="C39" s="147"/>
      <c r="D39" s="147"/>
      <c r="E39" s="147"/>
      <c r="F39" s="147"/>
      <c r="G39" s="147"/>
      <c r="H39" s="225" t="s">
        <v>112</v>
      </c>
      <c r="I39" s="225" t="s">
        <v>113</v>
      </c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</row>
    <row r="40" ht="15.75" customHeight="1">
      <c r="A40" s="147"/>
      <c r="B40" s="147"/>
      <c r="C40" s="147"/>
      <c r="D40" s="147"/>
      <c r="E40" s="147"/>
      <c r="F40" s="147"/>
      <c r="G40" s="147"/>
      <c r="H40" s="226" t="s">
        <v>114</v>
      </c>
      <c r="I40" s="227">
        <v>396000.0</v>
      </c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</row>
    <row r="41" ht="15.75" customHeight="1">
      <c r="A41" s="147"/>
      <c r="B41" s="147"/>
      <c r="C41" s="147"/>
      <c r="D41" s="147"/>
      <c r="E41" s="147"/>
      <c r="F41" s="147"/>
      <c r="G41" s="147"/>
      <c r="H41" s="226" t="s">
        <v>115</v>
      </c>
      <c r="I41" s="227">
        <v>462000.0</v>
      </c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</row>
    <row r="42" ht="15.75" customHeight="1">
      <c r="A42" s="147"/>
      <c r="B42" s="147"/>
      <c r="C42" s="147"/>
      <c r="D42" s="228" t="s">
        <v>116</v>
      </c>
      <c r="E42" s="147" t="s">
        <v>117</v>
      </c>
      <c r="F42" s="147"/>
      <c r="G42" s="147"/>
      <c r="H42" s="226" t="s">
        <v>50</v>
      </c>
      <c r="I42" s="227">
        <v>480000.0</v>
      </c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</row>
    <row r="43" ht="15.75" customHeight="1">
      <c r="A43" s="147"/>
      <c r="B43" s="147"/>
      <c r="C43" s="147"/>
      <c r="D43" s="147" t="s">
        <v>118</v>
      </c>
      <c r="E43" s="147"/>
      <c r="F43" s="147"/>
      <c r="G43" s="147"/>
      <c r="H43" s="226" t="s">
        <v>33</v>
      </c>
      <c r="I43" s="227">
        <v>462000.0</v>
      </c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</row>
    <row r="44" ht="15.75" customHeight="1">
      <c r="A44" s="147"/>
      <c r="B44" s="147"/>
      <c r="C44" s="147"/>
      <c r="D44" s="147" t="s">
        <v>119</v>
      </c>
      <c r="E44" s="147"/>
      <c r="F44" s="147"/>
      <c r="G44" s="147"/>
      <c r="H44" s="226" t="s">
        <v>120</v>
      </c>
      <c r="I44" s="227">
        <v>726000.0</v>
      </c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</row>
    <row r="45" ht="15.75" customHeight="1">
      <c r="A45" s="147"/>
      <c r="B45" s="147"/>
      <c r="C45" s="147"/>
      <c r="D45" s="147"/>
      <c r="E45" s="147"/>
      <c r="F45" s="147"/>
      <c r="G45" s="147"/>
      <c r="H45" s="226" t="s">
        <v>59</v>
      </c>
      <c r="I45" s="227">
        <v>580800.0</v>
      </c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</row>
    <row r="46" ht="15.75" customHeight="1">
      <c r="A46" s="147"/>
      <c r="B46" s="147"/>
      <c r="C46" s="147"/>
      <c r="D46" s="147"/>
      <c r="E46" s="147"/>
      <c r="F46" s="147"/>
      <c r="G46" s="147"/>
      <c r="H46" s="226" t="s">
        <v>121</v>
      </c>
      <c r="I46" s="227">
        <v>462000.0</v>
      </c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</row>
    <row r="47" ht="15.75" customHeight="1">
      <c r="A47" s="147"/>
      <c r="B47" s="147"/>
      <c r="C47" s="147"/>
      <c r="D47" s="147"/>
      <c r="E47" s="147"/>
      <c r="F47" s="147"/>
      <c r="G47" s="147"/>
      <c r="H47" s="226" t="s">
        <v>68</v>
      </c>
      <c r="I47" s="227">
        <v>504000.0</v>
      </c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</row>
    <row r="48" ht="15.75" customHeight="1">
      <c r="A48" s="147"/>
      <c r="B48" s="147"/>
      <c r="C48" s="147"/>
      <c r="D48" s="147"/>
      <c r="E48" s="147"/>
      <c r="F48" s="147"/>
      <c r="G48" s="147"/>
      <c r="H48" s="226" t="s">
        <v>122</v>
      </c>
      <c r="I48" s="227">
        <v>480000.0</v>
      </c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</row>
    <row r="49" ht="15.75" customHeight="1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</row>
    <row r="50" ht="15.75" customHeight="1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</row>
    <row r="51" ht="15.75" customHeight="1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</row>
    <row r="52" ht="15.75" customHeight="1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</row>
    <row r="53" ht="15.75" customHeight="1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</row>
    <row r="54" ht="15.75" customHeight="1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</row>
    <row r="55" ht="15.75" customHeight="1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</row>
    <row r="56" ht="15.75" customHeight="1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</row>
    <row r="57" ht="15.75" customHeight="1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</row>
    <row r="58" ht="15.75" customHeight="1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</row>
    <row r="59" ht="15.75" customHeight="1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</row>
    <row r="60" ht="15.75" customHeight="1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</row>
    <row r="61" ht="15.75" customHeight="1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</row>
    <row r="62" ht="15.75" customHeight="1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</row>
    <row r="63" ht="15.75" customHeight="1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</row>
    <row r="64" ht="15.75" customHeight="1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</row>
    <row r="65" ht="15.75" customHeight="1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</row>
    <row r="66" ht="15.75" customHeight="1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</row>
    <row r="67" ht="15.75" customHeight="1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47"/>
    </row>
    <row r="68" ht="15.75" customHeight="1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</row>
    <row r="69" ht="15.75" customHeight="1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</row>
    <row r="70" ht="15.75" customHeight="1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</row>
    <row r="71" ht="15.75" customHeight="1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</row>
    <row r="72" ht="15.75" customHeight="1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</row>
    <row r="73" ht="15.75" customHeight="1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</row>
    <row r="74" ht="15.75" customHeight="1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</row>
    <row r="75" ht="15.75" customHeight="1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</row>
    <row r="76" ht="15.75" customHeight="1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47"/>
    </row>
    <row r="77" ht="15.75" customHeight="1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  <c r="AJ77" s="147"/>
      <c r="AK77" s="147"/>
    </row>
    <row r="78" ht="15.75" customHeight="1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  <c r="AJ78" s="147"/>
      <c r="AK78" s="147"/>
    </row>
    <row r="79" ht="15.75" customHeight="1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  <c r="AJ79" s="147"/>
      <c r="AK79" s="147"/>
    </row>
    <row r="80" ht="15.75" customHeight="1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  <c r="AJ80" s="147"/>
      <c r="AK80" s="147"/>
    </row>
    <row r="81" ht="15.75" customHeight="1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  <c r="AK81" s="147"/>
    </row>
    <row r="82" ht="15.75" customHeight="1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  <c r="AK82" s="147"/>
    </row>
    <row r="83" ht="15.75" customHeight="1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</row>
    <row r="84" ht="15.75" customHeight="1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  <c r="AJ84" s="147"/>
      <c r="AK84" s="147"/>
    </row>
    <row r="85" ht="15.75" customHeight="1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  <c r="AK85" s="147"/>
    </row>
    <row r="86" ht="15.75" customHeight="1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  <c r="AJ86" s="147"/>
      <c r="AK86" s="147"/>
    </row>
    <row r="87" ht="15.75" customHeight="1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  <c r="AJ87" s="147"/>
      <c r="AK87" s="147"/>
    </row>
    <row r="88" ht="15.75" customHeight="1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  <c r="AJ88" s="147"/>
      <c r="AK88" s="147"/>
    </row>
    <row r="89" ht="15.75" customHeight="1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  <c r="AJ89" s="147"/>
      <c r="AK89" s="147"/>
    </row>
    <row r="90" ht="15.75" customHeight="1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  <c r="AJ90" s="147"/>
      <c r="AK90" s="147"/>
    </row>
    <row r="91" ht="15.75" customHeight="1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</row>
    <row r="92" ht="15.75" customHeight="1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  <c r="AJ92" s="147"/>
      <c r="AK92" s="147"/>
    </row>
    <row r="93" ht="15.75" customHeight="1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</row>
    <row r="94" ht="15.75" customHeight="1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  <c r="AJ94" s="147"/>
      <c r="AK94" s="147"/>
    </row>
    <row r="95" ht="15.75" customHeight="1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  <c r="AJ95" s="147"/>
      <c r="AK95" s="147"/>
    </row>
    <row r="96" ht="15.75" customHeight="1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  <c r="AJ96" s="147"/>
      <c r="AK96" s="147"/>
    </row>
    <row r="97" ht="15.75" customHeight="1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  <c r="AJ97" s="147"/>
      <c r="AK97" s="147"/>
    </row>
    <row r="98" ht="15.75" customHeight="1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  <c r="AJ98" s="147"/>
      <c r="AK98" s="147"/>
    </row>
    <row r="99" ht="15.75" customHeight="1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  <c r="AJ99" s="147"/>
      <c r="AK99" s="147"/>
    </row>
    <row r="100" ht="15.75" customHeight="1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  <c r="AJ100" s="147"/>
      <c r="AK100" s="147"/>
    </row>
    <row r="101" ht="15.75" customHeight="1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  <c r="AJ101" s="147"/>
      <c r="AK101" s="147"/>
    </row>
    <row r="102" ht="15.75" customHeight="1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  <c r="AJ102" s="147"/>
      <c r="AK102" s="147"/>
    </row>
    <row r="103" ht="15.75" customHeight="1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</row>
    <row r="104" ht="15.75" customHeight="1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  <c r="AJ104" s="147"/>
      <c r="AK104" s="147"/>
    </row>
    <row r="105" ht="15.75" customHeight="1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  <c r="AJ105" s="147"/>
      <c r="AK105" s="147"/>
    </row>
    <row r="106" ht="15.75" customHeight="1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  <c r="AJ106" s="147"/>
      <c r="AK106" s="147"/>
    </row>
    <row r="107" ht="15.75" customHeight="1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</row>
    <row r="108" ht="15.75" customHeight="1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</row>
    <row r="109" ht="15.75" customHeight="1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  <c r="AJ109" s="147"/>
      <c r="AK109" s="147"/>
    </row>
    <row r="110" ht="15.75" customHeight="1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  <c r="AJ110" s="147"/>
      <c r="AK110" s="147"/>
    </row>
    <row r="111" ht="15.75" customHeight="1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  <c r="AJ111" s="147"/>
      <c r="AK111" s="147"/>
    </row>
    <row r="112" ht="15.75" customHeight="1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  <c r="AJ112" s="147"/>
      <c r="AK112" s="147"/>
    </row>
    <row r="113" ht="15.75" customHeight="1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</row>
    <row r="114" ht="15.75" customHeight="1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  <c r="AJ114" s="147"/>
      <c r="AK114" s="147"/>
    </row>
    <row r="115" ht="15.75" customHeight="1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  <c r="AJ115" s="147"/>
      <c r="AK115" s="147"/>
    </row>
    <row r="116" ht="15.75" customHeight="1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  <c r="AJ116" s="147"/>
      <c r="AK116" s="147"/>
    </row>
    <row r="117" ht="15.75" customHeight="1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</row>
    <row r="118" ht="15.75" customHeight="1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  <c r="AJ118" s="147"/>
      <c r="AK118" s="147"/>
    </row>
    <row r="119" ht="15.75" customHeight="1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  <c r="AJ119" s="147"/>
      <c r="AK119" s="147"/>
    </row>
    <row r="120" ht="15.75" customHeight="1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  <c r="AJ120" s="147"/>
      <c r="AK120" s="147"/>
    </row>
    <row r="121" ht="15.75" customHeight="1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  <c r="AJ121" s="147"/>
      <c r="AK121" s="147"/>
    </row>
    <row r="122" ht="15.75" customHeight="1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  <c r="AJ122" s="147"/>
      <c r="AK122" s="147"/>
    </row>
    <row r="123" ht="15.75" customHeight="1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  <c r="AJ123" s="147"/>
      <c r="AK123" s="147"/>
    </row>
    <row r="124" ht="15.75" customHeight="1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  <c r="AJ124" s="147"/>
      <c r="AK124" s="147"/>
    </row>
    <row r="125" ht="15.75" customHeight="1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  <c r="AJ125" s="147"/>
      <c r="AK125" s="147"/>
    </row>
    <row r="126" ht="15.75" customHeight="1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  <c r="AJ126" s="147"/>
      <c r="AK126" s="147"/>
    </row>
    <row r="127" ht="15.75" customHeight="1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  <c r="AJ127" s="147"/>
      <c r="AK127" s="147"/>
    </row>
    <row r="128" ht="15.75" customHeight="1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  <c r="AJ128" s="147"/>
      <c r="AK128" s="147"/>
    </row>
    <row r="129" ht="15.75" customHeight="1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147"/>
      <c r="AJ129" s="147"/>
      <c r="AK129" s="147"/>
    </row>
    <row r="130" ht="15.75" customHeight="1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47"/>
      <c r="AJ130" s="147"/>
      <c r="AK130" s="147"/>
    </row>
    <row r="131" ht="15.75" customHeight="1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  <c r="AJ131" s="147"/>
      <c r="AK131" s="147"/>
    </row>
    <row r="132" ht="15.75" customHeight="1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147"/>
      <c r="AJ132" s="147"/>
      <c r="AK132" s="147"/>
    </row>
    <row r="133" ht="15.75" customHeight="1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</row>
    <row r="134" ht="15.75" customHeight="1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  <c r="AJ134" s="147"/>
      <c r="AK134" s="147"/>
    </row>
    <row r="135" ht="15.75" customHeight="1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  <c r="AJ135" s="147"/>
      <c r="AK135" s="147"/>
    </row>
    <row r="136" ht="15.75" customHeight="1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147"/>
      <c r="AJ136" s="147"/>
      <c r="AK136" s="147"/>
    </row>
    <row r="137" ht="15.75" customHeight="1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  <c r="AJ137" s="147"/>
      <c r="AK137" s="147"/>
    </row>
    <row r="138" ht="15.75" customHeight="1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  <c r="AJ138" s="147"/>
      <c r="AK138" s="147"/>
    </row>
    <row r="139" ht="15.75" customHeight="1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  <c r="AJ139" s="147"/>
      <c r="AK139" s="147"/>
    </row>
    <row r="140" ht="15.75" customHeight="1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  <c r="AJ140" s="147"/>
      <c r="AK140" s="147"/>
    </row>
    <row r="141" ht="15.75" customHeight="1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47"/>
      <c r="AJ141" s="147"/>
      <c r="AK141" s="147"/>
    </row>
    <row r="142" ht="15.75" customHeight="1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147"/>
      <c r="AJ142" s="147"/>
      <c r="AK142" s="147"/>
    </row>
    <row r="143" ht="15.75" customHeight="1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  <c r="AI143" s="147"/>
      <c r="AJ143" s="147"/>
      <c r="AK143" s="147"/>
    </row>
    <row r="144" ht="15.75" customHeight="1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  <c r="AJ144" s="147"/>
      <c r="AK144" s="147"/>
    </row>
    <row r="145" ht="15.75" customHeight="1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  <c r="AI145" s="147"/>
      <c r="AJ145" s="147"/>
      <c r="AK145" s="147"/>
    </row>
    <row r="146" ht="15.75" customHeight="1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  <c r="AJ146" s="147"/>
      <c r="AK146" s="147"/>
    </row>
    <row r="147" ht="15.75" customHeight="1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147"/>
      <c r="AJ147" s="147"/>
      <c r="AK147" s="147"/>
    </row>
    <row r="148" ht="15.75" customHeight="1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  <c r="AJ148" s="147"/>
      <c r="AK148" s="147"/>
    </row>
    <row r="149" ht="15.75" customHeight="1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  <c r="AH149" s="147"/>
      <c r="AI149" s="147"/>
      <c r="AJ149" s="147"/>
      <c r="AK149" s="147"/>
    </row>
    <row r="150" ht="15.75" customHeight="1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  <c r="AC150" s="147"/>
      <c r="AD150" s="147"/>
      <c r="AE150" s="147"/>
      <c r="AF150" s="147"/>
      <c r="AG150" s="147"/>
      <c r="AH150" s="147"/>
      <c r="AI150" s="147"/>
      <c r="AJ150" s="147"/>
      <c r="AK150" s="147"/>
    </row>
    <row r="151" ht="15.75" customHeight="1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147"/>
      <c r="AE151" s="147"/>
      <c r="AF151" s="147"/>
      <c r="AG151" s="147"/>
      <c r="AH151" s="147"/>
      <c r="AI151" s="147"/>
      <c r="AJ151" s="147"/>
      <c r="AK151" s="147"/>
    </row>
    <row r="152" ht="15.75" customHeight="1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  <c r="AH152" s="147"/>
      <c r="AI152" s="147"/>
      <c r="AJ152" s="147"/>
      <c r="AK152" s="147"/>
    </row>
    <row r="153" ht="15.75" customHeight="1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  <c r="AC153" s="147"/>
      <c r="AD153" s="147"/>
      <c r="AE153" s="147"/>
      <c r="AF153" s="147"/>
      <c r="AG153" s="147"/>
      <c r="AH153" s="147"/>
      <c r="AI153" s="147"/>
      <c r="AJ153" s="147"/>
      <c r="AK153" s="147"/>
    </row>
    <row r="154" ht="15.75" customHeight="1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  <c r="AH154" s="147"/>
      <c r="AI154" s="147"/>
      <c r="AJ154" s="147"/>
      <c r="AK154" s="147"/>
    </row>
    <row r="155" ht="15.75" customHeight="1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  <c r="AJ155" s="147"/>
      <c r="AK155" s="147"/>
    </row>
    <row r="156" ht="15.75" customHeight="1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  <c r="AJ156" s="147"/>
      <c r="AK156" s="147"/>
    </row>
    <row r="157" ht="15.75" customHeight="1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  <c r="AJ157" s="147"/>
      <c r="AK157" s="147"/>
    </row>
    <row r="158" ht="15.75" customHeight="1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</row>
    <row r="159" ht="15.75" customHeight="1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  <c r="AJ159" s="147"/>
      <c r="AK159" s="147"/>
    </row>
    <row r="160" ht="15.75" customHeight="1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  <c r="AH160" s="147"/>
      <c r="AI160" s="147"/>
      <c r="AJ160" s="147"/>
      <c r="AK160" s="147"/>
    </row>
    <row r="161" ht="15.75" customHeight="1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  <c r="AJ161" s="147"/>
      <c r="AK161" s="147"/>
    </row>
    <row r="162" ht="15.75" customHeight="1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  <c r="AH162" s="147"/>
      <c r="AI162" s="147"/>
      <c r="AJ162" s="147"/>
      <c r="AK162" s="147"/>
    </row>
    <row r="163" ht="15.75" customHeight="1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  <c r="AJ163" s="147"/>
      <c r="AK163" s="147"/>
    </row>
    <row r="164" ht="15.75" customHeight="1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  <c r="AH164" s="147"/>
      <c r="AI164" s="147"/>
      <c r="AJ164" s="147"/>
      <c r="AK164" s="147"/>
    </row>
    <row r="165" ht="15.75" customHeight="1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  <c r="AH165" s="147"/>
      <c r="AI165" s="147"/>
      <c r="AJ165" s="147"/>
      <c r="AK165" s="147"/>
    </row>
    <row r="166" ht="15.75" customHeight="1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  <c r="AJ166" s="147"/>
      <c r="AK166" s="147"/>
    </row>
    <row r="167" ht="15.75" customHeight="1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  <c r="AJ167" s="147"/>
      <c r="AK167" s="147"/>
    </row>
    <row r="168" ht="15.75" customHeight="1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  <c r="AJ168" s="147"/>
      <c r="AK168" s="147"/>
    </row>
    <row r="169" ht="15.75" customHeight="1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  <c r="AJ169" s="147"/>
      <c r="AK169" s="147"/>
    </row>
    <row r="170" ht="15.75" customHeight="1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  <c r="AJ170" s="147"/>
      <c r="AK170" s="147"/>
    </row>
    <row r="171" ht="15.75" customHeight="1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  <c r="AJ171" s="147"/>
      <c r="AK171" s="147"/>
    </row>
    <row r="172" ht="15.75" customHeight="1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  <c r="AJ172" s="147"/>
      <c r="AK172" s="147"/>
    </row>
    <row r="173" ht="15.75" customHeight="1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  <c r="AJ173" s="147"/>
      <c r="AK173" s="147"/>
    </row>
    <row r="174" ht="15.75" customHeight="1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  <c r="AJ174" s="147"/>
      <c r="AK174" s="147"/>
    </row>
    <row r="175" ht="15.75" customHeight="1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  <c r="AJ175" s="147"/>
      <c r="AK175" s="147"/>
    </row>
    <row r="176" ht="15.75" customHeight="1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/>
      <c r="AI176" s="147"/>
      <c r="AJ176" s="147"/>
      <c r="AK176" s="147"/>
    </row>
    <row r="177" ht="15.75" customHeight="1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  <c r="AJ177" s="147"/>
      <c r="AK177" s="147"/>
    </row>
    <row r="178" ht="15.75" customHeight="1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  <c r="AC178" s="147"/>
      <c r="AD178" s="147"/>
      <c r="AE178" s="147"/>
      <c r="AF178" s="147"/>
      <c r="AG178" s="147"/>
      <c r="AH178" s="147"/>
      <c r="AI178" s="147"/>
      <c r="AJ178" s="147"/>
      <c r="AK178" s="147"/>
    </row>
    <row r="179" ht="15.75" customHeight="1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  <c r="AH179" s="147"/>
      <c r="AI179" s="147"/>
      <c r="AJ179" s="147"/>
      <c r="AK179" s="147"/>
    </row>
    <row r="180" ht="15.75" customHeight="1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/>
      <c r="AJ180" s="147"/>
      <c r="AK180" s="147"/>
    </row>
    <row r="181" ht="15.75" customHeight="1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47"/>
      <c r="AF181" s="147"/>
      <c r="AG181" s="147"/>
      <c r="AH181" s="147"/>
      <c r="AI181" s="147"/>
      <c r="AJ181" s="147"/>
      <c r="AK181" s="147"/>
    </row>
    <row r="182" ht="15.75" customHeight="1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  <c r="AJ182" s="147"/>
      <c r="AK182" s="147"/>
    </row>
    <row r="183" ht="15.75" customHeight="1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</row>
    <row r="184" ht="15.75" customHeight="1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  <c r="AC184" s="147"/>
      <c r="AD184" s="147"/>
      <c r="AE184" s="147"/>
      <c r="AF184" s="147"/>
      <c r="AG184" s="147"/>
      <c r="AH184" s="147"/>
      <c r="AI184" s="147"/>
      <c r="AJ184" s="147"/>
      <c r="AK184" s="147"/>
    </row>
    <row r="185" ht="15.75" customHeight="1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  <c r="AJ185" s="147"/>
      <c r="AK185" s="147"/>
    </row>
    <row r="186" ht="15.75" customHeight="1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147"/>
      <c r="AF186" s="147"/>
      <c r="AG186" s="147"/>
      <c r="AH186" s="147"/>
      <c r="AI186" s="147"/>
      <c r="AJ186" s="147"/>
      <c r="AK186" s="147"/>
    </row>
    <row r="187" ht="15.75" customHeight="1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  <c r="AJ187" s="147"/>
      <c r="AK187" s="147"/>
    </row>
    <row r="188" ht="15.75" customHeight="1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  <c r="AH188" s="147"/>
      <c r="AI188" s="147"/>
      <c r="AJ188" s="147"/>
      <c r="AK188" s="147"/>
    </row>
    <row r="189" ht="15.75" customHeight="1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/>
      <c r="AF189" s="147"/>
      <c r="AG189" s="147"/>
      <c r="AH189" s="147"/>
      <c r="AI189" s="147"/>
      <c r="AJ189" s="147"/>
      <c r="AK189" s="147"/>
    </row>
    <row r="190" ht="15.75" customHeight="1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/>
      <c r="AI190" s="147"/>
      <c r="AJ190" s="147"/>
      <c r="AK190" s="147"/>
    </row>
    <row r="191" ht="15.75" customHeight="1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  <c r="AJ191" s="147"/>
      <c r="AK191" s="147"/>
    </row>
    <row r="192" ht="15.75" customHeight="1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  <c r="AJ192" s="147"/>
      <c r="AK192" s="147"/>
    </row>
    <row r="193" ht="15.75" customHeight="1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  <c r="AJ193" s="147"/>
      <c r="AK193" s="147"/>
    </row>
    <row r="194" ht="15.75" customHeight="1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  <c r="AJ194" s="147"/>
      <c r="AK194" s="147"/>
    </row>
    <row r="195" ht="15.75" customHeight="1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  <c r="AJ195" s="147"/>
      <c r="AK195" s="147"/>
    </row>
    <row r="196" ht="15.75" customHeight="1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  <c r="AJ196" s="147"/>
      <c r="AK196" s="147"/>
    </row>
    <row r="197" ht="15.75" customHeight="1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  <c r="AJ197" s="147"/>
      <c r="AK197" s="147"/>
    </row>
    <row r="198" ht="15.75" customHeight="1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  <c r="AJ198" s="147"/>
      <c r="AK198" s="147"/>
    </row>
    <row r="199" ht="15.75" customHeight="1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  <c r="AJ199" s="147"/>
      <c r="AK199" s="147"/>
    </row>
    <row r="200" ht="15.75" customHeight="1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  <c r="AJ200" s="147"/>
      <c r="AK200" s="147"/>
    </row>
    <row r="201" ht="15.75" customHeight="1">
      <c r="A201" s="147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  <c r="AJ201" s="147"/>
      <c r="AK201" s="147"/>
    </row>
    <row r="202" ht="15.75" customHeight="1">
      <c r="A202" s="147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  <c r="AH202" s="147"/>
      <c r="AI202" s="147"/>
      <c r="AJ202" s="147"/>
      <c r="AK202" s="147"/>
    </row>
    <row r="203" ht="15.75" customHeight="1">
      <c r="A203" s="147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  <c r="AJ203" s="147"/>
      <c r="AK203" s="147"/>
    </row>
    <row r="204" ht="15.75" customHeight="1">
      <c r="A204" s="147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  <c r="AJ204" s="147"/>
      <c r="AK204" s="147"/>
    </row>
    <row r="205" ht="15.75" customHeight="1">
      <c r="A205" s="147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  <c r="AJ205" s="147"/>
      <c r="AK205" s="147"/>
    </row>
    <row r="206" ht="15.75" customHeight="1">
      <c r="A206" s="147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  <c r="AJ206" s="147"/>
      <c r="AK206" s="147"/>
    </row>
    <row r="207" ht="15.75" customHeight="1">
      <c r="A207" s="147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  <c r="AJ207" s="147"/>
      <c r="AK207" s="147"/>
    </row>
    <row r="208" ht="15.75" customHeight="1">
      <c r="A208" s="147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  <c r="AC208" s="147"/>
      <c r="AD208" s="147"/>
      <c r="AE208" s="147"/>
      <c r="AF208" s="147"/>
      <c r="AG208" s="147"/>
      <c r="AH208" s="147"/>
      <c r="AI208" s="147"/>
      <c r="AJ208" s="147"/>
      <c r="AK208" s="147"/>
    </row>
    <row r="209" ht="15.75" customHeight="1">
      <c r="A209" s="147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  <c r="AJ209" s="147"/>
      <c r="AK209" s="147"/>
    </row>
    <row r="210" ht="15.75" customHeight="1">
      <c r="A210" s="147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  <c r="AH210" s="147"/>
      <c r="AI210" s="147"/>
      <c r="AJ210" s="147"/>
      <c r="AK210" s="147"/>
    </row>
    <row r="211" ht="15.75" customHeight="1">
      <c r="A211" s="147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  <c r="AJ211" s="147"/>
      <c r="AK211" s="147"/>
    </row>
    <row r="212" ht="15.75" customHeight="1">
      <c r="A212" s="147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  <c r="AJ212" s="147"/>
      <c r="AK212" s="147"/>
    </row>
    <row r="213" ht="15.75" customHeight="1">
      <c r="A213" s="147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  <c r="AJ213" s="147"/>
      <c r="AK213" s="147"/>
    </row>
    <row r="214" ht="15.75" customHeight="1">
      <c r="A214" s="147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  <c r="AH214" s="147"/>
      <c r="AI214" s="147"/>
      <c r="AJ214" s="147"/>
      <c r="AK214" s="147"/>
    </row>
    <row r="215" ht="15.75" customHeight="1">
      <c r="A215" s="147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  <c r="AH215" s="147"/>
      <c r="AI215" s="147"/>
      <c r="AJ215" s="147"/>
      <c r="AK215" s="147"/>
    </row>
    <row r="216" ht="15.75" customHeight="1">
      <c r="A216" s="147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  <c r="AH216" s="147"/>
      <c r="AI216" s="147"/>
      <c r="AJ216" s="147"/>
      <c r="AK216" s="147"/>
    </row>
    <row r="217" ht="15.75" customHeight="1">
      <c r="A217" s="147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  <c r="AJ217" s="147"/>
      <c r="AK217" s="147"/>
    </row>
    <row r="218" ht="15.75" customHeight="1">
      <c r="A218" s="147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  <c r="AH218" s="147"/>
      <c r="AI218" s="147"/>
      <c r="AJ218" s="147"/>
      <c r="AK218" s="147"/>
    </row>
    <row r="219" ht="15.75" customHeight="1">
      <c r="A219" s="147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/>
      <c r="AI219" s="147"/>
      <c r="AJ219" s="147"/>
      <c r="AK219" s="147"/>
    </row>
    <row r="220" ht="15.75" customHeight="1">
      <c r="A220" s="147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  <c r="AJ220" s="147"/>
      <c r="AK220" s="147"/>
    </row>
    <row r="221" ht="15.75" customHeight="1">
      <c r="A221" s="147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  <c r="AJ221" s="147"/>
      <c r="AK221" s="147"/>
    </row>
    <row r="222" ht="15.75" customHeight="1">
      <c r="A222" s="147"/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147"/>
      <c r="AF222" s="147"/>
      <c r="AG222" s="147"/>
      <c r="AH222" s="147"/>
      <c r="AI222" s="147"/>
      <c r="AJ222" s="147"/>
      <c r="AK222" s="147"/>
    </row>
    <row r="223" ht="15.75" customHeight="1">
      <c r="A223" s="147"/>
      <c r="B223" s="147"/>
      <c r="C223" s="147"/>
      <c r="D223" s="147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  <c r="AC223" s="147"/>
      <c r="AD223" s="147"/>
      <c r="AE223" s="147"/>
      <c r="AF223" s="147"/>
      <c r="AG223" s="147"/>
      <c r="AH223" s="147"/>
      <c r="AI223" s="147"/>
      <c r="AJ223" s="147"/>
      <c r="AK223" s="147"/>
    </row>
    <row r="224" ht="15.75" customHeight="1">
      <c r="A224" s="147"/>
      <c r="B224" s="147"/>
      <c r="C224" s="147"/>
      <c r="D224" s="147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  <c r="AC224" s="147"/>
      <c r="AD224" s="147"/>
      <c r="AE224" s="147"/>
      <c r="AF224" s="147"/>
      <c r="AG224" s="147"/>
      <c r="AH224" s="147"/>
      <c r="AI224" s="147"/>
      <c r="AJ224" s="147"/>
      <c r="AK224" s="147"/>
    </row>
    <row r="225" ht="15.75" customHeight="1">
      <c r="A225" s="147"/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7"/>
      <c r="AH225" s="147"/>
      <c r="AI225" s="147"/>
      <c r="AJ225" s="147"/>
      <c r="AK225" s="147"/>
    </row>
    <row r="226" ht="15.75" customHeight="1">
      <c r="A226" s="147"/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  <c r="AC226" s="147"/>
      <c r="AD226" s="147"/>
      <c r="AE226" s="147"/>
      <c r="AF226" s="147"/>
      <c r="AG226" s="147"/>
      <c r="AH226" s="147"/>
      <c r="AI226" s="147"/>
      <c r="AJ226" s="147"/>
      <c r="AK226" s="147"/>
    </row>
    <row r="227" ht="15.75" customHeight="1">
      <c r="A227" s="147"/>
      <c r="B227" s="147"/>
      <c r="C227" s="147"/>
      <c r="D227" s="147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  <c r="AC227" s="147"/>
      <c r="AD227" s="147"/>
      <c r="AE227" s="147"/>
      <c r="AF227" s="147"/>
      <c r="AG227" s="147"/>
      <c r="AH227" s="147"/>
      <c r="AI227" s="147"/>
      <c r="AJ227" s="147"/>
      <c r="AK227" s="147"/>
    </row>
    <row r="228" ht="15.75" customHeight="1">
      <c r="A228" s="147"/>
      <c r="B228" s="147"/>
      <c r="C228" s="147"/>
      <c r="D228" s="147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  <c r="AC228" s="147"/>
      <c r="AD228" s="147"/>
      <c r="AE228" s="147"/>
      <c r="AF228" s="147"/>
      <c r="AG228" s="147"/>
      <c r="AH228" s="147"/>
      <c r="AI228" s="147"/>
      <c r="AJ228" s="147"/>
      <c r="AK228" s="147"/>
    </row>
    <row r="229" ht="15.75" customHeight="1">
      <c r="A229" s="147"/>
      <c r="B229" s="147"/>
      <c r="C229" s="147"/>
      <c r="D229" s="147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  <c r="AC229" s="147"/>
      <c r="AD229" s="147"/>
      <c r="AE229" s="147"/>
      <c r="AF229" s="147"/>
      <c r="AG229" s="147"/>
      <c r="AH229" s="147"/>
      <c r="AI229" s="147"/>
      <c r="AJ229" s="147"/>
      <c r="AK229" s="147"/>
    </row>
    <row r="230" ht="15.75" customHeight="1">
      <c r="A230" s="147"/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7"/>
      <c r="AG230" s="147"/>
      <c r="AH230" s="147"/>
      <c r="AI230" s="147"/>
      <c r="AJ230" s="147"/>
      <c r="AK230" s="147"/>
    </row>
    <row r="231" ht="15.75" customHeight="1">
      <c r="A231" s="147"/>
      <c r="B231" s="147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  <c r="AC231" s="147"/>
      <c r="AD231" s="147"/>
      <c r="AE231" s="147"/>
      <c r="AF231" s="147"/>
      <c r="AG231" s="147"/>
      <c r="AH231" s="147"/>
      <c r="AI231" s="147"/>
      <c r="AJ231" s="147"/>
      <c r="AK231" s="147"/>
    </row>
    <row r="232" ht="15.75" customHeight="1">
      <c r="A232" s="147"/>
      <c r="B232" s="147"/>
      <c r="C232" s="147"/>
      <c r="D232" s="147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  <c r="AC232" s="147"/>
      <c r="AD232" s="147"/>
      <c r="AE232" s="147"/>
      <c r="AF232" s="147"/>
      <c r="AG232" s="147"/>
      <c r="AH232" s="147"/>
      <c r="AI232" s="147"/>
      <c r="AJ232" s="147"/>
      <c r="AK232" s="147"/>
    </row>
    <row r="233" ht="15.75" customHeight="1">
      <c r="A233" s="147"/>
      <c r="B233" s="147"/>
      <c r="C233" s="147"/>
      <c r="D233" s="147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  <c r="AC233" s="147"/>
      <c r="AD233" s="147"/>
      <c r="AE233" s="147"/>
      <c r="AF233" s="147"/>
      <c r="AG233" s="147"/>
      <c r="AH233" s="147"/>
      <c r="AI233" s="147"/>
      <c r="AJ233" s="147"/>
      <c r="AK233" s="147"/>
    </row>
    <row r="234" ht="15.75" customHeight="1">
      <c r="A234" s="147"/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7"/>
      <c r="AG234" s="147"/>
      <c r="AH234" s="147"/>
      <c r="AI234" s="147"/>
      <c r="AJ234" s="147"/>
      <c r="AK234" s="147"/>
    </row>
    <row r="235" ht="15.75" customHeight="1">
      <c r="A235" s="147"/>
      <c r="B235" s="147"/>
      <c r="C235" s="147"/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  <c r="AC235" s="147"/>
      <c r="AD235" s="147"/>
      <c r="AE235" s="147"/>
      <c r="AF235" s="147"/>
      <c r="AG235" s="147"/>
      <c r="AH235" s="147"/>
      <c r="AI235" s="147"/>
      <c r="AJ235" s="147"/>
      <c r="AK235" s="147"/>
    </row>
    <row r="236" ht="15.75" customHeight="1">
      <c r="A236" s="147"/>
      <c r="B236" s="147"/>
      <c r="C236" s="147"/>
      <c r="D236" s="147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  <c r="AC236" s="147"/>
      <c r="AD236" s="147"/>
      <c r="AE236" s="147"/>
      <c r="AF236" s="147"/>
      <c r="AG236" s="147"/>
      <c r="AH236" s="147"/>
      <c r="AI236" s="147"/>
      <c r="AJ236" s="147"/>
      <c r="AK236" s="147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conditionalFormatting sqref="S2:S12 S15:S29 T29:AE29 AG29:AH29">
    <cfRule type="expression" dxfId="0" priority="1">
      <formula>isformula(S2)</formula>
    </cfRule>
  </conditionalFormatting>
  <hyperlinks>
    <hyperlink r:id="rId1" ref="D4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8.0"/>
    <col customWidth="1" min="3" max="3" width="7.13"/>
    <col customWidth="1" min="4" max="4" width="12.5"/>
    <col customWidth="1" min="5" max="5" width="23.88"/>
    <col customWidth="1" min="6" max="6" width="11.63"/>
    <col customWidth="1" min="7" max="7" width="19.0"/>
    <col customWidth="1" min="8" max="8" width="17.88"/>
    <col customWidth="1" min="9" max="9" width="16.38"/>
    <col customWidth="1" min="23" max="23" width="4.5"/>
  </cols>
  <sheetData>
    <row r="1" ht="48.75" customHeight="1">
      <c r="A1" s="130" t="s">
        <v>0</v>
      </c>
      <c r="B1" s="3" t="s">
        <v>1</v>
      </c>
      <c r="C1" s="5" t="s">
        <v>2</v>
      </c>
      <c r="D1" s="135" t="s">
        <v>3</v>
      </c>
      <c r="E1" s="3" t="s">
        <v>4</v>
      </c>
      <c r="F1" s="5" t="s">
        <v>72</v>
      </c>
      <c r="G1" s="135" t="s">
        <v>73</v>
      </c>
      <c r="H1" s="135" t="s">
        <v>74</v>
      </c>
      <c r="I1" s="135" t="s">
        <v>75</v>
      </c>
      <c r="J1" s="8" t="s">
        <v>20</v>
      </c>
      <c r="K1" s="9">
        <v>46023.0</v>
      </c>
      <c r="L1" s="9">
        <v>46054.0</v>
      </c>
      <c r="M1" s="9">
        <v>46082.0</v>
      </c>
      <c r="N1" s="9">
        <v>46113.0</v>
      </c>
      <c r="O1" s="9">
        <v>46143.0</v>
      </c>
      <c r="P1" s="9">
        <v>46174.0</v>
      </c>
      <c r="Q1" s="9">
        <v>46204.0</v>
      </c>
      <c r="R1" s="9">
        <v>46235.0</v>
      </c>
      <c r="S1" s="9">
        <v>46266.0</v>
      </c>
      <c r="T1" s="9">
        <v>46296.0</v>
      </c>
      <c r="U1" s="9">
        <v>46327.0</v>
      </c>
      <c r="V1" s="9">
        <v>46357.0</v>
      </c>
      <c r="W1" s="139"/>
      <c r="X1" s="140" t="s">
        <v>21</v>
      </c>
      <c r="Y1" s="13" t="s">
        <v>22</v>
      </c>
    </row>
    <row r="2">
      <c r="A2" s="141">
        <v>1.0</v>
      </c>
      <c r="B2" s="142" t="s">
        <v>23</v>
      </c>
      <c r="C2" s="142" t="s">
        <v>24</v>
      </c>
      <c r="D2" s="143" t="s">
        <v>25</v>
      </c>
      <c r="E2" s="144" t="s">
        <v>26</v>
      </c>
      <c r="F2" s="145" t="s">
        <v>76</v>
      </c>
      <c r="G2" s="144" t="str">
        <f>'Personnel Cost'!I7</f>
        <v/>
      </c>
      <c r="H2" s="144"/>
      <c r="I2" s="144"/>
      <c r="J2" s="148">
        <f t="shared" ref="J2:J8" si="1">SUM(K2:V2)</f>
        <v>0</v>
      </c>
      <c r="K2" s="149">
        <v>0.0</v>
      </c>
      <c r="L2" s="149">
        <v>0.0</v>
      </c>
      <c r="M2" s="149">
        <v>0.0</v>
      </c>
      <c r="N2" s="149">
        <v>0.0</v>
      </c>
      <c r="O2" s="149">
        <v>0.0</v>
      </c>
      <c r="P2" s="149">
        <v>0.0</v>
      </c>
      <c r="Q2" s="149">
        <v>0.0</v>
      </c>
      <c r="R2" s="149">
        <v>0.0</v>
      </c>
      <c r="S2" s="149">
        <v>0.0</v>
      </c>
      <c r="T2" s="149">
        <v>0.0</v>
      </c>
      <c r="U2" s="149">
        <v>0.0</v>
      </c>
      <c r="V2" s="149">
        <v>0.0</v>
      </c>
      <c r="W2" s="150"/>
      <c r="X2" s="153">
        <f t="shared" ref="X2:X8" si="2">J2</f>
        <v>0</v>
      </c>
      <c r="Y2" s="153"/>
    </row>
    <row r="3">
      <c r="A3" s="156">
        <v>2.0</v>
      </c>
      <c r="B3" s="159" t="s">
        <v>23</v>
      </c>
      <c r="C3" s="159" t="s">
        <v>24</v>
      </c>
      <c r="D3" s="160" t="s">
        <v>25</v>
      </c>
      <c r="E3" s="163" t="s">
        <v>26</v>
      </c>
      <c r="F3" s="157" t="s">
        <v>76</v>
      </c>
      <c r="G3" s="163"/>
      <c r="H3" s="163"/>
      <c r="I3" s="163"/>
      <c r="J3" s="167">
        <f t="shared" si="1"/>
        <v>0</v>
      </c>
      <c r="K3" s="167">
        <v>0.0</v>
      </c>
      <c r="L3" s="167">
        <v>0.0</v>
      </c>
      <c r="M3" s="167">
        <v>0.0</v>
      </c>
      <c r="N3" s="167">
        <v>0.0</v>
      </c>
      <c r="O3" s="167">
        <v>0.0</v>
      </c>
      <c r="P3" s="167">
        <v>0.0</v>
      </c>
      <c r="Q3" s="167">
        <v>0.0</v>
      </c>
      <c r="R3" s="167">
        <v>0.0</v>
      </c>
      <c r="S3" s="167">
        <v>0.0</v>
      </c>
      <c r="T3" s="167">
        <v>0.0</v>
      </c>
      <c r="U3" s="167">
        <v>0.0</v>
      </c>
      <c r="V3" s="167">
        <v>0.0</v>
      </c>
      <c r="W3" s="170"/>
      <c r="X3" s="153">
        <f t="shared" si="2"/>
        <v>0</v>
      </c>
      <c r="Y3" s="153"/>
    </row>
    <row r="4">
      <c r="A4" s="156">
        <v>3.0</v>
      </c>
      <c r="B4" s="159" t="s">
        <v>23</v>
      </c>
      <c r="C4" s="159" t="s">
        <v>24</v>
      </c>
      <c r="D4" s="160" t="s">
        <v>25</v>
      </c>
      <c r="E4" s="163" t="s">
        <v>26</v>
      </c>
      <c r="F4" s="157" t="s">
        <v>76</v>
      </c>
      <c r="G4" s="163"/>
      <c r="H4" s="163"/>
      <c r="I4" s="163"/>
      <c r="J4" s="167">
        <f t="shared" si="1"/>
        <v>0</v>
      </c>
      <c r="K4" s="167">
        <v>0.0</v>
      </c>
      <c r="L4" s="167">
        <v>0.0</v>
      </c>
      <c r="M4" s="167">
        <v>0.0</v>
      </c>
      <c r="N4" s="167">
        <v>0.0</v>
      </c>
      <c r="O4" s="167">
        <v>0.0</v>
      </c>
      <c r="P4" s="167">
        <v>0.0</v>
      </c>
      <c r="Q4" s="167">
        <v>0.0</v>
      </c>
      <c r="R4" s="167">
        <v>0.0</v>
      </c>
      <c r="S4" s="167">
        <v>0.0</v>
      </c>
      <c r="T4" s="167">
        <v>0.0</v>
      </c>
      <c r="U4" s="167">
        <v>0.0</v>
      </c>
      <c r="V4" s="167">
        <v>0.0</v>
      </c>
      <c r="W4" s="170"/>
      <c r="X4" s="153">
        <f t="shared" si="2"/>
        <v>0</v>
      </c>
      <c r="Y4" s="153"/>
    </row>
    <row r="5">
      <c r="A5" s="172">
        <v>4.0</v>
      </c>
      <c r="B5" s="174" t="s">
        <v>23</v>
      </c>
      <c r="C5" s="174" t="s">
        <v>24</v>
      </c>
      <c r="D5" s="176" t="s">
        <v>25</v>
      </c>
      <c r="E5" s="177" t="s">
        <v>26</v>
      </c>
      <c r="F5" s="157" t="s">
        <v>76</v>
      </c>
      <c r="G5" s="177"/>
      <c r="H5" s="177"/>
      <c r="I5" s="177"/>
      <c r="J5" s="178">
        <f t="shared" si="1"/>
        <v>0</v>
      </c>
      <c r="K5" s="167">
        <v>0.0</v>
      </c>
      <c r="L5" s="167">
        <v>0.0</v>
      </c>
      <c r="M5" s="167">
        <v>0.0</v>
      </c>
      <c r="N5" s="167">
        <v>0.0</v>
      </c>
      <c r="O5" s="167">
        <v>0.0</v>
      </c>
      <c r="P5" s="167">
        <v>0.0</v>
      </c>
      <c r="Q5" s="167">
        <v>0.0</v>
      </c>
      <c r="R5" s="167">
        <v>0.0</v>
      </c>
      <c r="S5" s="167">
        <v>0.0</v>
      </c>
      <c r="T5" s="167">
        <v>0.0</v>
      </c>
      <c r="U5" s="167">
        <v>0.0</v>
      </c>
      <c r="V5" s="167">
        <v>0.0</v>
      </c>
      <c r="W5" s="183"/>
      <c r="X5" s="153">
        <f t="shared" si="2"/>
        <v>0</v>
      </c>
      <c r="Y5" s="153"/>
    </row>
    <row r="6">
      <c r="A6" s="172"/>
      <c r="B6" s="174" t="s">
        <v>23</v>
      </c>
      <c r="C6" s="174" t="s">
        <v>24</v>
      </c>
      <c r="D6" s="176" t="s">
        <v>25</v>
      </c>
      <c r="E6" s="177" t="s">
        <v>26</v>
      </c>
      <c r="F6" s="157" t="s">
        <v>76</v>
      </c>
      <c r="G6" s="185"/>
      <c r="H6" s="186"/>
      <c r="I6" s="177"/>
      <c r="J6" s="178">
        <f t="shared" si="1"/>
        <v>0</v>
      </c>
      <c r="K6" s="167">
        <v>0.0</v>
      </c>
      <c r="L6" s="167">
        <v>0.0</v>
      </c>
      <c r="M6" s="167">
        <v>0.0</v>
      </c>
      <c r="N6" s="167">
        <v>0.0</v>
      </c>
      <c r="O6" s="167">
        <v>0.0</v>
      </c>
      <c r="P6" s="167">
        <v>0.0</v>
      </c>
      <c r="Q6" s="167">
        <v>0.0</v>
      </c>
      <c r="R6" s="167">
        <v>0.0</v>
      </c>
      <c r="S6" s="167">
        <v>0.0</v>
      </c>
      <c r="T6" s="167">
        <v>0.0</v>
      </c>
      <c r="U6" s="167">
        <v>0.0</v>
      </c>
      <c r="V6" s="167">
        <v>0.0</v>
      </c>
      <c r="W6" s="183"/>
      <c r="X6" s="153">
        <f t="shared" si="2"/>
        <v>0</v>
      </c>
      <c r="Y6" s="153"/>
    </row>
    <row r="7">
      <c r="A7" s="172"/>
      <c r="B7" s="174" t="s">
        <v>23</v>
      </c>
      <c r="C7" s="174" t="s">
        <v>24</v>
      </c>
      <c r="D7" s="176" t="s">
        <v>25</v>
      </c>
      <c r="E7" s="177" t="s">
        <v>26</v>
      </c>
      <c r="F7" s="157" t="s">
        <v>76</v>
      </c>
      <c r="G7" s="190"/>
      <c r="H7" s="174"/>
      <c r="I7" s="177"/>
      <c r="J7" s="178">
        <f t="shared" si="1"/>
        <v>0</v>
      </c>
      <c r="K7" s="167">
        <v>0.0</v>
      </c>
      <c r="L7" s="167">
        <v>0.0</v>
      </c>
      <c r="M7" s="167">
        <v>0.0</v>
      </c>
      <c r="N7" s="167">
        <v>0.0</v>
      </c>
      <c r="O7" s="167">
        <v>0.0</v>
      </c>
      <c r="P7" s="167">
        <v>0.0</v>
      </c>
      <c r="Q7" s="167">
        <v>0.0</v>
      </c>
      <c r="R7" s="167">
        <v>0.0</v>
      </c>
      <c r="S7" s="167">
        <v>0.0</v>
      </c>
      <c r="T7" s="167">
        <v>0.0</v>
      </c>
      <c r="U7" s="167">
        <v>0.0</v>
      </c>
      <c r="V7" s="167">
        <v>0.0</v>
      </c>
      <c r="W7" s="183"/>
      <c r="X7" s="153">
        <f t="shared" si="2"/>
        <v>0</v>
      </c>
      <c r="Y7" s="153"/>
    </row>
    <row r="8">
      <c r="A8" s="172"/>
      <c r="B8" s="174" t="s">
        <v>23</v>
      </c>
      <c r="C8" s="174" t="s">
        <v>24</v>
      </c>
      <c r="D8" s="176" t="s">
        <v>25</v>
      </c>
      <c r="E8" s="177" t="s">
        <v>26</v>
      </c>
      <c r="F8" s="157" t="s">
        <v>76</v>
      </c>
      <c r="G8" s="190"/>
      <c r="H8" s="174"/>
      <c r="I8" s="177"/>
      <c r="J8" s="178">
        <f t="shared" si="1"/>
        <v>0</v>
      </c>
      <c r="K8" s="167">
        <v>0.0</v>
      </c>
      <c r="L8" s="167">
        <v>0.0</v>
      </c>
      <c r="M8" s="167">
        <v>0.0</v>
      </c>
      <c r="N8" s="167">
        <v>0.0</v>
      </c>
      <c r="O8" s="167">
        <v>0.0</v>
      </c>
      <c r="P8" s="167">
        <v>0.0</v>
      </c>
      <c r="Q8" s="167">
        <v>0.0</v>
      </c>
      <c r="R8" s="167">
        <v>0.0</v>
      </c>
      <c r="S8" s="167">
        <v>0.0</v>
      </c>
      <c r="T8" s="167">
        <v>0.0</v>
      </c>
      <c r="U8" s="167">
        <v>0.0</v>
      </c>
      <c r="V8" s="167">
        <v>0.0</v>
      </c>
      <c r="W8" s="183"/>
      <c r="X8" s="153">
        <f t="shared" si="2"/>
        <v>0</v>
      </c>
      <c r="Y8" s="153"/>
    </row>
    <row r="9">
      <c r="A9" s="192" t="s">
        <v>78</v>
      </c>
      <c r="B9" s="194" t="s">
        <v>65</v>
      </c>
      <c r="C9" s="194" t="s">
        <v>24</v>
      </c>
      <c r="D9" s="195" t="s">
        <v>25</v>
      </c>
      <c r="E9" s="196" t="s">
        <v>26</v>
      </c>
      <c r="F9" s="197" t="s">
        <v>76</v>
      </c>
      <c r="G9" s="121" t="s">
        <v>76</v>
      </c>
      <c r="H9" s="121" t="s">
        <v>88</v>
      </c>
      <c r="I9" s="122">
        <v>11301.0</v>
      </c>
      <c r="J9" s="199">
        <f t="shared" ref="J9:V9" si="3">sum(J2:J8)</f>
        <v>0</v>
      </c>
      <c r="K9" s="201">
        <f t="shared" si="3"/>
        <v>0</v>
      </c>
      <c r="L9" s="201">
        <f t="shared" si="3"/>
        <v>0</v>
      </c>
      <c r="M9" s="201">
        <f t="shared" si="3"/>
        <v>0</v>
      </c>
      <c r="N9" s="201">
        <f t="shared" si="3"/>
        <v>0</v>
      </c>
      <c r="O9" s="201">
        <f t="shared" si="3"/>
        <v>0</v>
      </c>
      <c r="P9" s="199">
        <f t="shared" si="3"/>
        <v>0</v>
      </c>
      <c r="Q9" s="201">
        <f t="shared" si="3"/>
        <v>0</v>
      </c>
      <c r="R9" s="201">
        <f t="shared" si="3"/>
        <v>0</v>
      </c>
      <c r="S9" s="201">
        <f t="shared" si="3"/>
        <v>0</v>
      </c>
      <c r="T9" s="201">
        <f t="shared" si="3"/>
        <v>0</v>
      </c>
      <c r="U9" s="199">
        <f t="shared" si="3"/>
        <v>0</v>
      </c>
      <c r="V9" s="201">
        <f t="shared" si="3"/>
        <v>0</v>
      </c>
      <c r="W9" s="183"/>
      <c r="X9" s="199">
        <f t="shared" ref="X9:Y9" si="4">sum(X2:X8)</f>
        <v>0</v>
      </c>
      <c r="Y9" s="199">
        <f t="shared" si="4"/>
        <v>0</v>
      </c>
    </row>
    <row r="10">
      <c r="A10" s="170"/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</row>
    <row r="11">
      <c r="A11" s="170"/>
      <c r="B11" s="170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</row>
    <row r="12">
      <c r="A12" s="170"/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</row>
    <row r="13">
      <c r="A13" s="170"/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</row>
    <row r="14">
      <c r="A14" s="170"/>
      <c r="B14" s="170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</row>
    <row r="15">
      <c r="A15" s="170"/>
      <c r="B15" s="170"/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</row>
    <row r="16">
      <c r="A16" s="170"/>
      <c r="B16" s="170"/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</row>
    <row r="17">
      <c r="A17" s="170"/>
      <c r="B17" s="170"/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</row>
    <row r="18">
      <c r="A18" s="170"/>
      <c r="B18" s="170"/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</row>
    <row r="19">
      <c r="A19" s="170"/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</row>
    <row r="20">
      <c r="A20" s="170"/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</row>
    <row r="21" ht="15.75" customHeight="1">
      <c r="A21" s="170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</row>
    <row r="22" ht="15.75" customHeight="1">
      <c r="A22" s="170"/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</row>
    <row r="23" ht="15.75" customHeight="1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</row>
    <row r="24" ht="15.75" customHeight="1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</row>
    <row r="25" ht="15.75" customHeight="1">
      <c r="A25" s="170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</row>
    <row r="26" ht="15.75" customHeight="1">
      <c r="A26" s="170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</row>
    <row r="27" ht="15.75" customHeight="1">
      <c r="A27" s="170"/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</row>
    <row r="28" ht="15.75" customHeight="1">
      <c r="A28" s="170"/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</row>
    <row r="29" ht="15.75" customHeight="1">
      <c r="A29" s="170"/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</row>
    <row r="30" ht="15.75" customHeight="1">
      <c r="A30" s="170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</row>
    <row r="31" ht="15.75" customHeight="1">
      <c r="A31" s="170"/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</row>
    <row r="32" ht="15.75" customHeight="1">
      <c r="A32" s="170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</row>
    <row r="33" ht="15.75" customHeight="1">
      <c r="A33" s="170"/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</row>
    <row r="34" ht="15.75" customHeight="1">
      <c r="A34" s="170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</row>
    <row r="35" ht="15.75" customHeight="1">
      <c r="A35" s="170"/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</row>
    <row r="36" ht="15.75" customHeight="1">
      <c r="A36" s="170"/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</row>
    <row r="37" ht="15.75" customHeight="1">
      <c r="A37" s="170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</row>
    <row r="38" ht="15.75" customHeight="1">
      <c r="A38" s="170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</row>
    <row r="39" ht="15.75" customHeight="1">
      <c r="A39" s="170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</row>
    <row r="40" ht="15.75" customHeight="1">
      <c r="A40" s="170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</row>
    <row r="41" ht="15.75" customHeight="1">
      <c r="A41" s="170"/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</row>
    <row r="42" ht="15.75" customHeight="1">
      <c r="A42" s="170"/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</row>
    <row r="43" ht="15.75" customHeight="1">
      <c r="A43" s="170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</row>
    <row r="44" ht="15.75" customHeight="1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</row>
    <row r="45" ht="15.75" customHeight="1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</row>
    <row r="46" ht="15.75" customHeight="1">
      <c r="A46" s="170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</row>
    <row r="47" ht="15.75" customHeight="1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</row>
    <row r="48" ht="15.75" customHeight="1">
      <c r="A48" s="170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</row>
    <row r="49" ht="15.75" customHeight="1">
      <c r="A49" s="170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</row>
    <row r="50" ht="15.75" customHeight="1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</row>
    <row r="51" ht="15.75" customHeight="1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</row>
    <row r="52" ht="15.75" customHeight="1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</row>
    <row r="53" ht="15.75" customHeight="1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</row>
    <row r="54" ht="15.75" customHeight="1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</row>
    <row r="55" ht="15.75" customHeight="1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</row>
    <row r="56" ht="15.75" customHeight="1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</row>
    <row r="57" ht="15.75" customHeight="1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</row>
    <row r="58" ht="15.75" customHeight="1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</row>
    <row r="59" ht="15.75" customHeight="1">
      <c r="A59" s="170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</row>
    <row r="60" ht="15.75" customHeight="1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</row>
    <row r="61" ht="15.75" customHeight="1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</row>
    <row r="62" ht="15.75" customHeight="1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</row>
    <row r="63" ht="15.75" customHeight="1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</row>
    <row r="64" ht="15.75" customHeight="1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</row>
    <row r="65" ht="15.75" customHeight="1">
      <c r="A65" s="17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</row>
    <row r="66" ht="15.75" customHeight="1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</row>
    <row r="67" ht="15.75" customHeight="1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</row>
    <row r="68" ht="15.75" customHeight="1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</row>
    <row r="69" ht="15.75" customHeight="1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</row>
    <row r="70" ht="15.75" customHeight="1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</row>
    <row r="71" ht="15.75" customHeight="1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</row>
    <row r="72" ht="15.75" customHeight="1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</row>
    <row r="73" ht="15.75" customHeight="1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</row>
    <row r="74" ht="15.75" customHeight="1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</row>
    <row r="75" ht="15.75" customHeight="1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</row>
    <row r="76" ht="15.75" customHeight="1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</row>
    <row r="77" ht="15.75" customHeight="1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</row>
    <row r="78" ht="15.75" customHeight="1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</row>
    <row r="79" ht="15.75" customHeight="1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</row>
    <row r="80" ht="15.75" customHeight="1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</row>
    <row r="81" ht="15.75" customHeight="1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</row>
    <row r="82" ht="15.75" customHeight="1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</row>
    <row r="83" ht="15.75" customHeight="1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</row>
    <row r="84" ht="15.75" customHeight="1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</row>
    <row r="85" ht="15.75" customHeight="1">
      <c r="A85" s="170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</row>
    <row r="86" ht="15.75" customHeight="1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</row>
    <row r="87" ht="15.75" customHeight="1">
      <c r="A87" s="170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</row>
    <row r="88" ht="15.75" customHeight="1">
      <c r="A88" s="170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</row>
    <row r="89" ht="15.75" customHeight="1">
      <c r="A89" s="170"/>
      <c r="B89" s="170"/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</row>
    <row r="90" ht="15.75" customHeight="1">
      <c r="A90" s="170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</row>
    <row r="91" ht="15.75" customHeight="1">
      <c r="A91" s="170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</row>
    <row r="92" ht="15.75" customHeight="1">
      <c r="A92" s="170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</row>
    <row r="93" ht="15.75" customHeight="1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</row>
    <row r="94" ht="15.75" customHeight="1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</row>
    <row r="95" ht="15.75" customHeight="1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</row>
    <row r="96" ht="15.75" customHeight="1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</row>
    <row r="97" ht="15.75" customHeight="1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</row>
    <row r="98" ht="15.75" customHeight="1">
      <c r="A98" s="170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</row>
    <row r="99" ht="15.75" customHeight="1">
      <c r="A99" s="170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</row>
    <row r="100" ht="15.75" customHeight="1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</row>
    <row r="101" ht="15.75" customHeight="1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</row>
    <row r="102" ht="15.75" customHeight="1">
      <c r="A102" s="170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</row>
    <row r="103" ht="15.75" customHeight="1">
      <c r="A103" s="170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0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</row>
    <row r="104" ht="15.75" customHeight="1">
      <c r="A104" s="170"/>
      <c r="B104" s="170"/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</row>
    <row r="105" ht="15.75" customHeight="1">
      <c r="A105" s="170"/>
      <c r="B105" s="170"/>
      <c r="C105" s="170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</row>
    <row r="106" ht="15.75" customHeight="1">
      <c r="A106" s="170"/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</row>
    <row r="107" ht="15.75" customHeight="1">
      <c r="A107" s="170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</row>
    <row r="108" ht="15.75" customHeight="1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</row>
    <row r="109" ht="15.75" customHeight="1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</row>
    <row r="110" ht="15.75" customHeight="1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</row>
    <row r="111" ht="15.75" customHeight="1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</row>
    <row r="112" ht="15.75" customHeight="1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</row>
    <row r="113" ht="15.75" customHeight="1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</row>
    <row r="114" ht="15.75" customHeight="1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</row>
    <row r="115" ht="15.75" customHeight="1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</row>
    <row r="116" ht="15.75" customHeight="1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</row>
    <row r="117" ht="15.75" customHeight="1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</row>
    <row r="118" ht="15.75" customHeight="1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</row>
    <row r="119" ht="15.75" customHeight="1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</row>
    <row r="120" ht="15.75" customHeight="1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</row>
    <row r="121" ht="15.75" customHeight="1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</row>
    <row r="122" ht="15.75" customHeight="1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</row>
    <row r="123" ht="15.75" customHeight="1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</row>
    <row r="124" ht="15.75" customHeight="1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</row>
    <row r="125" ht="15.75" customHeight="1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</row>
    <row r="126" ht="15.75" customHeight="1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</row>
    <row r="127" ht="15.75" customHeight="1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</row>
    <row r="128" ht="15.75" customHeight="1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</row>
    <row r="129" ht="15.75" customHeight="1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</row>
    <row r="130" ht="15.75" customHeight="1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</row>
    <row r="131" ht="15.75" customHeight="1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</row>
    <row r="132" ht="15.75" customHeight="1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</row>
    <row r="133" ht="15.75" customHeight="1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</row>
    <row r="134" ht="15.75" customHeight="1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</row>
    <row r="135" ht="15.75" customHeight="1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</row>
    <row r="136" ht="15.75" customHeight="1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</row>
    <row r="137" ht="15.75" customHeight="1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</row>
    <row r="138" ht="15.75" customHeight="1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</row>
    <row r="139" ht="15.75" customHeight="1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</row>
    <row r="140" ht="15.75" customHeight="1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</row>
    <row r="141" ht="15.75" customHeight="1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</row>
    <row r="142" ht="15.75" customHeight="1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</row>
    <row r="143" ht="15.75" customHeight="1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</row>
    <row r="144" ht="15.75" customHeight="1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</row>
    <row r="145" ht="15.75" customHeight="1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</row>
    <row r="146" ht="15.75" customHeight="1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</row>
    <row r="147" ht="15.75" customHeight="1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</row>
    <row r="148" ht="15.75" customHeight="1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</row>
    <row r="149" ht="15.75" customHeight="1">
      <c r="A149" s="170"/>
      <c r="B149" s="170"/>
      <c r="C149" s="170"/>
      <c r="D149" s="170"/>
      <c r="E149" s="170"/>
      <c r="F149" s="170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0"/>
      <c r="V149" s="170"/>
      <c r="W149" s="170"/>
    </row>
    <row r="150" ht="15.75" customHeight="1">
      <c r="A150" s="170"/>
      <c r="B150" s="170"/>
      <c r="C150" s="170"/>
      <c r="D150" s="170"/>
      <c r="E150" s="170"/>
      <c r="F150" s="170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0"/>
      <c r="V150" s="170"/>
      <c r="W150" s="170"/>
    </row>
    <row r="151" ht="15.75" customHeight="1">
      <c r="A151" s="170"/>
      <c r="B151" s="170"/>
      <c r="C151" s="170"/>
      <c r="D151" s="170"/>
      <c r="E151" s="170"/>
      <c r="F151" s="170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</row>
    <row r="152" ht="15.75" customHeight="1">
      <c r="A152" s="170"/>
      <c r="B152" s="170"/>
      <c r="C152" s="170"/>
      <c r="D152" s="170"/>
      <c r="E152" s="170"/>
      <c r="F152" s="170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0"/>
      <c r="V152" s="170"/>
      <c r="W152" s="170"/>
    </row>
    <row r="153" ht="15.75" customHeight="1">
      <c r="A153" s="170"/>
      <c r="B153" s="170"/>
      <c r="C153" s="170"/>
      <c r="D153" s="170"/>
      <c r="E153" s="170"/>
      <c r="F153" s="170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0"/>
      <c r="V153" s="170"/>
      <c r="W153" s="170"/>
    </row>
    <row r="154" ht="15.75" customHeight="1">
      <c r="A154" s="170"/>
      <c r="B154" s="170"/>
      <c r="C154" s="170"/>
      <c r="D154" s="170"/>
      <c r="E154" s="170"/>
      <c r="F154" s="170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0"/>
      <c r="V154" s="170"/>
      <c r="W154" s="170"/>
    </row>
    <row r="155" ht="15.75" customHeight="1">
      <c r="A155" s="170"/>
      <c r="B155" s="170"/>
      <c r="C155" s="170"/>
      <c r="D155" s="170"/>
      <c r="E155" s="170"/>
      <c r="F155" s="170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0"/>
      <c r="V155" s="170"/>
      <c r="W155" s="170"/>
    </row>
    <row r="156" ht="15.75" customHeight="1">
      <c r="A156" s="170"/>
      <c r="B156" s="170"/>
      <c r="C156" s="170"/>
      <c r="D156" s="170"/>
      <c r="E156" s="170"/>
      <c r="F156" s="170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0"/>
      <c r="V156" s="170"/>
      <c r="W156" s="170"/>
    </row>
    <row r="157" ht="15.75" customHeight="1">
      <c r="A157" s="170"/>
      <c r="B157" s="170"/>
      <c r="C157" s="170"/>
      <c r="D157" s="170"/>
      <c r="E157" s="170"/>
      <c r="F157" s="170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0"/>
      <c r="V157" s="170"/>
      <c r="W157" s="170"/>
    </row>
    <row r="158" ht="15.75" customHeight="1">
      <c r="A158" s="170"/>
      <c r="B158" s="170"/>
      <c r="C158" s="170"/>
      <c r="D158" s="170"/>
      <c r="E158" s="170"/>
      <c r="F158" s="170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</row>
    <row r="159" ht="15.75" customHeight="1">
      <c r="A159" s="170"/>
      <c r="B159" s="170"/>
      <c r="C159" s="170"/>
      <c r="D159" s="170"/>
      <c r="E159" s="170"/>
      <c r="F159" s="170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0"/>
      <c r="V159" s="170"/>
      <c r="W159" s="170"/>
    </row>
    <row r="160" ht="15.75" customHeight="1">
      <c r="A160" s="170"/>
      <c r="B160" s="170"/>
      <c r="C160" s="170"/>
      <c r="D160" s="170"/>
      <c r="E160" s="170"/>
      <c r="F160" s="170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0"/>
      <c r="V160" s="170"/>
      <c r="W160" s="170"/>
    </row>
    <row r="161" ht="15.75" customHeight="1">
      <c r="A161" s="170"/>
      <c r="B161" s="170"/>
      <c r="C161" s="170"/>
      <c r="D161" s="170"/>
      <c r="E161" s="170"/>
      <c r="F161" s="170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0"/>
      <c r="V161" s="170"/>
      <c r="W161" s="170"/>
    </row>
    <row r="162" ht="15.75" customHeight="1">
      <c r="A162" s="170"/>
      <c r="B162" s="170"/>
      <c r="C162" s="170"/>
      <c r="D162" s="170"/>
      <c r="E162" s="170"/>
      <c r="F162" s="170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0"/>
      <c r="V162" s="170"/>
      <c r="W162" s="170"/>
    </row>
    <row r="163" ht="15.75" customHeight="1">
      <c r="A163" s="170"/>
      <c r="B163" s="170"/>
      <c r="C163" s="170"/>
      <c r="D163" s="170"/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</row>
    <row r="164" ht="15.75" customHeight="1">
      <c r="A164" s="170"/>
      <c r="B164" s="170"/>
      <c r="C164" s="170"/>
      <c r="D164" s="170"/>
      <c r="E164" s="170"/>
      <c r="F164" s="170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0"/>
      <c r="V164" s="170"/>
      <c r="W164" s="170"/>
    </row>
    <row r="165" ht="15.75" customHeight="1">
      <c r="A165" s="170"/>
      <c r="B165" s="170"/>
      <c r="C165" s="170"/>
      <c r="D165" s="170"/>
      <c r="E165" s="170"/>
      <c r="F165" s="170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0"/>
      <c r="V165" s="170"/>
      <c r="W165" s="170"/>
    </row>
    <row r="166" ht="15.75" customHeight="1">
      <c r="A166" s="170"/>
      <c r="B166" s="170"/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0"/>
      <c r="V166" s="170"/>
      <c r="W166" s="170"/>
    </row>
    <row r="167" ht="15.75" customHeight="1">
      <c r="A167" s="170"/>
      <c r="B167" s="170"/>
      <c r="C167" s="170"/>
      <c r="D167" s="170"/>
      <c r="E167" s="170"/>
      <c r="F167" s="170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0"/>
      <c r="V167" s="170"/>
      <c r="W167" s="170"/>
    </row>
    <row r="168" ht="15.75" customHeight="1">
      <c r="A168" s="170"/>
      <c r="B168" s="170"/>
      <c r="C168" s="170"/>
      <c r="D168" s="170"/>
      <c r="E168" s="170"/>
      <c r="F168" s="170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0"/>
      <c r="V168" s="170"/>
      <c r="W168" s="170"/>
    </row>
    <row r="169" ht="15.75" customHeight="1">
      <c r="A169" s="170"/>
      <c r="B169" s="170"/>
      <c r="C169" s="170"/>
      <c r="D169" s="170"/>
      <c r="E169" s="170"/>
      <c r="F169" s="170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0"/>
      <c r="V169" s="170"/>
      <c r="W169" s="170"/>
    </row>
    <row r="170" ht="15.75" customHeight="1">
      <c r="A170" s="170"/>
      <c r="B170" s="170"/>
      <c r="C170" s="170"/>
      <c r="D170" s="170"/>
      <c r="E170" s="170"/>
      <c r="F170" s="170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0"/>
      <c r="V170" s="170"/>
      <c r="W170" s="170"/>
    </row>
    <row r="171" ht="15.75" customHeight="1">
      <c r="A171" s="170"/>
      <c r="B171" s="170"/>
      <c r="C171" s="170"/>
      <c r="D171" s="170"/>
      <c r="E171" s="170"/>
      <c r="F171" s="170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</row>
    <row r="172" ht="15.75" customHeight="1">
      <c r="A172" s="170"/>
      <c r="B172" s="170"/>
      <c r="C172" s="170"/>
      <c r="D172" s="170"/>
      <c r="E172" s="170"/>
      <c r="F172" s="170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</row>
    <row r="173" ht="15.75" customHeight="1">
      <c r="A173" s="170"/>
      <c r="B173" s="170"/>
      <c r="C173" s="170"/>
      <c r="D173" s="170"/>
      <c r="E173" s="170"/>
      <c r="F173" s="170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0"/>
      <c r="V173" s="170"/>
      <c r="W173" s="170"/>
    </row>
    <row r="174" ht="15.75" customHeight="1">
      <c r="A174" s="170"/>
      <c r="B174" s="170"/>
      <c r="C174" s="170"/>
      <c r="D174" s="170"/>
      <c r="E174" s="170"/>
      <c r="F174" s="170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0"/>
    </row>
    <row r="175" ht="15.75" customHeight="1">
      <c r="A175" s="170"/>
      <c r="B175" s="170"/>
      <c r="C175" s="170"/>
      <c r="D175" s="170"/>
      <c r="E175" s="170"/>
      <c r="F175" s="170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0"/>
      <c r="V175" s="170"/>
      <c r="W175" s="170"/>
    </row>
    <row r="176" ht="15.75" customHeight="1">
      <c r="A176" s="170"/>
      <c r="B176" s="170"/>
      <c r="C176" s="170"/>
      <c r="D176" s="170"/>
      <c r="E176" s="170"/>
      <c r="F176" s="170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0"/>
      <c r="V176" s="170"/>
      <c r="W176" s="170"/>
    </row>
    <row r="177" ht="15.75" customHeight="1">
      <c r="A177" s="170"/>
      <c r="B177" s="170"/>
      <c r="C177" s="170"/>
      <c r="D177" s="170"/>
      <c r="E177" s="170"/>
      <c r="F177" s="170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0"/>
      <c r="V177" s="170"/>
      <c r="W177" s="170"/>
    </row>
    <row r="178" ht="15.75" customHeight="1">
      <c r="A178" s="170"/>
      <c r="B178" s="170"/>
      <c r="C178" s="170"/>
      <c r="D178" s="170"/>
      <c r="E178" s="170"/>
      <c r="F178" s="170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</row>
    <row r="179" ht="15.75" customHeight="1">
      <c r="A179" s="170"/>
      <c r="B179" s="170"/>
      <c r="C179" s="170"/>
      <c r="D179" s="170"/>
      <c r="E179" s="170"/>
      <c r="F179" s="170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0"/>
      <c r="V179" s="170"/>
      <c r="W179" s="170"/>
    </row>
    <row r="180" ht="15.75" customHeight="1">
      <c r="A180" s="170"/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0"/>
      <c r="V180" s="170"/>
      <c r="W180" s="170"/>
    </row>
    <row r="181" ht="15.75" customHeight="1">
      <c r="A181" s="170"/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0"/>
      <c r="V181" s="170"/>
      <c r="W181" s="170"/>
    </row>
    <row r="182" ht="15.75" customHeight="1">
      <c r="A182" s="170"/>
      <c r="B182" s="170"/>
      <c r="C182" s="170"/>
      <c r="D182" s="170"/>
      <c r="E182" s="170"/>
      <c r="F182" s="170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0"/>
      <c r="V182" s="170"/>
      <c r="W182" s="170"/>
    </row>
    <row r="183" ht="15.75" customHeight="1">
      <c r="A183" s="170"/>
      <c r="B183" s="170"/>
      <c r="C183" s="170"/>
      <c r="D183" s="170"/>
      <c r="E183" s="170"/>
      <c r="F183" s="170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0"/>
      <c r="V183" s="170"/>
      <c r="W183" s="170"/>
    </row>
    <row r="184" ht="15.75" customHeight="1">
      <c r="A184" s="170"/>
      <c r="B184" s="170"/>
      <c r="C184" s="170"/>
      <c r="D184" s="170"/>
      <c r="E184" s="170"/>
      <c r="F184" s="170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0"/>
      <c r="V184" s="170"/>
      <c r="W184" s="170"/>
    </row>
    <row r="185" ht="15.75" customHeight="1">
      <c r="A185" s="170"/>
      <c r="B185" s="170"/>
      <c r="C185" s="170"/>
      <c r="D185" s="170"/>
      <c r="E185" s="170"/>
      <c r="F185" s="170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</row>
    <row r="186" ht="15.75" customHeight="1">
      <c r="A186" s="170"/>
      <c r="B186" s="170"/>
      <c r="C186" s="170"/>
      <c r="D186" s="170"/>
      <c r="E186" s="170"/>
      <c r="F186" s="170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0"/>
      <c r="V186" s="170"/>
      <c r="W186" s="170"/>
    </row>
    <row r="187" ht="15.75" customHeight="1">
      <c r="A187" s="170"/>
      <c r="B187" s="170"/>
      <c r="C187" s="170"/>
      <c r="D187" s="170"/>
      <c r="E187" s="170"/>
      <c r="F187" s="170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0"/>
      <c r="V187" s="170"/>
      <c r="W187" s="170"/>
    </row>
    <row r="188" ht="15.75" customHeight="1">
      <c r="A188" s="170"/>
      <c r="B188" s="170"/>
      <c r="C188" s="170"/>
      <c r="D188" s="170"/>
      <c r="E188" s="170"/>
      <c r="F188" s="170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0"/>
      <c r="V188" s="170"/>
      <c r="W188" s="170"/>
    </row>
    <row r="189" ht="15.75" customHeight="1">
      <c r="A189" s="170"/>
      <c r="B189" s="170"/>
      <c r="C189" s="170"/>
      <c r="D189" s="170"/>
      <c r="E189" s="170"/>
      <c r="F189" s="170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0"/>
      <c r="V189" s="170"/>
      <c r="W189" s="170"/>
    </row>
    <row r="190" ht="15.75" customHeight="1">
      <c r="A190" s="170"/>
      <c r="B190" s="170"/>
      <c r="C190" s="170"/>
      <c r="D190" s="170"/>
      <c r="E190" s="170"/>
      <c r="F190" s="170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</row>
    <row r="191" ht="15.75" customHeight="1">
      <c r="A191" s="170"/>
      <c r="B191" s="170"/>
      <c r="C191" s="170"/>
      <c r="D191" s="170"/>
      <c r="E191" s="170"/>
      <c r="F191" s="170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0"/>
      <c r="V191" s="170"/>
      <c r="W191" s="170"/>
    </row>
    <row r="192" ht="15.75" customHeight="1">
      <c r="A192" s="170"/>
      <c r="B192" s="170"/>
      <c r="C192" s="170"/>
      <c r="D192" s="170"/>
      <c r="E192" s="170"/>
      <c r="F192" s="170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0"/>
      <c r="V192" s="170"/>
      <c r="W192" s="170"/>
    </row>
    <row r="193" ht="15.75" customHeight="1">
      <c r="A193" s="170"/>
      <c r="B193" s="170"/>
      <c r="C193" s="170"/>
      <c r="D193" s="170"/>
      <c r="E193" s="170"/>
      <c r="F193" s="170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0"/>
      <c r="V193" s="170"/>
      <c r="W193" s="170"/>
    </row>
    <row r="194" ht="15.75" customHeight="1">
      <c r="A194" s="170"/>
      <c r="B194" s="170"/>
      <c r="C194" s="170"/>
      <c r="D194" s="170"/>
      <c r="E194" s="170"/>
      <c r="F194" s="170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0"/>
      <c r="V194" s="170"/>
      <c r="W194" s="170"/>
    </row>
    <row r="195" ht="15.75" customHeight="1">
      <c r="A195" s="170"/>
      <c r="B195" s="170"/>
      <c r="C195" s="170"/>
      <c r="D195" s="170"/>
      <c r="E195" s="170"/>
      <c r="F195" s="170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0"/>
      <c r="V195" s="170"/>
      <c r="W195" s="170"/>
    </row>
    <row r="196" ht="15.75" customHeight="1">
      <c r="A196" s="170"/>
      <c r="B196" s="170"/>
      <c r="C196" s="170"/>
      <c r="D196" s="170"/>
      <c r="E196" s="170"/>
      <c r="F196" s="170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0"/>
      <c r="V196" s="170"/>
      <c r="W196" s="170"/>
    </row>
    <row r="197" ht="15.75" customHeight="1">
      <c r="A197" s="170"/>
      <c r="B197" s="170"/>
      <c r="C197" s="170"/>
      <c r="D197" s="170"/>
      <c r="E197" s="170"/>
      <c r="F197" s="170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0"/>
      <c r="V197" s="170"/>
      <c r="W197" s="170"/>
    </row>
    <row r="198" ht="15.75" customHeight="1">
      <c r="A198" s="170"/>
      <c r="B198" s="170"/>
      <c r="C198" s="170"/>
      <c r="D198" s="170"/>
      <c r="E198" s="170"/>
      <c r="F198" s="170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0"/>
      <c r="V198" s="170"/>
      <c r="W198" s="170"/>
    </row>
    <row r="199" ht="15.75" customHeight="1">
      <c r="A199" s="170"/>
      <c r="B199" s="170"/>
      <c r="C199" s="170"/>
      <c r="D199" s="170"/>
      <c r="E199" s="170"/>
      <c r="F199" s="170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0"/>
      <c r="V199" s="170"/>
      <c r="W199" s="170"/>
    </row>
    <row r="200" ht="15.75" customHeight="1">
      <c r="A200" s="170"/>
      <c r="B200" s="170"/>
      <c r="C200" s="170"/>
      <c r="D200" s="170"/>
      <c r="E200" s="170"/>
      <c r="F200" s="170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0"/>
      <c r="V200" s="170"/>
      <c r="W200" s="170"/>
    </row>
    <row r="201" ht="15.75" customHeight="1">
      <c r="A201" s="170"/>
      <c r="B201" s="170"/>
      <c r="C201" s="170"/>
      <c r="D201" s="170"/>
      <c r="E201" s="170"/>
      <c r="F201" s="170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0"/>
      <c r="V201" s="170"/>
      <c r="W201" s="170"/>
    </row>
    <row r="202" ht="15.75" customHeight="1">
      <c r="A202" s="170"/>
      <c r="B202" s="170"/>
      <c r="C202" s="170"/>
      <c r="D202" s="170"/>
      <c r="E202" s="170"/>
      <c r="F202" s="170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0"/>
      <c r="V202" s="170"/>
      <c r="W202" s="170"/>
    </row>
    <row r="203" ht="15.75" customHeight="1">
      <c r="A203" s="170"/>
      <c r="B203" s="170"/>
      <c r="C203" s="170"/>
      <c r="D203" s="170"/>
      <c r="E203" s="170"/>
      <c r="F203" s="170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0"/>
      <c r="V203" s="170"/>
      <c r="W203" s="170"/>
    </row>
    <row r="204" ht="15.75" customHeight="1">
      <c r="A204" s="170"/>
      <c r="B204" s="170"/>
      <c r="C204" s="170"/>
      <c r="D204" s="170"/>
      <c r="E204" s="170"/>
      <c r="F204" s="170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0"/>
      <c r="V204" s="170"/>
      <c r="W204" s="170"/>
    </row>
    <row r="205" ht="15.75" customHeight="1">
      <c r="A205" s="170"/>
      <c r="B205" s="170"/>
      <c r="C205" s="170"/>
      <c r="D205" s="170"/>
      <c r="E205" s="170"/>
      <c r="F205" s="170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0"/>
      <c r="V205" s="170"/>
      <c r="W205" s="170"/>
    </row>
    <row r="206" ht="15.75" customHeight="1">
      <c r="A206" s="170"/>
      <c r="B206" s="170"/>
      <c r="C206" s="170"/>
      <c r="D206" s="170"/>
      <c r="E206" s="170"/>
      <c r="F206" s="170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0"/>
      <c r="V206" s="170"/>
      <c r="W206" s="170"/>
    </row>
    <row r="207" ht="15.75" customHeight="1">
      <c r="A207" s="170"/>
      <c r="B207" s="170"/>
      <c r="C207" s="170"/>
      <c r="D207" s="170"/>
      <c r="E207" s="170"/>
      <c r="F207" s="170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0"/>
      <c r="V207" s="170"/>
      <c r="W207" s="170"/>
    </row>
    <row r="208" ht="15.75" customHeight="1">
      <c r="A208" s="170"/>
      <c r="B208" s="170"/>
      <c r="C208" s="170"/>
      <c r="D208" s="170"/>
      <c r="E208" s="170"/>
      <c r="F208" s="170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0"/>
      <c r="V208" s="170"/>
      <c r="W208" s="170"/>
    </row>
    <row r="209" ht="15.75" customHeight="1">
      <c r="A209" s="170"/>
      <c r="B209" s="170"/>
      <c r="C209" s="170"/>
      <c r="D209" s="170"/>
      <c r="E209" s="170"/>
      <c r="F209" s="170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0"/>
      <c r="V209" s="170"/>
      <c r="W209" s="170"/>
    </row>
    <row r="210" ht="15.75" customHeight="1">
      <c r="A210" s="170"/>
      <c r="B210" s="170"/>
      <c r="C210" s="170"/>
      <c r="D210" s="170"/>
      <c r="E210" s="170"/>
      <c r="F210" s="170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</row>
    <row r="211" ht="15.75" customHeight="1">
      <c r="A211" s="170"/>
      <c r="B211" s="170"/>
      <c r="C211" s="170"/>
      <c r="D211" s="170"/>
      <c r="E211" s="170"/>
      <c r="F211" s="170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0"/>
      <c r="V211" s="170"/>
      <c r="W211" s="170"/>
    </row>
    <row r="212" ht="15.75" customHeight="1">
      <c r="A212" s="170"/>
      <c r="B212" s="170"/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</row>
    <row r="213" ht="15.75" customHeight="1">
      <c r="A213" s="170"/>
      <c r="B213" s="170"/>
      <c r="C213" s="170"/>
      <c r="D213" s="170"/>
      <c r="E213" s="170"/>
      <c r="F213" s="170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</row>
    <row r="214" ht="15.75" customHeight="1">
      <c r="A214" s="170"/>
      <c r="B214" s="170"/>
      <c r="C214" s="170"/>
      <c r="D214" s="170"/>
      <c r="E214" s="170"/>
      <c r="F214" s="170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0"/>
      <c r="V214" s="170"/>
      <c r="W214" s="170"/>
    </row>
    <row r="215" ht="15.75" customHeight="1">
      <c r="A215" s="170"/>
      <c r="B215" s="170"/>
      <c r="C215" s="170"/>
      <c r="D215" s="170"/>
      <c r="E215" s="170"/>
      <c r="F215" s="170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0"/>
      <c r="V215" s="170"/>
      <c r="W215" s="170"/>
    </row>
    <row r="216" ht="15.75" customHeight="1">
      <c r="A216" s="170"/>
      <c r="B216" s="170"/>
      <c r="C216" s="170"/>
      <c r="D216" s="170"/>
      <c r="E216" s="170"/>
      <c r="F216" s="170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0"/>
      <c r="V216" s="170"/>
      <c r="W216" s="170"/>
    </row>
    <row r="217" ht="15.75" customHeight="1">
      <c r="A217" s="170"/>
      <c r="B217" s="170"/>
      <c r="C217" s="170"/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0"/>
      <c r="V217" s="170"/>
      <c r="W217" s="170"/>
    </row>
    <row r="218" ht="15.75" customHeight="1">
      <c r="A218" s="170"/>
      <c r="B218" s="170"/>
      <c r="C218" s="170"/>
      <c r="D218" s="170"/>
      <c r="E218" s="170"/>
      <c r="F218" s="170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0"/>
      <c r="V218" s="170"/>
      <c r="W218" s="170"/>
    </row>
    <row r="219" ht="15.75" customHeight="1">
      <c r="A219" s="170"/>
      <c r="B219" s="170"/>
      <c r="C219" s="170"/>
      <c r="D219" s="170"/>
      <c r="E219" s="170"/>
      <c r="F219" s="170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0"/>
      <c r="V219" s="170"/>
      <c r="W219" s="170"/>
    </row>
    <row r="220" ht="15.75" customHeight="1">
      <c r="A220" s="170"/>
      <c r="B220" s="170"/>
      <c r="C220" s="170"/>
      <c r="D220" s="170"/>
      <c r="E220" s="170"/>
      <c r="F220" s="170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0"/>
      <c r="V220" s="170"/>
      <c r="W220" s="17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2:J9 K9:V9 X9:Y9">
    <cfRule type="expression" dxfId="0" priority="1">
      <formula>isformula(J2)</formula>
    </cfRule>
  </conditionalFormatting>
  <drawing r:id="rId1"/>
</worksheet>
</file>