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1_9CF4C9EDE57C6C39DF9144AAC0E46BD007CDC7EA" xr6:coauthVersionLast="47" xr6:coauthVersionMax="47" xr10:uidLastSave="{00000000-0000-0000-0000-000000000000}"/>
  <bookViews>
    <workbookView xWindow="-110" yWindow="-110" windowWidth="19420" windowHeight="11500" firstSheet="8" activeTab="8" xr2:uid="{00000000-000D-0000-FFFF-FFFF00000000}"/>
  </bookViews>
  <sheets>
    <sheet name="Summary Snapshot" sheetId="1" r:id="rId1"/>
    <sheet name="Staff Numbers" sheetId="2" r:id="rId2"/>
    <sheet name="Shared Summary by Dept_US$" sheetId="3" r:id="rId3"/>
    <sheet name="Digital Product Summary by COA" sheetId="4" r:id="rId4"/>
    <sheet name="India- Tech Build Out" sheetId="5" r:id="rId5"/>
    <sheet name="US- Tech Build Out" sheetId="6" r:id="rId6"/>
    <sheet name="EHA" sheetId="7" state="hidden" r:id="rId7"/>
    <sheet name="HR Details" sheetId="8" state="hidden" r:id="rId8"/>
    <sheet name="Nepal- Tech Build Out" sheetId="9" r:id="rId9"/>
    <sheet name="INDO- Tech Build-Out" sheetId="10" r:id="rId10"/>
    <sheet name="BD- Tech Build-Out" sheetId="11" r:id="rId11"/>
  </sheets>
  <definedNames>
    <definedName name="_xlnm._FilterDatabase" localSheetId="3" hidden="1">'Digital Product Summary by COA'!$A$53:$R$329</definedName>
    <definedName name="_xlnm._FilterDatabase" localSheetId="6" hidden="1">EHA!$A$1:$I$679</definedName>
    <definedName name="_xlnm._FilterDatabase" localSheetId="7" hidden="1">'HR Details'!$A$1:$H$555</definedName>
    <definedName name="_xlnm._FilterDatabase" localSheetId="4" hidden="1">'India- Tech Build Out'!$A$1:$G$119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" i="11" l="1"/>
  <c r="T46" i="11"/>
  <c r="S46" i="11"/>
  <c r="R46" i="11"/>
  <c r="Q46" i="11"/>
  <c r="P46" i="11"/>
  <c r="O46" i="11"/>
  <c r="N46" i="11"/>
  <c r="M46" i="11"/>
  <c r="L46" i="11"/>
  <c r="K46" i="11"/>
  <c r="J46" i="11"/>
  <c r="D12" i="3" s="1"/>
  <c r="I46" i="11"/>
  <c r="G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S326" i="4" s="1"/>
  <c r="H28" i="11"/>
  <c r="G28" i="11"/>
  <c r="F28" i="11"/>
  <c r="E28" i="11"/>
  <c r="D28" i="11"/>
  <c r="C28" i="11"/>
  <c r="B28" i="11"/>
  <c r="A28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U23" i="11"/>
  <c r="T23" i="11"/>
  <c r="S23" i="11"/>
  <c r="R23" i="11"/>
  <c r="Q23" i="11"/>
  <c r="P23" i="11"/>
  <c r="O23" i="11"/>
  <c r="N23" i="11"/>
  <c r="M23" i="11"/>
  <c r="L23" i="11"/>
  <c r="F11" i="3" s="1"/>
  <c r="F10" i="3" s="1"/>
  <c r="K23" i="11"/>
  <c r="J23" i="11"/>
  <c r="I23" i="11"/>
  <c r="H23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H12" i="11"/>
  <c r="G12" i="11"/>
  <c r="F12" i="11"/>
  <c r="E12" i="11"/>
  <c r="D12" i="11"/>
  <c r="C12" i="11"/>
  <c r="B12" i="11"/>
  <c r="A12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3" i="11"/>
  <c r="V46" i="10"/>
  <c r="U46" i="10"/>
  <c r="T46" i="10"/>
  <c r="S46" i="10"/>
  <c r="R46" i="10"/>
  <c r="Q46" i="10"/>
  <c r="P46" i="10"/>
  <c r="O46" i="10"/>
  <c r="N46" i="10"/>
  <c r="H9" i="3" s="1"/>
  <c r="M46" i="10"/>
  <c r="L46" i="10"/>
  <c r="K46" i="10"/>
  <c r="J46" i="10"/>
  <c r="I46" i="10"/>
  <c r="H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V23" i="10"/>
  <c r="U23" i="10"/>
  <c r="T23" i="10"/>
  <c r="S23" i="10"/>
  <c r="R23" i="10"/>
  <c r="Q23" i="10"/>
  <c r="K8" i="3" s="1"/>
  <c r="K7" i="3" s="1"/>
  <c r="K21" i="3" s="1"/>
  <c r="P23" i="10"/>
  <c r="O23" i="10"/>
  <c r="N23" i="10"/>
  <c r="M23" i="10"/>
  <c r="L23" i="10"/>
  <c r="K23" i="10"/>
  <c r="J23" i="10"/>
  <c r="I23" i="10"/>
  <c r="G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U23" i="9"/>
  <c r="T23" i="9"/>
  <c r="S23" i="9"/>
  <c r="M17" i="3" s="1"/>
  <c r="M16" i="3" s="1"/>
  <c r="R23" i="9"/>
  <c r="Q23" i="9"/>
  <c r="P23" i="9"/>
  <c r="O23" i="9"/>
  <c r="N23" i="9"/>
  <c r="M23" i="9"/>
  <c r="L23" i="9"/>
  <c r="K23" i="9"/>
  <c r="J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T616" i="8"/>
  <c r="A616" i="8"/>
  <c r="T615" i="8"/>
  <c r="A615" i="8"/>
  <c r="T614" i="8"/>
  <c r="A614" i="8"/>
  <c r="T613" i="8"/>
  <c r="A613" i="8"/>
  <c r="T612" i="8"/>
  <c r="A612" i="8"/>
  <c r="T611" i="8"/>
  <c r="A611" i="8"/>
  <c r="T610" i="8"/>
  <c r="A610" i="8"/>
  <c r="T609" i="8"/>
  <c r="A609" i="8"/>
  <c r="T608" i="8"/>
  <c r="A608" i="8"/>
  <c r="T607" i="8"/>
  <c r="A607" i="8"/>
  <c r="T606" i="8"/>
  <c r="A606" i="8"/>
  <c r="T605" i="8"/>
  <c r="D605" i="8"/>
  <c r="A605" i="8"/>
  <c r="T604" i="8"/>
  <c r="A604" i="8"/>
  <c r="T603" i="8"/>
  <c r="A603" i="8"/>
  <c r="T602" i="8"/>
  <c r="A602" i="8"/>
  <c r="T601" i="8"/>
  <c r="D601" i="8"/>
  <c r="A601" i="8"/>
  <c r="T600" i="8"/>
  <c r="A600" i="8"/>
  <c r="T599" i="8"/>
  <c r="A599" i="8"/>
  <c r="T598" i="8"/>
  <c r="A598" i="8"/>
  <c r="T596" i="8"/>
  <c r="A596" i="8"/>
  <c r="D596" i="8" s="1"/>
  <c r="D616" i="8" s="1"/>
  <c r="T595" i="8"/>
  <c r="D595" i="8"/>
  <c r="D615" i="8" s="1"/>
  <c r="A595" i="8"/>
  <c r="T594" i="8"/>
  <c r="D594" i="8"/>
  <c r="D614" i="8" s="1"/>
  <c r="A594" i="8"/>
  <c r="T593" i="8"/>
  <c r="A593" i="8"/>
  <c r="D593" i="8" s="1"/>
  <c r="D613" i="8" s="1"/>
  <c r="T592" i="8"/>
  <c r="A592" i="8"/>
  <c r="D592" i="8" s="1"/>
  <c r="D612" i="8" s="1"/>
  <c r="T591" i="8"/>
  <c r="D591" i="8"/>
  <c r="D611" i="8" s="1"/>
  <c r="A591" i="8"/>
  <c r="T590" i="8"/>
  <c r="D590" i="8"/>
  <c r="D610" i="8" s="1"/>
  <c r="A590" i="8"/>
  <c r="T589" i="8"/>
  <c r="A589" i="8"/>
  <c r="D589" i="8" s="1"/>
  <c r="D609" i="8" s="1"/>
  <c r="T588" i="8"/>
  <c r="A588" i="8"/>
  <c r="D588" i="8" s="1"/>
  <c r="D608" i="8" s="1"/>
  <c r="T587" i="8"/>
  <c r="A587" i="8"/>
  <c r="D587" i="8" s="1"/>
  <c r="D607" i="8" s="1"/>
  <c r="T586" i="8"/>
  <c r="D586" i="8"/>
  <c r="D606" i="8" s="1"/>
  <c r="A586" i="8"/>
  <c r="T585" i="8"/>
  <c r="A585" i="8"/>
  <c r="D585" i="8" s="1"/>
  <c r="T584" i="8"/>
  <c r="A584" i="8"/>
  <c r="D584" i="8" s="1"/>
  <c r="D604" i="8" s="1"/>
  <c r="T583" i="8"/>
  <c r="D583" i="8"/>
  <c r="D603" i="8" s="1"/>
  <c r="A583" i="8"/>
  <c r="T582" i="8"/>
  <c r="A582" i="8"/>
  <c r="D582" i="8" s="1"/>
  <c r="D602" i="8" s="1"/>
  <c r="T581" i="8"/>
  <c r="A581" i="8"/>
  <c r="D581" i="8" s="1"/>
  <c r="T580" i="8"/>
  <c r="A580" i="8"/>
  <c r="D580" i="8" s="1"/>
  <c r="D600" i="8" s="1"/>
  <c r="T579" i="8"/>
  <c r="A579" i="8"/>
  <c r="D579" i="8" s="1"/>
  <c r="D599" i="8" s="1"/>
  <c r="T578" i="8"/>
  <c r="A578" i="8"/>
  <c r="T575" i="8"/>
  <c r="AF574" i="8"/>
  <c r="AE574" i="8"/>
  <c r="AD574" i="8"/>
  <c r="AC574" i="8"/>
  <c r="AB574" i="8"/>
  <c r="AA574" i="8"/>
  <c r="Z574" i="8"/>
  <c r="Y574" i="8"/>
  <c r="X574" i="8"/>
  <c r="W574" i="8"/>
  <c r="V574" i="8"/>
  <c r="U574" i="8"/>
  <c r="T574" i="8"/>
  <c r="T576" i="8" s="1"/>
  <c r="A574" i="8"/>
  <c r="B557" i="8"/>
  <c r="B542" i="8"/>
  <c r="B527" i="8"/>
  <c r="B510" i="8"/>
  <c r="B495" i="8"/>
  <c r="B479" i="8"/>
  <c r="B464" i="8"/>
  <c r="B446" i="8"/>
  <c r="B434" i="8"/>
  <c r="B422" i="8"/>
  <c r="B404" i="8"/>
  <c r="B392" i="8"/>
  <c r="B380" i="8"/>
  <c r="B358" i="8"/>
  <c r="B346" i="8"/>
  <c r="B334" i="8"/>
  <c r="B318" i="8"/>
  <c r="B306" i="8"/>
  <c r="B294" i="8"/>
  <c r="B279" i="8"/>
  <c r="B267" i="8"/>
  <c r="B255" i="8"/>
  <c r="B239" i="8"/>
  <c r="B227" i="8"/>
  <c r="B215" i="8"/>
  <c r="B201" i="8"/>
  <c r="B189" i="8"/>
  <c r="B177" i="8"/>
  <c r="B162" i="8"/>
  <c r="B150" i="8"/>
  <c r="B137" i="8"/>
  <c r="B122" i="8"/>
  <c r="B110" i="8"/>
  <c r="B98" i="8"/>
  <c r="B83" i="8"/>
  <c r="B71" i="8"/>
  <c r="B59" i="8"/>
  <c r="B41" i="8"/>
  <c r="B29" i="8"/>
  <c r="B17" i="8"/>
  <c r="B2" i="8"/>
  <c r="B665" i="7"/>
  <c r="B649" i="7"/>
  <c r="B633" i="7"/>
  <c r="B617" i="7"/>
  <c r="B601" i="7"/>
  <c r="B585" i="7"/>
  <c r="B569" i="7"/>
  <c r="B519" i="7"/>
  <c r="B469" i="7"/>
  <c r="B419" i="7"/>
  <c r="B369" i="7"/>
  <c r="B319" i="7"/>
  <c r="B269" i="7"/>
  <c r="B219" i="7"/>
  <c r="B169" i="7"/>
  <c r="B119" i="7"/>
  <c r="B69" i="7"/>
  <c r="B2" i="7"/>
  <c r="V46" i="6"/>
  <c r="U46" i="6"/>
  <c r="T46" i="6"/>
  <c r="N20" i="3" s="1"/>
  <c r="N18" i="3" s="1"/>
  <c r="S46" i="6"/>
  <c r="R46" i="6"/>
  <c r="Q46" i="6"/>
  <c r="P46" i="6"/>
  <c r="J20" i="3" s="1"/>
  <c r="O46" i="6"/>
  <c r="N46" i="6"/>
  <c r="M46" i="6"/>
  <c r="L46" i="6"/>
  <c r="K46" i="6"/>
  <c r="J46" i="6"/>
  <c r="I46" i="6"/>
  <c r="G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V23" i="6"/>
  <c r="U23" i="6"/>
  <c r="T23" i="6"/>
  <c r="S23" i="6"/>
  <c r="R23" i="6"/>
  <c r="Q23" i="6"/>
  <c r="P23" i="6"/>
  <c r="O23" i="6"/>
  <c r="N23" i="6"/>
  <c r="M23" i="6"/>
  <c r="L23" i="6"/>
  <c r="K23" i="6"/>
  <c r="E19" i="3" s="1"/>
  <c r="J23" i="6"/>
  <c r="I23" i="6"/>
  <c r="G23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I21" i="6"/>
  <c r="H21" i="6"/>
  <c r="G21" i="6"/>
  <c r="F21" i="6"/>
  <c r="E21" i="6"/>
  <c r="D21" i="6"/>
  <c r="C21" i="6"/>
  <c r="B21" i="6"/>
  <c r="A21" i="6"/>
  <c r="I20" i="6"/>
  <c r="H20" i="6"/>
  <c r="G20" i="6"/>
  <c r="F20" i="6"/>
  <c r="E20" i="6"/>
  <c r="D20" i="6"/>
  <c r="C20" i="6"/>
  <c r="B20" i="6"/>
  <c r="A20" i="6"/>
  <c r="I19" i="6"/>
  <c r="H19" i="6"/>
  <c r="G19" i="6"/>
  <c r="F19" i="6"/>
  <c r="E19" i="6"/>
  <c r="D19" i="6"/>
  <c r="C19" i="6"/>
  <c r="B19" i="6"/>
  <c r="A19" i="6"/>
  <c r="I18" i="6"/>
  <c r="H18" i="6"/>
  <c r="G18" i="6"/>
  <c r="F18" i="6"/>
  <c r="E18" i="6"/>
  <c r="D18" i="6"/>
  <c r="C18" i="6"/>
  <c r="B18" i="6"/>
  <c r="A18" i="6"/>
  <c r="I17" i="6"/>
  <c r="H17" i="6"/>
  <c r="G17" i="6"/>
  <c r="F17" i="6"/>
  <c r="E17" i="6"/>
  <c r="D17" i="6"/>
  <c r="C17" i="6"/>
  <c r="B17" i="6"/>
  <c r="A17" i="6"/>
  <c r="I16" i="6"/>
  <c r="H16" i="6"/>
  <c r="G16" i="6"/>
  <c r="F16" i="6"/>
  <c r="E16" i="6"/>
  <c r="D16" i="6"/>
  <c r="C16" i="6"/>
  <c r="B16" i="6"/>
  <c r="A16" i="6"/>
  <c r="I15" i="6"/>
  <c r="H15" i="6"/>
  <c r="G15" i="6"/>
  <c r="F15" i="6"/>
  <c r="E15" i="6"/>
  <c r="D15" i="6"/>
  <c r="C15" i="6"/>
  <c r="B15" i="6"/>
  <c r="A15" i="6"/>
  <c r="I14" i="6"/>
  <c r="H14" i="6"/>
  <c r="G14" i="6"/>
  <c r="F14" i="6"/>
  <c r="E14" i="6"/>
  <c r="D14" i="6"/>
  <c r="C14" i="6"/>
  <c r="B14" i="6"/>
  <c r="A14" i="6"/>
  <c r="I13" i="6"/>
  <c r="H13" i="6"/>
  <c r="G13" i="6"/>
  <c r="F13" i="6"/>
  <c r="E13" i="6"/>
  <c r="D13" i="6"/>
  <c r="C13" i="6"/>
  <c r="B13" i="6"/>
  <c r="A13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K143" i="5"/>
  <c r="X142" i="5"/>
  <c r="W142" i="5"/>
  <c r="V142" i="5"/>
  <c r="U142" i="5"/>
  <c r="T142" i="5"/>
  <c r="N15" i="3" s="1"/>
  <c r="N13" i="3" s="1"/>
  <c r="S142" i="5"/>
  <c r="R142" i="5"/>
  <c r="Q142" i="5"/>
  <c r="P142" i="5"/>
  <c r="O142" i="5"/>
  <c r="O143" i="5" s="1"/>
  <c r="N142" i="5"/>
  <c r="M142" i="5"/>
  <c r="L142" i="5"/>
  <c r="K142" i="5"/>
  <c r="J142" i="5"/>
  <c r="I142" i="5"/>
  <c r="G142" i="5"/>
  <c r="X141" i="5"/>
  <c r="W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Y141" i="5" s="1"/>
  <c r="H141" i="5"/>
  <c r="G141" i="5"/>
  <c r="F141" i="5"/>
  <c r="E141" i="5"/>
  <c r="D141" i="5"/>
  <c r="C141" i="5"/>
  <c r="B141" i="5"/>
  <c r="A141" i="5"/>
  <c r="Y140" i="5"/>
  <c r="W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Y139" i="5"/>
  <c r="W139" i="5"/>
  <c r="I139" i="5"/>
  <c r="H139" i="5"/>
  <c r="G139" i="5"/>
  <c r="F139" i="5"/>
  <c r="E139" i="5"/>
  <c r="D139" i="5"/>
  <c r="C139" i="5"/>
  <c r="B139" i="5"/>
  <c r="A139" i="5"/>
  <c r="W138" i="5"/>
  <c r="Y138" i="5" s="1"/>
  <c r="I138" i="5"/>
  <c r="H138" i="5"/>
  <c r="G138" i="5"/>
  <c r="F138" i="5"/>
  <c r="E138" i="5"/>
  <c r="D138" i="5"/>
  <c r="C138" i="5"/>
  <c r="B138" i="5"/>
  <c r="A138" i="5"/>
  <c r="W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W136" i="5"/>
  <c r="Y136" i="5" s="1"/>
  <c r="I136" i="5"/>
  <c r="H136" i="5"/>
  <c r="G136" i="5"/>
  <c r="F136" i="5"/>
  <c r="E136" i="5"/>
  <c r="D136" i="5"/>
  <c r="C136" i="5"/>
  <c r="B136" i="5"/>
  <c r="A136" i="5"/>
  <c r="Y135" i="5"/>
  <c r="W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W134" i="5"/>
  <c r="Y134" i="5" s="1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W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Y133" i="5" s="1"/>
  <c r="H133" i="5"/>
  <c r="G133" i="5"/>
  <c r="F133" i="5"/>
  <c r="E133" i="5"/>
  <c r="D133" i="5"/>
  <c r="C133" i="5"/>
  <c r="B133" i="5"/>
  <c r="A133" i="5"/>
  <c r="Y132" i="5"/>
  <c r="W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Y131" i="5"/>
  <c r="W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W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Y129" i="5"/>
  <c r="W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Y128" i="5"/>
  <c r="W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W127" i="5"/>
  <c r="Y127" i="5" s="1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W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Y126" i="5" s="1"/>
  <c r="H126" i="5"/>
  <c r="G126" i="5"/>
  <c r="F126" i="5"/>
  <c r="E126" i="5"/>
  <c r="D126" i="5"/>
  <c r="C126" i="5"/>
  <c r="B126" i="5"/>
  <c r="A126" i="5"/>
  <c r="X125" i="5"/>
  <c r="W125" i="5"/>
  <c r="Y125" i="5" s="1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X124" i="5"/>
  <c r="W124" i="5"/>
  <c r="Y124" i="5" s="1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X123" i="5"/>
  <c r="W123" i="5"/>
  <c r="Y123" i="5" s="1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X122" i="5"/>
  <c r="W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U119" i="5"/>
  <c r="T119" i="5"/>
  <c r="S119" i="5"/>
  <c r="R119" i="5"/>
  <c r="L4" i="3" s="1"/>
  <c r="L3" i="3" s="1"/>
  <c r="L21" i="3" s="1"/>
  <c r="Q119" i="5"/>
  <c r="P119" i="5"/>
  <c r="O119" i="5"/>
  <c r="N119" i="5"/>
  <c r="N143" i="5" s="1"/>
  <c r="M119" i="5"/>
  <c r="I118" i="5"/>
  <c r="I119" i="5" s="1"/>
  <c r="I117" i="5"/>
  <c r="X115" i="5"/>
  <c r="W115" i="5"/>
  <c r="V115" i="5"/>
  <c r="U115" i="5"/>
  <c r="U143" i="5" s="1"/>
  <c r="T115" i="5"/>
  <c r="S115" i="5"/>
  <c r="S143" i="5" s="1"/>
  <c r="R115" i="5"/>
  <c r="Q115" i="5"/>
  <c r="P115" i="5"/>
  <c r="O115" i="5"/>
  <c r="N115" i="5"/>
  <c r="M115" i="5"/>
  <c r="L115" i="5"/>
  <c r="L143" i="5" s="1"/>
  <c r="K115" i="5"/>
  <c r="J115" i="5"/>
  <c r="I115" i="5"/>
  <c r="I143" i="5" s="1"/>
  <c r="G115" i="5"/>
  <c r="Y114" i="5"/>
  <c r="X114" i="5"/>
  <c r="W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Y113" i="5"/>
  <c r="W113" i="5"/>
  <c r="I113" i="5"/>
  <c r="H113" i="5"/>
  <c r="G113" i="5"/>
  <c r="F113" i="5"/>
  <c r="E113" i="5"/>
  <c r="D113" i="5"/>
  <c r="C113" i="5"/>
  <c r="B113" i="5"/>
  <c r="A113" i="5"/>
  <c r="W112" i="5"/>
  <c r="Y112" i="5" s="1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W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Y111" i="5" s="1"/>
  <c r="H111" i="5"/>
  <c r="G111" i="5"/>
  <c r="F111" i="5"/>
  <c r="E111" i="5"/>
  <c r="D111" i="5"/>
  <c r="C111" i="5"/>
  <c r="B111" i="5"/>
  <c r="A111" i="5"/>
  <c r="Y110" i="5"/>
  <c r="W110" i="5"/>
  <c r="I110" i="5"/>
  <c r="H110" i="5"/>
  <c r="G110" i="5"/>
  <c r="F110" i="5"/>
  <c r="E110" i="5"/>
  <c r="D110" i="5"/>
  <c r="C110" i="5"/>
  <c r="B110" i="5"/>
  <c r="A110" i="5"/>
  <c r="Y109" i="5"/>
  <c r="W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W108" i="5"/>
  <c r="Y108" i="5" s="1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W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W106" i="5"/>
  <c r="Y106" i="5" s="1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Y105" i="5"/>
  <c r="W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W104" i="5"/>
  <c r="Y104" i="5" s="1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W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Y103" i="5" s="1"/>
  <c r="H103" i="5"/>
  <c r="G103" i="5"/>
  <c r="F103" i="5"/>
  <c r="E103" i="5"/>
  <c r="D103" i="5"/>
  <c r="C103" i="5"/>
  <c r="B103" i="5"/>
  <c r="A103" i="5"/>
  <c r="Y102" i="5"/>
  <c r="W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Y101" i="5"/>
  <c r="W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W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Y99" i="5"/>
  <c r="W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Y98" i="5"/>
  <c r="X98" i="5"/>
  <c r="W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Y97" i="5"/>
  <c r="X97" i="5"/>
  <c r="W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Y96" i="5"/>
  <c r="X96" i="5"/>
  <c r="W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Y95" i="5"/>
  <c r="X95" i="5"/>
  <c r="W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X92" i="5"/>
  <c r="W92" i="5"/>
  <c r="V92" i="5"/>
  <c r="U92" i="5"/>
  <c r="T92" i="5"/>
  <c r="S92" i="5"/>
  <c r="R92" i="5"/>
  <c r="Q92" i="5"/>
  <c r="Q143" i="5" s="1"/>
  <c r="P92" i="5"/>
  <c r="O92" i="5"/>
  <c r="N92" i="5"/>
  <c r="M92" i="5"/>
  <c r="L92" i="5"/>
  <c r="K92" i="5"/>
  <c r="J92" i="5"/>
  <c r="I92" i="5"/>
  <c r="G92" i="5"/>
  <c r="X91" i="5"/>
  <c r="W91" i="5"/>
  <c r="Y91" i="5" s="1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W90" i="5"/>
  <c r="I90" i="5"/>
  <c r="Y90" i="5" s="1"/>
  <c r="H90" i="5"/>
  <c r="G90" i="5"/>
  <c r="F90" i="5"/>
  <c r="E90" i="5"/>
  <c r="D90" i="5"/>
  <c r="C90" i="5"/>
  <c r="B90" i="5"/>
  <c r="A90" i="5"/>
  <c r="Y89" i="5"/>
  <c r="W89" i="5"/>
  <c r="I89" i="5"/>
  <c r="H89" i="5"/>
  <c r="G89" i="5"/>
  <c r="F89" i="5"/>
  <c r="E89" i="5"/>
  <c r="D89" i="5"/>
  <c r="C89" i="5"/>
  <c r="B89" i="5"/>
  <c r="A89" i="5"/>
  <c r="Y88" i="5"/>
  <c r="W88" i="5"/>
  <c r="I88" i="5"/>
  <c r="H88" i="5"/>
  <c r="G88" i="5"/>
  <c r="F88" i="5"/>
  <c r="E88" i="5"/>
  <c r="D88" i="5"/>
  <c r="C88" i="5"/>
  <c r="B88" i="5"/>
  <c r="A88" i="5"/>
  <c r="W87" i="5"/>
  <c r="Y87" i="5" s="1"/>
  <c r="I87" i="5"/>
  <c r="H87" i="5"/>
  <c r="G87" i="5"/>
  <c r="F87" i="5"/>
  <c r="E87" i="5"/>
  <c r="D87" i="5"/>
  <c r="C87" i="5"/>
  <c r="B87" i="5"/>
  <c r="A87" i="5"/>
  <c r="W86" i="5"/>
  <c r="I86" i="5"/>
  <c r="Y86" i="5" s="1"/>
  <c r="H86" i="5"/>
  <c r="G86" i="5"/>
  <c r="F86" i="5"/>
  <c r="E86" i="5"/>
  <c r="D86" i="5"/>
  <c r="C86" i="5"/>
  <c r="B86" i="5"/>
  <c r="A86" i="5"/>
  <c r="Y85" i="5"/>
  <c r="W85" i="5"/>
  <c r="I85" i="5"/>
  <c r="H85" i="5"/>
  <c r="G85" i="5"/>
  <c r="F85" i="5"/>
  <c r="E85" i="5"/>
  <c r="D85" i="5"/>
  <c r="C85" i="5"/>
  <c r="B85" i="5"/>
  <c r="A85" i="5"/>
  <c r="Y84" i="5"/>
  <c r="W84" i="5"/>
  <c r="I84" i="5"/>
  <c r="H84" i="5"/>
  <c r="G84" i="5"/>
  <c r="F84" i="5"/>
  <c r="E84" i="5"/>
  <c r="D84" i="5"/>
  <c r="C84" i="5"/>
  <c r="B84" i="5"/>
  <c r="A84" i="5"/>
  <c r="W83" i="5"/>
  <c r="I83" i="5"/>
  <c r="H83" i="5"/>
  <c r="G83" i="5"/>
  <c r="F83" i="5"/>
  <c r="E83" i="5"/>
  <c r="D83" i="5"/>
  <c r="C83" i="5"/>
  <c r="B83" i="5"/>
  <c r="A83" i="5"/>
  <c r="W82" i="5"/>
  <c r="I82" i="5"/>
  <c r="H82" i="5"/>
  <c r="G82" i="5"/>
  <c r="F82" i="5"/>
  <c r="E82" i="5"/>
  <c r="D82" i="5"/>
  <c r="C82" i="5"/>
  <c r="B82" i="5"/>
  <c r="A82" i="5"/>
  <c r="W81" i="5"/>
  <c r="Y81" i="5" s="1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Y80" i="5"/>
  <c r="W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W79" i="5"/>
  <c r="Y79" i="5" s="1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W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Y78" i="5" s="1"/>
  <c r="H78" i="5"/>
  <c r="G78" i="5"/>
  <c r="F78" i="5"/>
  <c r="E78" i="5"/>
  <c r="D78" i="5"/>
  <c r="C78" i="5"/>
  <c r="B78" i="5"/>
  <c r="A78" i="5"/>
  <c r="Y77" i="5"/>
  <c r="W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W76" i="5"/>
  <c r="Y76" i="5" s="1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X75" i="5"/>
  <c r="W75" i="5"/>
  <c r="Y75" i="5" s="1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X74" i="5"/>
  <c r="W74" i="5"/>
  <c r="Y74" i="5" s="1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X73" i="5"/>
  <c r="W73" i="5"/>
  <c r="Y73" i="5" s="1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X72" i="5"/>
  <c r="W72" i="5"/>
  <c r="Y72" i="5" s="1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Y71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G70" i="5"/>
  <c r="X69" i="5"/>
  <c r="W69" i="5"/>
  <c r="Y69" i="5" s="1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W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Y67" i="5"/>
  <c r="W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W66" i="5"/>
  <c r="Y66" i="5" s="1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W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Y65" i="5" s="1"/>
  <c r="H65" i="5"/>
  <c r="G65" i="5"/>
  <c r="F65" i="5"/>
  <c r="E65" i="5"/>
  <c r="D65" i="5"/>
  <c r="C65" i="5"/>
  <c r="B65" i="5"/>
  <c r="A65" i="5"/>
  <c r="Y64" i="5"/>
  <c r="W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Y63" i="5"/>
  <c r="W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W62" i="5"/>
  <c r="Y62" i="5" s="1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W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Y61" i="5" s="1"/>
  <c r="H61" i="5"/>
  <c r="G61" i="5"/>
  <c r="F61" i="5"/>
  <c r="E61" i="5"/>
  <c r="D61" i="5"/>
  <c r="C61" i="5"/>
  <c r="B61" i="5"/>
  <c r="A61" i="5"/>
  <c r="Y60" i="5"/>
  <c r="W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W59" i="5"/>
  <c r="Y59" i="5" s="1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W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W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W56" i="5"/>
  <c r="Y56" i="5" s="1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Y55" i="5"/>
  <c r="W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W54" i="5"/>
  <c r="Y54" i="5" s="1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W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Y53" i="5" s="1"/>
  <c r="H53" i="5"/>
  <c r="G53" i="5"/>
  <c r="F53" i="5"/>
  <c r="E53" i="5"/>
  <c r="D53" i="5"/>
  <c r="C53" i="5"/>
  <c r="B53" i="5"/>
  <c r="A53" i="5"/>
  <c r="X52" i="5"/>
  <c r="W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Y52" i="5" s="1"/>
  <c r="H52" i="5"/>
  <c r="G52" i="5"/>
  <c r="F52" i="5"/>
  <c r="E52" i="5"/>
  <c r="D52" i="5"/>
  <c r="C52" i="5"/>
  <c r="B52" i="5"/>
  <c r="A52" i="5"/>
  <c r="X51" i="5"/>
  <c r="W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Y51" i="5" s="1"/>
  <c r="H51" i="5"/>
  <c r="G51" i="5"/>
  <c r="F51" i="5"/>
  <c r="E51" i="5"/>
  <c r="D51" i="5"/>
  <c r="C51" i="5"/>
  <c r="B51" i="5"/>
  <c r="A51" i="5"/>
  <c r="X50" i="5"/>
  <c r="W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Y50" i="5" s="1"/>
  <c r="H50" i="5"/>
  <c r="G50" i="5"/>
  <c r="F50" i="5"/>
  <c r="E50" i="5"/>
  <c r="D50" i="5"/>
  <c r="C50" i="5"/>
  <c r="B50" i="5"/>
  <c r="A50" i="5"/>
  <c r="X49" i="5"/>
  <c r="W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Y49" i="5" s="1"/>
  <c r="H49" i="5"/>
  <c r="G49" i="5"/>
  <c r="F49" i="5"/>
  <c r="E49" i="5"/>
  <c r="D49" i="5"/>
  <c r="C49" i="5"/>
  <c r="B49" i="5"/>
  <c r="A49" i="5"/>
  <c r="Y48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D4" i="3" s="1"/>
  <c r="I47" i="5"/>
  <c r="H47" i="5"/>
  <c r="Y46" i="5"/>
  <c r="X46" i="5"/>
  <c r="W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W45" i="5"/>
  <c r="Y45" i="5" s="1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W44" i="5"/>
  <c r="I44" i="5"/>
  <c r="H44" i="5"/>
  <c r="G44" i="5"/>
  <c r="F44" i="5"/>
  <c r="E44" i="5"/>
  <c r="D44" i="5"/>
  <c r="C44" i="5"/>
  <c r="B44" i="5"/>
  <c r="A44" i="5"/>
  <c r="W43" i="5"/>
  <c r="Y43" i="5" s="1"/>
  <c r="I43" i="5"/>
  <c r="H43" i="5"/>
  <c r="G43" i="5"/>
  <c r="F43" i="5"/>
  <c r="E43" i="5"/>
  <c r="D43" i="5"/>
  <c r="C43" i="5"/>
  <c r="B43" i="5"/>
  <c r="A43" i="5"/>
  <c r="Y42" i="5"/>
  <c r="W42" i="5"/>
  <c r="U42" i="5"/>
  <c r="T42" i="5"/>
  <c r="S42" i="5"/>
  <c r="R42" i="5"/>
  <c r="Q42" i="5"/>
  <c r="P42" i="5"/>
  <c r="O42" i="5"/>
  <c r="N42" i="5"/>
  <c r="M42" i="5"/>
  <c r="L42" i="5"/>
  <c r="K42" i="5"/>
  <c r="I42" i="5"/>
  <c r="H42" i="5"/>
  <c r="G42" i="5"/>
  <c r="F42" i="5"/>
  <c r="E42" i="5"/>
  <c r="D42" i="5"/>
  <c r="C42" i="5"/>
  <c r="B42" i="5"/>
  <c r="A42" i="5"/>
  <c r="Y41" i="5"/>
  <c r="W41" i="5"/>
  <c r="J41" i="5"/>
  <c r="I41" i="5"/>
  <c r="H41" i="5"/>
  <c r="G41" i="5"/>
  <c r="F41" i="5"/>
  <c r="E41" i="5"/>
  <c r="D41" i="5"/>
  <c r="C41" i="5"/>
  <c r="B41" i="5"/>
  <c r="A41" i="5"/>
  <c r="W40" i="5"/>
  <c r="Q40" i="5"/>
  <c r="P40" i="5"/>
  <c r="O40" i="5"/>
  <c r="N40" i="5"/>
  <c r="M40" i="5"/>
  <c r="L40" i="5"/>
  <c r="K40" i="5"/>
  <c r="J40" i="5"/>
  <c r="I40" i="5"/>
  <c r="Y40" i="5" s="1"/>
  <c r="H40" i="5"/>
  <c r="G40" i="5"/>
  <c r="F40" i="5"/>
  <c r="E40" i="5"/>
  <c r="D40" i="5"/>
  <c r="C40" i="5"/>
  <c r="B40" i="5"/>
  <c r="A40" i="5"/>
  <c r="W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Y38" i="5"/>
  <c r="W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Y37" i="5"/>
  <c r="W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W36" i="5"/>
  <c r="Y36" i="5" s="1"/>
  <c r="U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W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Y35" i="5" s="1"/>
  <c r="H35" i="5"/>
  <c r="G35" i="5"/>
  <c r="F35" i="5"/>
  <c r="E35" i="5"/>
  <c r="D35" i="5"/>
  <c r="C35" i="5"/>
  <c r="B35" i="5"/>
  <c r="A35" i="5"/>
  <c r="Y34" i="5"/>
  <c r="W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W33" i="5"/>
  <c r="Y33" i="5" s="1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W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Y31" i="5"/>
  <c r="W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Y30" i="5"/>
  <c r="W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Y29" i="5"/>
  <c r="X29" i="5"/>
  <c r="W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Y28" i="5"/>
  <c r="X28" i="5"/>
  <c r="W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Y27" i="5"/>
  <c r="X27" i="5"/>
  <c r="W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Y26" i="5"/>
  <c r="X26" i="5"/>
  <c r="W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Y25" i="5"/>
  <c r="X24" i="5"/>
  <c r="W24" i="5"/>
  <c r="V24" i="5"/>
  <c r="U24" i="5"/>
  <c r="T24" i="5"/>
  <c r="N4" i="3" s="1"/>
  <c r="S24" i="5"/>
  <c r="R24" i="5"/>
  <c r="Q24" i="5"/>
  <c r="P24" i="5"/>
  <c r="O24" i="5"/>
  <c r="N24" i="5"/>
  <c r="M24" i="5"/>
  <c r="L24" i="5"/>
  <c r="K24" i="5"/>
  <c r="J24" i="5"/>
  <c r="I24" i="5"/>
  <c r="H24" i="5"/>
  <c r="X23" i="5"/>
  <c r="W23" i="5"/>
  <c r="Y23" i="5" s="1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W22" i="5"/>
  <c r="I22" i="5"/>
  <c r="Y22" i="5" s="1"/>
  <c r="H22" i="5"/>
  <c r="G22" i="5"/>
  <c r="F22" i="5"/>
  <c r="E22" i="5"/>
  <c r="D22" i="5"/>
  <c r="C22" i="5"/>
  <c r="B22" i="5"/>
  <c r="A22" i="5"/>
  <c r="Y21" i="5"/>
  <c r="W21" i="5"/>
  <c r="I21" i="5"/>
  <c r="H21" i="5"/>
  <c r="G21" i="5"/>
  <c r="F21" i="5"/>
  <c r="E21" i="5"/>
  <c r="D21" i="5"/>
  <c r="C21" i="5"/>
  <c r="B21" i="5"/>
  <c r="A21" i="5"/>
  <c r="Y20" i="5"/>
  <c r="W20" i="5"/>
  <c r="I20" i="5"/>
  <c r="H20" i="5"/>
  <c r="G20" i="5"/>
  <c r="F20" i="5"/>
  <c r="E20" i="5"/>
  <c r="D20" i="5"/>
  <c r="C20" i="5"/>
  <c r="B20" i="5"/>
  <c r="A20" i="5"/>
  <c r="Y19" i="5"/>
  <c r="W19" i="5"/>
  <c r="I19" i="5"/>
  <c r="H19" i="5"/>
  <c r="G19" i="5"/>
  <c r="F19" i="5"/>
  <c r="E19" i="5"/>
  <c r="D19" i="5"/>
  <c r="C19" i="5"/>
  <c r="B19" i="5"/>
  <c r="A19" i="5"/>
  <c r="W18" i="5"/>
  <c r="Y18" i="5" s="1"/>
  <c r="I18" i="5"/>
  <c r="H18" i="5"/>
  <c r="G18" i="5"/>
  <c r="F18" i="5"/>
  <c r="E18" i="5"/>
  <c r="D18" i="5"/>
  <c r="C18" i="5"/>
  <c r="B18" i="5"/>
  <c r="A18" i="5"/>
  <c r="W17" i="5"/>
  <c r="I17" i="5"/>
  <c r="Y17" i="5" s="1"/>
  <c r="H17" i="5"/>
  <c r="G17" i="5"/>
  <c r="F17" i="5"/>
  <c r="E17" i="5"/>
  <c r="D17" i="5"/>
  <c r="C17" i="5"/>
  <c r="B17" i="5"/>
  <c r="A17" i="5"/>
  <c r="Y16" i="5"/>
  <c r="W16" i="5"/>
  <c r="I16" i="5"/>
  <c r="H16" i="5"/>
  <c r="G16" i="5"/>
  <c r="F16" i="5"/>
  <c r="E16" i="5"/>
  <c r="D16" i="5"/>
  <c r="C16" i="5"/>
  <c r="B16" i="5"/>
  <c r="A16" i="5"/>
  <c r="W15" i="5"/>
  <c r="Y15" i="5" s="1"/>
  <c r="I15" i="5"/>
  <c r="H15" i="5"/>
  <c r="G15" i="5"/>
  <c r="F15" i="5"/>
  <c r="E15" i="5"/>
  <c r="D15" i="5"/>
  <c r="C15" i="5"/>
  <c r="B15" i="5"/>
  <c r="A15" i="5"/>
  <c r="W14" i="5"/>
  <c r="I14" i="5"/>
  <c r="H14" i="5"/>
  <c r="G14" i="5"/>
  <c r="F14" i="5"/>
  <c r="E14" i="5"/>
  <c r="D14" i="5"/>
  <c r="C14" i="5"/>
  <c r="B14" i="5"/>
  <c r="A14" i="5"/>
  <c r="W13" i="5"/>
  <c r="Y13" i="5" s="1"/>
  <c r="I13" i="5"/>
  <c r="H13" i="5"/>
  <c r="G13" i="5"/>
  <c r="F13" i="5"/>
  <c r="E13" i="5"/>
  <c r="D13" i="5"/>
  <c r="C13" i="5"/>
  <c r="B13" i="5"/>
  <c r="A13" i="5"/>
  <c r="Y12" i="5"/>
  <c r="X12" i="5"/>
  <c r="W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Y11" i="5"/>
  <c r="X11" i="5"/>
  <c r="W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Y10" i="5"/>
  <c r="X10" i="5"/>
  <c r="W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Y9" i="5"/>
  <c r="X9" i="5"/>
  <c r="W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Y8" i="5"/>
  <c r="X8" i="5"/>
  <c r="W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Y7" i="5"/>
  <c r="X7" i="5"/>
  <c r="W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Y6" i="5"/>
  <c r="X6" i="5"/>
  <c r="W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Y5" i="5"/>
  <c r="X5" i="5"/>
  <c r="W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Y4" i="5"/>
  <c r="X4" i="5"/>
  <c r="W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Y3" i="5"/>
  <c r="X3" i="5"/>
  <c r="W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S325" i="4"/>
  <c r="S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S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E316" i="4"/>
  <c r="S316" i="4" s="1"/>
  <c r="D316" i="4"/>
  <c r="C316" i="4"/>
  <c r="B316" i="4"/>
  <c r="S315" i="4"/>
  <c r="E315" i="4"/>
  <c r="D315" i="4"/>
  <c r="C315" i="4"/>
  <c r="B315" i="4"/>
  <c r="S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S313" i="4"/>
  <c r="E313" i="4"/>
  <c r="D313" i="4"/>
  <c r="C313" i="4"/>
  <c r="B313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S312" i="4" s="1"/>
  <c r="D312" i="4"/>
  <c r="C312" i="4"/>
  <c r="B312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S311" i="4" s="1"/>
  <c r="D311" i="4"/>
  <c r="C311" i="4"/>
  <c r="B311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S310" i="4" s="1"/>
  <c r="D310" i="4"/>
  <c r="C310" i="4"/>
  <c r="B310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S309" i="4" s="1"/>
  <c r="D309" i="4"/>
  <c r="C309" i="4"/>
  <c r="B309" i="4"/>
  <c r="S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S307" i="4" s="1"/>
  <c r="D307" i="4"/>
  <c r="C307" i="4"/>
  <c r="B307" i="4"/>
  <c r="S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S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S304" i="4" s="1"/>
  <c r="D304" i="4"/>
  <c r="C304" i="4"/>
  <c r="B304" i="4"/>
  <c r="S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S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S301" i="4" s="1"/>
  <c r="D301" i="4"/>
  <c r="C301" i="4"/>
  <c r="B301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S300" i="4" s="1"/>
  <c r="C300" i="4"/>
  <c r="B300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S299" i="4" s="1"/>
  <c r="C299" i="4"/>
  <c r="B299" i="4"/>
  <c r="S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S297" i="4" s="1"/>
  <c r="D297" i="4"/>
  <c r="C297" i="4"/>
  <c r="B297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S296" i="4" s="1"/>
  <c r="D296" i="4"/>
  <c r="C296" i="4"/>
  <c r="B296" i="4"/>
  <c r="S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S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S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S292" i="4" s="1"/>
  <c r="D292" i="4"/>
  <c r="C292" i="4"/>
  <c r="B292" i="4"/>
  <c r="S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S290" i="4" s="1"/>
  <c r="D290" i="4"/>
  <c r="C290" i="4"/>
  <c r="B290" i="4"/>
  <c r="S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E682" i="1" s="1"/>
  <c r="E681" i="1" s="1"/>
  <c r="B289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S288" i="4" s="1"/>
  <c r="D288" i="4"/>
  <c r="C288" i="4"/>
  <c r="B288" i="4"/>
  <c r="S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S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S285" i="4" s="1"/>
  <c r="D285" i="4"/>
  <c r="C285" i="4"/>
  <c r="B285" i="4"/>
  <c r="S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S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S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S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S280" i="4"/>
  <c r="E653" i="1" s="1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C280" i="4"/>
  <c r="B280" i="4"/>
  <c r="S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C279" i="4"/>
  <c r="B279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S278" i="4" s="1"/>
  <c r="D278" i="4"/>
  <c r="C278" i="4"/>
  <c r="B278" i="4"/>
  <c r="S277" i="4"/>
  <c r="E277" i="4"/>
  <c r="D277" i="4"/>
  <c r="C277" i="4"/>
  <c r="B277" i="4"/>
  <c r="S276" i="4"/>
  <c r="E276" i="4"/>
  <c r="D276" i="4"/>
  <c r="C276" i="4"/>
  <c r="E601" i="1" s="1"/>
  <c r="B276" i="4"/>
  <c r="E275" i="4"/>
  <c r="S275" i="4" s="1"/>
  <c r="D275" i="4"/>
  <c r="C275" i="4"/>
  <c r="B275" i="4"/>
  <c r="S274" i="4"/>
  <c r="E274" i="4"/>
  <c r="D274" i="4"/>
  <c r="C274" i="4"/>
  <c r="B274" i="4"/>
  <c r="S273" i="4"/>
  <c r="E273" i="4"/>
  <c r="D273" i="4"/>
  <c r="C273" i="4"/>
  <c r="B273" i="4"/>
  <c r="S272" i="4"/>
  <c r="E272" i="4"/>
  <c r="D272" i="4"/>
  <c r="C272" i="4"/>
  <c r="B272" i="4"/>
  <c r="S271" i="4"/>
  <c r="E271" i="4"/>
  <c r="D271" i="4"/>
  <c r="C271" i="4"/>
  <c r="B271" i="4"/>
  <c r="E270" i="4"/>
  <c r="S270" i="4" s="1"/>
  <c r="D270" i="4"/>
  <c r="C270" i="4"/>
  <c r="B270" i="4"/>
  <c r="E269" i="4"/>
  <c r="S269" i="4" s="1"/>
  <c r="D269" i="4"/>
  <c r="C269" i="4"/>
  <c r="B269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S268" i="4" s="1"/>
  <c r="D268" i="4"/>
  <c r="C268" i="4"/>
  <c r="B268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S267" i="4" s="1"/>
  <c r="E612" i="1" s="1"/>
  <c r="D267" i="4"/>
  <c r="C267" i="4"/>
  <c r="B267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S266" i="4" s="1"/>
  <c r="D266" i="4"/>
  <c r="C266" i="4"/>
  <c r="B266" i="4"/>
  <c r="S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S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S263" i="4" s="1"/>
  <c r="D263" i="4"/>
  <c r="C263" i="4"/>
  <c r="B263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S262" i="4" s="1"/>
  <c r="D262" i="4"/>
  <c r="C262" i="4"/>
  <c r="B262" i="4"/>
  <c r="S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S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C260" i="4"/>
  <c r="B260" i="4"/>
  <c r="S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C259" i="4"/>
  <c r="B259" i="4"/>
  <c r="E258" i="4"/>
  <c r="S258" i="4" s="1"/>
  <c r="D258" i="4"/>
  <c r="C258" i="4"/>
  <c r="B258" i="4"/>
  <c r="S257" i="4"/>
  <c r="E257" i="4"/>
  <c r="D257" i="4"/>
  <c r="C257" i="4"/>
  <c r="E575" i="1" s="1"/>
  <c r="B257" i="4"/>
  <c r="E256" i="4"/>
  <c r="S256" i="4" s="1"/>
  <c r="D256" i="4"/>
  <c r="C256" i="4"/>
  <c r="B256" i="4"/>
  <c r="E255" i="4"/>
  <c r="S255" i="4" s="1"/>
  <c r="D255" i="4"/>
  <c r="C255" i="4"/>
  <c r="B255" i="4"/>
  <c r="S254" i="4"/>
  <c r="E254" i="4"/>
  <c r="D254" i="4"/>
  <c r="C254" i="4"/>
  <c r="B254" i="4"/>
  <c r="E253" i="4"/>
  <c r="S253" i="4" s="1"/>
  <c r="D253" i="4"/>
  <c r="C253" i="4"/>
  <c r="B253" i="4"/>
  <c r="S252" i="4"/>
  <c r="E252" i="4"/>
  <c r="D252" i="4"/>
  <c r="C252" i="4"/>
  <c r="B252" i="4"/>
  <c r="S251" i="4"/>
  <c r="E251" i="4"/>
  <c r="D251" i="4"/>
  <c r="C251" i="4"/>
  <c r="B251" i="4"/>
  <c r="E250" i="4"/>
  <c r="S250" i="4" s="1"/>
  <c r="D250" i="4"/>
  <c r="C250" i="4"/>
  <c r="B250" i="4"/>
  <c r="S249" i="4"/>
  <c r="E249" i="4"/>
  <c r="D249" i="4"/>
  <c r="C249" i="4"/>
  <c r="B249" i="4"/>
  <c r="S248" i="4"/>
  <c r="E248" i="4"/>
  <c r="D248" i="4"/>
  <c r="C248" i="4"/>
  <c r="B248" i="4"/>
  <c r="S247" i="4"/>
  <c r="E247" i="4"/>
  <c r="D247" i="4"/>
  <c r="C247" i="4"/>
  <c r="B247" i="4"/>
  <c r="E246" i="4"/>
  <c r="S246" i="4" s="1"/>
  <c r="D246" i="4"/>
  <c r="C246" i="4"/>
  <c r="B246" i="4"/>
  <c r="E245" i="4"/>
  <c r="S245" i="4" s="1"/>
  <c r="D245" i="4"/>
  <c r="C245" i="4"/>
  <c r="B245" i="4"/>
  <c r="E244" i="4"/>
  <c r="S244" i="4" s="1"/>
  <c r="D244" i="4"/>
  <c r="C244" i="4"/>
  <c r="B244" i="4"/>
  <c r="E243" i="4"/>
  <c r="S243" i="4" s="1"/>
  <c r="E551" i="1" s="1"/>
  <c r="E550" i="1" s="1"/>
  <c r="D243" i="4"/>
  <c r="C243" i="4"/>
  <c r="B243" i="4"/>
  <c r="S242" i="4"/>
  <c r="E242" i="4"/>
  <c r="D242" i="4"/>
  <c r="C242" i="4"/>
  <c r="B242" i="4"/>
  <c r="E241" i="4"/>
  <c r="S241" i="4" s="1"/>
  <c r="D241" i="4"/>
  <c r="C241" i="4"/>
  <c r="B241" i="4"/>
  <c r="S240" i="4"/>
  <c r="E240" i="4"/>
  <c r="C240" i="4"/>
  <c r="B240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S239" i="4" s="1"/>
  <c r="C239" i="4"/>
  <c r="B239" i="4"/>
  <c r="E238" i="4"/>
  <c r="S238" i="4" s="1"/>
  <c r="C238" i="4"/>
  <c r="B238" i="4"/>
  <c r="S237" i="4"/>
  <c r="E237" i="4"/>
  <c r="C237" i="4"/>
  <c r="B237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S236" i="4" s="1"/>
  <c r="D236" i="4"/>
  <c r="C236" i="4"/>
  <c r="B236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S235" i="4" s="1"/>
  <c r="D235" i="4"/>
  <c r="C235" i="4"/>
  <c r="B235" i="4"/>
  <c r="S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S233" i="4" s="1"/>
  <c r="D233" i="4"/>
  <c r="C233" i="4"/>
  <c r="B233" i="4"/>
  <c r="S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S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S230" i="4" s="1"/>
  <c r="D230" i="4"/>
  <c r="C230" i="4"/>
  <c r="B230" i="4"/>
  <c r="S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S228" i="4" s="1"/>
  <c r="D228" i="4"/>
  <c r="C228" i="4"/>
  <c r="B228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S227" i="4" s="1"/>
  <c r="D227" i="4"/>
  <c r="C227" i="4"/>
  <c r="B227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S226" i="4" s="1"/>
  <c r="D226" i="4"/>
  <c r="C226" i="4"/>
  <c r="B226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S225" i="4" s="1"/>
  <c r="D225" i="4"/>
  <c r="C225" i="4"/>
  <c r="B225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S224" i="4" s="1"/>
  <c r="D224" i="4"/>
  <c r="C224" i="4"/>
  <c r="B224" i="4"/>
  <c r="S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S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S221" i="4" s="1"/>
  <c r="D221" i="4"/>
  <c r="C221" i="4"/>
  <c r="B221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S220" i="4" s="1"/>
  <c r="D220" i="4"/>
  <c r="C220" i="4"/>
  <c r="B220" i="4"/>
  <c r="S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S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C218" i="4"/>
  <c r="B218" i="4"/>
  <c r="S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C217" i="4"/>
  <c r="B217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S216" i="4" s="1"/>
  <c r="D216" i="4"/>
  <c r="C216" i="4"/>
  <c r="B216" i="4"/>
  <c r="S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S214" i="4" s="1"/>
  <c r="D214" i="4"/>
  <c r="C214" i="4"/>
  <c r="B214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S213" i="4" s="1"/>
  <c r="D213" i="4"/>
  <c r="C213" i="4"/>
  <c r="B213" i="4"/>
  <c r="S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S211" i="4" s="1"/>
  <c r="D211" i="4"/>
  <c r="C211" i="4"/>
  <c r="B211" i="4"/>
  <c r="S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S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S208" i="4" s="1"/>
  <c r="D208" i="4"/>
  <c r="C208" i="4"/>
  <c r="B208" i="4"/>
  <c r="S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S206" i="4"/>
  <c r="D206" i="4"/>
  <c r="C206" i="4"/>
  <c r="B206" i="4"/>
  <c r="S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S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S203" i="4" s="1"/>
  <c r="D203" i="4"/>
  <c r="C203" i="4"/>
  <c r="B203" i="4"/>
  <c r="S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S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S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S199" i="4" s="1"/>
  <c r="D199" i="4"/>
  <c r="C199" i="4"/>
  <c r="B199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S198" i="4" s="1"/>
  <c r="C198" i="4"/>
  <c r="B198" i="4"/>
  <c r="S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C197" i="4"/>
  <c r="B197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S196" i="4" s="1"/>
  <c r="D196" i="4"/>
  <c r="C196" i="4"/>
  <c r="B196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S195" i="4" s="1"/>
  <c r="D195" i="4"/>
  <c r="C195" i="4"/>
  <c r="B195" i="4"/>
  <c r="S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S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S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S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S190" i="4" s="1"/>
  <c r="D190" i="4"/>
  <c r="C190" i="4"/>
  <c r="B190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S189" i="4" s="1"/>
  <c r="D189" i="4"/>
  <c r="C189" i="4"/>
  <c r="B189" i="4"/>
  <c r="S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S187" i="4" s="1"/>
  <c r="D187" i="4"/>
  <c r="C187" i="4"/>
  <c r="B187" i="4"/>
  <c r="S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E299" i="1" s="1"/>
  <c r="B186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S185" i="4" s="1"/>
  <c r="D185" i="4"/>
  <c r="C185" i="4"/>
  <c r="B185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S184" i="4" s="1"/>
  <c r="D184" i="4"/>
  <c r="C184" i="4"/>
  <c r="B184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S183" i="4" s="1"/>
  <c r="D183" i="4"/>
  <c r="C183" i="4"/>
  <c r="B183" i="4"/>
  <c r="S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S181" i="4" s="1"/>
  <c r="E266" i="1" s="1"/>
  <c r="D181" i="4"/>
  <c r="C181" i="4"/>
  <c r="B181" i="4"/>
  <c r="S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S179" i="4" s="1"/>
  <c r="D179" i="4"/>
  <c r="C179" i="4"/>
  <c r="B179" i="4"/>
  <c r="S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C178" i="4"/>
  <c r="B178" i="4"/>
  <c r="S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C177" i="4"/>
  <c r="B177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S176" i="4" s="1"/>
  <c r="D176" i="4"/>
  <c r="C176" i="4"/>
  <c r="B176" i="4"/>
  <c r="S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S174" i="4" s="1"/>
  <c r="D174" i="4"/>
  <c r="C174" i="4"/>
  <c r="B174" i="4"/>
  <c r="S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S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S171" i="4" s="1"/>
  <c r="D171" i="4"/>
  <c r="C171" i="4"/>
  <c r="B171" i="4"/>
  <c r="S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S169" i="4" s="1"/>
  <c r="D169" i="4"/>
  <c r="C169" i="4"/>
  <c r="B169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S168" i="4" s="1"/>
  <c r="D168" i="4"/>
  <c r="C168" i="4"/>
  <c r="B168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S167" i="4" s="1"/>
  <c r="D167" i="4"/>
  <c r="C167" i="4"/>
  <c r="B167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S166" i="4" s="1"/>
  <c r="E214" i="1" s="1"/>
  <c r="D166" i="4"/>
  <c r="C166" i="4"/>
  <c r="B166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S165" i="4" s="1"/>
  <c r="D165" i="4"/>
  <c r="C165" i="4"/>
  <c r="B165" i="4"/>
  <c r="S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S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S162" i="4" s="1"/>
  <c r="D162" i="4"/>
  <c r="C162" i="4"/>
  <c r="B162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S161" i="4" s="1"/>
  <c r="D161" i="4"/>
  <c r="C161" i="4"/>
  <c r="B161" i="4"/>
  <c r="S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S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S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C158" i="4"/>
  <c r="B158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S157" i="4" s="1"/>
  <c r="C157" i="4"/>
  <c r="B157" i="4"/>
  <c r="S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E155" i="4"/>
  <c r="S155" i="4" s="1"/>
  <c r="D155" i="4"/>
  <c r="C155" i="4"/>
  <c r="B155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S154" i="4" s="1"/>
  <c r="D154" i="4"/>
  <c r="C154" i="4"/>
  <c r="B154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S153" i="4" s="1"/>
  <c r="D153" i="4"/>
  <c r="C153" i="4"/>
  <c r="B153" i="4"/>
  <c r="E152" i="4"/>
  <c r="S152" i="4" s="1"/>
  <c r="D152" i="4"/>
  <c r="C152" i="4"/>
  <c r="B152" i="4"/>
  <c r="S151" i="4"/>
  <c r="E509" i="1" s="1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S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S149" i="4" s="1"/>
  <c r="D149" i="4"/>
  <c r="C149" i="4"/>
  <c r="B149" i="4"/>
  <c r="S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S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S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S145" i="4" s="1"/>
  <c r="D145" i="4"/>
  <c r="C145" i="4"/>
  <c r="B145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S144" i="4" s="1"/>
  <c r="D144" i="4"/>
  <c r="C144" i="4"/>
  <c r="B144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S143" i="4" s="1"/>
  <c r="D143" i="4"/>
  <c r="C143" i="4"/>
  <c r="B143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S142" i="4" s="1"/>
  <c r="D142" i="4"/>
  <c r="C142" i="4"/>
  <c r="B142" i="4"/>
  <c r="S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S140" i="4" s="1"/>
  <c r="D140" i="4"/>
  <c r="C140" i="4"/>
  <c r="B140" i="4"/>
  <c r="S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S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C138" i="4"/>
  <c r="B138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S137" i="4" s="1"/>
  <c r="C137" i="4"/>
  <c r="B137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S136" i="4" s="1"/>
  <c r="D136" i="4"/>
  <c r="C136" i="4"/>
  <c r="B136" i="4"/>
  <c r="E135" i="4"/>
  <c r="S135" i="4" s="1"/>
  <c r="D135" i="4"/>
  <c r="C135" i="4"/>
  <c r="B135" i="4"/>
  <c r="E134" i="4"/>
  <c r="S134" i="4" s="1"/>
  <c r="D134" i="4"/>
  <c r="C134" i="4"/>
  <c r="B134" i="4"/>
  <c r="E133" i="4"/>
  <c r="S133" i="4" s="1"/>
  <c r="D133" i="4"/>
  <c r="C133" i="4"/>
  <c r="B133" i="4"/>
  <c r="E132" i="4"/>
  <c r="S132" i="4" s="1"/>
  <c r="E454" i="1" s="1"/>
  <c r="E453" i="1" s="1"/>
  <c r="D132" i="4"/>
  <c r="C132" i="4"/>
  <c r="B132" i="4"/>
  <c r="S131" i="4"/>
  <c r="E131" i="4"/>
  <c r="D131" i="4"/>
  <c r="C131" i="4"/>
  <c r="B131" i="4"/>
  <c r="E130" i="4"/>
  <c r="S130" i="4" s="1"/>
  <c r="D130" i="4"/>
  <c r="C130" i="4"/>
  <c r="B130" i="4"/>
  <c r="E129" i="4"/>
  <c r="S129" i="4" s="1"/>
  <c r="D129" i="4"/>
  <c r="C129" i="4"/>
  <c r="B129" i="4"/>
  <c r="S128" i="4"/>
  <c r="E128" i="4"/>
  <c r="D128" i="4"/>
  <c r="C128" i="4"/>
  <c r="B128" i="4"/>
  <c r="E127" i="4"/>
  <c r="S127" i="4" s="1"/>
  <c r="E444" i="1" s="1"/>
  <c r="E443" i="1" s="1"/>
  <c r="D127" i="4"/>
  <c r="C127" i="4"/>
  <c r="B127" i="4"/>
  <c r="S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S125" i="4" s="1"/>
  <c r="D125" i="4"/>
  <c r="C125" i="4"/>
  <c r="B125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S124" i="4" s="1"/>
  <c r="D124" i="4"/>
  <c r="C124" i="4"/>
  <c r="B124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S123" i="4" s="1"/>
  <c r="D123" i="4"/>
  <c r="C123" i="4"/>
  <c r="B123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S122" i="4" s="1"/>
  <c r="E438" i="1" s="1"/>
  <c r="D122" i="4"/>
  <c r="C122" i="4"/>
  <c r="B122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S121" i="4" s="1"/>
  <c r="D121" i="4"/>
  <c r="C121" i="4"/>
  <c r="B121" i="4"/>
  <c r="S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S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S118" i="4" s="1"/>
  <c r="C118" i="4"/>
  <c r="B118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S117" i="4" s="1"/>
  <c r="C117" i="4"/>
  <c r="B117" i="4"/>
  <c r="S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S115" i="4" s="1"/>
  <c r="D115" i="4"/>
  <c r="C115" i="4"/>
  <c r="B115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S114" i="4" s="1"/>
  <c r="D114" i="4"/>
  <c r="C114" i="4"/>
  <c r="B114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S113" i="4" s="1"/>
  <c r="D113" i="4"/>
  <c r="C113" i="4"/>
  <c r="B113" i="4"/>
  <c r="S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S111" i="4" s="1"/>
  <c r="D111" i="4"/>
  <c r="C111" i="4"/>
  <c r="B111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S110" i="4" s="1"/>
  <c r="D110" i="4"/>
  <c r="C110" i="4"/>
  <c r="B110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S109" i="4" s="1"/>
  <c r="D109" i="4"/>
  <c r="C109" i="4"/>
  <c r="B109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S108" i="4" s="1"/>
  <c r="D108" i="4"/>
  <c r="C108" i="4"/>
  <c r="B108" i="4"/>
  <c r="S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S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S105" i="4" s="1"/>
  <c r="D105" i="4"/>
  <c r="C105" i="4"/>
  <c r="B105" i="4"/>
  <c r="S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S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S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S101" i="4" s="1"/>
  <c r="D101" i="4"/>
  <c r="C101" i="4"/>
  <c r="B101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S100" i="4" s="1"/>
  <c r="D100" i="4"/>
  <c r="C100" i="4"/>
  <c r="B100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S99" i="4" s="1"/>
  <c r="E378" i="1" s="1"/>
  <c r="E377" i="1" s="1"/>
  <c r="D99" i="4"/>
  <c r="C99" i="4"/>
  <c r="B99" i="4"/>
  <c r="S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S97" i="4"/>
  <c r="E368" i="1" s="1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C97" i="4"/>
  <c r="B97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S96" i="4" s="1"/>
  <c r="C96" i="4"/>
  <c r="B96" i="4"/>
  <c r="S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S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S93" i="4"/>
  <c r="E93" i="4"/>
  <c r="D93" i="4"/>
  <c r="C93" i="4"/>
  <c r="B93" i="4"/>
  <c r="E92" i="4"/>
  <c r="S92" i="4" s="1"/>
  <c r="D92" i="4"/>
  <c r="C92" i="4"/>
  <c r="B92" i="4"/>
  <c r="Q91" i="4"/>
  <c r="P91" i="4"/>
  <c r="O91" i="4"/>
  <c r="N91" i="4"/>
  <c r="M91" i="4"/>
  <c r="L91" i="4"/>
  <c r="K91" i="4"/>
  <c r="J91" i="4"/>
  <c r="I91" i="4"/>
  <c r="H91" i="4"/>
  <c r="G91" i="4"/>
  <c r="E91" i="4"/>
  <c r="S91" i="4" s="1"/>
  <c r="D91" i="4"/>
  <c r="C91" i="4"/>
  <c r="E317" i="1" s="1"/>
  <c r="B91" i="4"/>
  <c r="F90" i="4"/>
  <c r="E90" i="4"/>
  <c r="S90" i="4" s="1"/>
  <c r="D90" i="4"/>
  <c r="C90" i="4"/>
  <c r="B90" i="4"/>
  <c r="M89" i="4"/>
  <c r="L89" i="4"/>
  <c r="K89" i="4"/>
  <c r="J89" i="4"/>
  <c r="I89" i="4"/>
  <c r="H89" i="4"/>
  <c r="G89" i="4"/>
  <c r="F89" i="4"/>
  <c r="E89" i="4"/>
  <c r="S89" i="4" s="1"/>
  <c r="D89" i="4"/>
  <c r="C89" i="4"/>
  <c r="B89" i="4"/>
  <c r="S88" i="4"/>
  <c r="M88" i="4"/>
  <c r="L88" i="4"/>
  <c r="K88" i="4"/>
  <c r="J88" i="4"/>
  <c r="I88" i="4"/>
  <c r="H88" i="4"/>
  <c r="G88" i="4"/>
  <c r="F88" i="4"/>
  <c r="E88" i="4"/>
  <c r="D88" i="4"/>
  <c r="C88" i="4"/>
  <c r="B88" i="4"/>
  <c r="M87" i="4"/>
  <c r="L87" i="4"/>
  <c r="K87" i="4"/>
  <c r="J87" i="4"/>
  <c r="I87" i="4"/>
  <c r="H87" i="4"/>
  <c r="G87" i="4"/>
  <c r="F87" i="4"/>
  <c r="E87" i="4"/>
  <c r="S87" i="4" s="1"/>
  <c r="D87" i="4"/>
  <c r="C87" i="4"/>
  <c r="B87" i="4"/>
  <c r="S86" i="4"/>
  <c r="M86" i="4"/>
  <c r="L86" i="4"/>
  <c r="K86" i="4"/>
  <c r="J86" i="4"/>
  <c r="I86" i="4"/>
  <c r="H86" i="4"/>
  <c r="G86" i="4"/>
  <c r="F86" i="4"/>
  <c r="E86" i="4"/>
  <c r="D86" i="4"/>
  <c r="C86" i="4"/>
  <c r="B86" i="4"/>
  <c r="S85" i="4"/>
  <c r="Q85" i="4"/>
  <c r="M85" i="4"/>
  <c r="L85" i="4"/>
  <c r="K85" i="4"/>
  <c r="J85" i="4"/>
  <c r="I85" i="4"/>
  <c r="H85" i="4"/>
  <c r="G85" i="4"/>
  <c r="F85" i="4"/>
  <c r="E85" i="4"/>
  <c r="D85" i="4"/>
  <c r="C85" i="4"/>
  <c r="B85" i="4"/>
  <c r="S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S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S82" i="4" s="1"/>
  <c r="D82" i="4"/>
  <c r="C82" i="4"/>
  <c r="B82" i="4"/>
  <c r="S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S80" i="4" s="1"/>
  <c r="D80" i="4"/>
  <c r="C80" i="4"/>
  <c r="B80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S79" i="4" s="1"/>
  <c r="D79" i="4"/>
  <c r="C79" i="4"/>
  <c r="B79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S78" i="4" s="1"/>
  <c r="D78" i="4"/>
  <c r="C78" i="4"/>
  <c r="B78" i="4"/>
  <c r="S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S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C76" i="4"/>
  <c r="B76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S75" i="4" s="1"/>
  <c r="C75" i="4"/>
  <c r="B75" i="4"/>
  <c r="S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S73" i="4"/>
  <c r="E73" i="4"/>
  <c r="D73" i="4"/>
  <c r="C73" i="4"/>
  <c r="B73" i="4"/>
  <c r="E72" i="4"/>
  <c r="S72" i="4" s="1"/>
  <c r="D72" i="4"/>
  <c r="C72" i="4"/>
  <c r="B72" i="4"/>
  <c r="E71" i="4"/>
  <c r="S71" i="4" s="1"/>
  <c r="D71" i="4"/>
  <c r="C71" i="4"/>
  <c r="B71" i="4"/>
  <c r="E70" i="4"/>
  <c r="S70" i="4" s="1"/>
  <c r="D70" i="4"/>
  <c r="C70" i="4"/>
  <c r="B70" i="4"/>
  <c r="S69" i="4"/>
  <c r="E69" i="4"/>
  <c r="D69" i="4"/>
  <c r="C69" i="4"/>
  <c r="B69" i="4"/>
  <c r="E68" i="4"/>
  <c r="S68" i="4" s="1"/>
  <c r="D68" i="4"/>
  <c r="C68" i="4"/>
  <c r="B68" i="4"/>
  <c r="E67" i="4"/>
  <c r="S67" i="4" s="1"/>
  <c r="D67" i="4"/>
  <c r="C67" i="4"/>
  <c r="B67" i="4"/>
  <c r="S66" i="4"/>
  <c r="E66" i="4"/>
  <c r="D66" i="4"/>
  <c r="C66" i="4"/>
  <c r="B66" i="4"/>
  <c r="E65" i="4"/>
  <c r="S65" i="4" s="1"/>
  <c r="D65" i="4"/>
  <c r="C65" i="4"/>
  <c r="B65" i="4"/>
  <c r="S64" i="4"/>
  <c r="E64" i="4"/>
  <c r="D64" i="4"/>
  <c r="C64" i="4"/>
  <c r="B64" i="4"/>
  <c r="S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S62" i="4" s="1"/>
  <c r="D62" i="4"/>
  <c r="C62" i="4"/>
  <c r="B62" i="4"/>
  <c r="S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S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S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S58" i="4" s="1"/>
  <c r="D58" i="4"/>
  <c r="C58" i="4"/>
  <c r="J43" i="4" s="1"/>
  <c r="B58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S57" i="4" s="1"/>
  <c r="D57" i="4"/>
  <c r="C57" i="4"/>
  <c r="B57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S56" i="4" s="1"/>
  <c r="D56" i="4"/>
  <c r="C56" i="4"/>
  <c r="B56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S55" i="4" s="1"/>
  <c r="C55" i="4"/>
  <c r="B55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S54" i="4" s="1"/>
  <c r="S323" i="4" s="1"/>
  <c r="C54" i="4"/>
  <c r="B54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J41" i="4"/>
  <c r="O37" i="4"/>
  <c r="F26" i="4"/>
  <c r="Q22" i="4"/>
  <c r="H21" i="4"/>
  <c r="I11" i="4"/>
  <c r="M8" i="4"/>
  <c r="J7" i="4"/>
  <c r="O20" i="3"/>
  <c r="M20" i="3"/>
  <c r="L20" i="3"/>
  <c r="K20" i="3"/>
  <c r="I20" i="3"/>
  <c r="I18" i="3" s="1"/>
  <c r="H20" i="3"/>
  <c r="G20" i="3"/>
  <c r="F20" i="3"/>
  <c r="E20" i="3"/>
  <c r="D20" i="3"/>
  <c r="C20" i="3" s="1"/>
  <c r="E704" i="1" s="1"/>
  <c r="O19" i="3"/>
  <c r="N19" i="3"/>
  <c r="M19" i="3"/>
  <c r="L19" i="3"/>
  <c r="L18" i="3" s="1"/>
  <c r="K19" i="3"/>
  <c r="J19" i="3"/>
  <c r="I19" i="3"/>
  <c r="H19" i="3"/>
  <c r="H18" i="3" s="1"/>
  <c r="G19" i="3"/>
  <c r="F19" i="3"/>
  <c r="D19" i="3"/>
  <c r="O18" i="3"/>
  <c r="M18" i="3"/>
  <c r="K18" i="3"/>
  <c r="J18" i="3"/>
  <c r="G18" i="3"/>
  <c r="F18" i="3"/>
  <c r="D18" i="3"/>
  <c r="O17" i="3"/>
  <c r="N17" i="3"/>
  <c r="N16" i="3" s="1"/>
  <c r="L17" i="3"/>
  <c r="K17" i="3"/>
  <c r="J17" i="3"/>
  <c r="J16" i="3" s="1"/>
  <c r="I17" i="3"/>
  <c r="H17" i="3"/>
  <c r="G17" i="3"/>
  <c r="G16" i="3" s="1"/>
  <c r="F17" i="3"/>
  <c r="F16" i="3" s="1"/>
  <c r="E17" i="3"/>
  <c r="D17" i="3"/>
  <c r="O16" i="3"/>
  <c r="L16" i="3"/>
  <c r="K16" i="3"/>
  <c r="I16" i="3"/>
  <c r="H16" i="3"/>
  <c r="E16" i="3"/>
  <c r="D16" i="3"/>
  <c r="O15" i="3"/>
  <c r="M15" i="3"/>
  <c r="L15" i="3"/>
  <c r="K15" i="3"/>
  <c r="J15" i="3"/>
  <c r="I15" i="3"/>
  <c r="H15" i="3"/>
  <c r="G15" i="3"/>
  <c r="F15" i="3"/>
  <c r="E15" i="3"/>
  <c r="D15" i="3"/>
  <c r="O14" i="3"/>
  <c r="N14" i="3"/>
  <c r="M14" i="3"/>
  <c r="M13" i="3" s="1"/>
  <c r="L14" i="3"/>
  <c r="K14" i="3"/>
  <c r="K13" i="3" s="1"/>
  <c r="J14" i="3"/>
  <c r="J13" i="3" s="1"/>
  <c r="I14" i="3"/>
  <c r="H14" i="3"/>
  <c r="G14" i="3"/>
  <c r="F14" i="3"/>
  <c r="F13" i="3" s="1"/>
  <c r="E14" i="3"/>
  <c r="E13" i="3" s="1"/>
  <c r="D14" i="3"/>
  <c r="O13" i="3"/>
  <c r="L13" i="3"/>
  <c r="I13" i="3"/>
  <c r="H13" i="3"/>
  <c r="G13" i="3"/>
  <c r="D13" i="3"/>
  <c r="O12" i="3"/>
  <c r="N12" i="3"/>
  <c r="M12" i="3"/>
  <c r="L12" i="3"/>
  <c r="K12" i="3"/>
  <c r="J12" i="3"/>
  <c r="I12" i="3"/>
  <c r="I10" i="3" s="1"/>
  <c r="H12" i="3"/>
  <c r="G12" i="3"/>
  <c r="F12" i="3"/>
  <c r="E12" i="3"/>
  <c r="O11" i="3"/>
  <c r="N11" i="3"/>
  <c r="M11" i="3"/>
  <c r="L11" i="3"/>
  <c r="L10" i="3" s="1"/>
  <c r="K11" i="3"/>
  <c r="J11" i="3"/>
  <c r="I11" i="3"/>
  <c r="H11" i="3"/>
  <c r="H10" i="3" s="1"/>
  <c r="G11" i="3"/>
  <c r="E11" i="3"/>
  <c r="D11" i="3"/>
  <c r="O10" i="3"/>
  <c r="N10" i="3"/>
  <c r="M10" i="3"/>
  <c r="K10" i="3"/>
  <c r="J10" i="3"/>
  <c r="G10" i="3"/>
  <c r="E10" i="3"/>
  <c r="O9" i="3"/>
  <c r="N9" i="3"/>
  <c r="M9" i="3"/>
  <c r="L9" i="3"/>
  <c r="L7" i="3" s="1"/>
  <c r="K9" i="3"/>
  <c r="J9" i="3"/>
  <c r="J7" i="3" s="1"/>
  <c r="I9" i="3"/>
  <c r="G9" i="3"/>
  <c r="G7" i="3" s="1"/>
  <c r="G21" i="3" s="1"/>
  <c r="F9" i="3"/>
  <c r="F7" i="3" s="1"/>
  <c r="F21" i="3" s="1"/>
  <c r="E9" i="3"/>
  <c r="E7" i="3" s="1"/>
  <c r="D9" i="3"/>
  <c r="O8" i="3"/>
  <c r="N8" i="3"/>
  <c r="M8" i="3"/>
  <c r="L8" i="3"/>
  <c r="J8" i="3"/>
  <c r="I8" i="3"/>
  <c r="H8" i="3"/>
  <c r="H7" i="3" s="1"/>
  <c r="G8" i="3"/>
  <c r="F8" i="3"/>
  <c r="E8" i="3"/>
  <c r="D8" i="3"/>
  <c r="O7" i="3"/>
  <c r="N7" i="3"/>
  <c r="M7" i="3"/>
  <c r="I7" i="3"/>
  <c r="D7" i="3"/>
  <c r="O6" i="3"/>
  <c r="N6" i="3"/>
  <c r="M6" i="3"/>
  <c r="L6" i="3"/>
  <c r="K6" i="3"/>
  <c r="J6" i="3"/>
  <c r="I6" i="3"/>
  <c r="H6" i="3"/>
  <c r="H3" i="3" s="1"/>
  <c r="G6" i="3"/>
  <c r="G3" i="3" s="1"/>
  <c r="F6" i="3"/>
  <c r="E6" i="3"/>
  <c r="D6" i="3"/>
  <c r="O5" i="3"/>
  <c r="N5" i="3"/>
  <c r="M5" i="3"/>
  <c r="L5" i="3"/>
  <c r="K5" i="3"/>
  <c r="I5" i="3"/>
  <c r="H5" i="3"/>
  <c r="G5" i="3"/>
  <c r="F5" i="3"/>
  <c r="E5" i="3"/>
  <c r="D5" i="3"/>
  <c r="O4" i="3"/>
  <c r="O3" i="3" s="1"/>
  <c r="O21" i="3" s="1"/>
  <c r="M4" i="3"/>
  <c r="K4" i="3"/>
  <c r="J4" i="3"/>
  <c r="I4" i="3"/>
  <c r="H4" i="3"/>
  <c r="G4" i="3"/>
  <c r="F4" i="3"/>
  <c r="E4" i="3"/>
  <c r="K3" i="3"/>
  <c r="F3" i="3"/>
  <c r="E3" i="3"/>
  <c r="G32" i="2"/>
  <c r="I32" i="2" s="1"/>
  <c r="I31" i="2"/>
  <c r="G31" i="2"/>
  <c r="F31" i="2"/>
  <c r="H31" i="2" s="1"/>
  <c r="C31" i="2"/>
  <c r="B31" i="2"/>
  <c r="I30" i="2"/>
  <c r="H30" i="2"/>
  <c r="G30" i="2"/>
  <c r="C30" i="2"/>
  <c r="B30" i="2"/>
  <c r="C29" i="2"/>
  <c r="B29" i="2"/>
  <c r="G28" i="2"/>
  <c r="I28" i="2" s="1"/>
  <c r="C28" i="2"/>
  <c r="C32" i="2" s="1"/>
  <c r="B28" i="2"/>
  <c r="B32" i="2" s="1"/>
  <c r="I27" i="2"/>
  <c r="G27" i="2"/>
  <c r="F27" i="2"/>
  <c r="H27" i="2" s="1"/>
  <c r="C27" i="2"/>
  <c r="B27" i="2"/>
  <c r="G22" i="2"/>
  <c r="C22" i="2"/>
  <c r="B22" i="2"/>
  <c r="G18" i="2"/>
  <c r="F18" i="2"/>
  <c r="F30" i="2" s="1"/>
  <c r="F13" i="2"/>
  <c r="F28" i="2" s="1"/>
  <c r="G12" i="2"/>
  <c r="F12" i="2"/>
  <c r="F10" i="2"/>
  <c r="F29" i="2" s="1"/>
  <c r="H29" i="2" s="1"/>
  <c r="G9" i="2"/>
  <c r="G29" i="2" s="1"/>
  <c r="I29" i="2" s="1"/>
  <c r="F9" i="2"/>
  <c r="B760" i="1"/>
  <c r="D759" i="1"/>
  <c r="D758" i="1"/>
  <c r="C758" i="1"/>
  <c r="B758" i="1"/>
  <c r="D757" i="1"/>
  <c r="D756" i="1"/>
  <c r="D755" i="1"/>
  <c r="D754" i="1" s="1"/>
  <c r="C754" i="1"/>
  <c r="B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C738" i="1"/>
  <c r="B738" i="1"/>
  <c r="D736" i="1"/>
  <c r="D734" i="1" s="1"/>
  <c r="C734" i="1"/>
  <c r="B734" i="1"/>
  <c r="D733" i="1"/>
  <c r="D732" i="1"/>
  <c r="D731" i="1"/>
  <c r="D730" i="1"/>
  <c r="D729" i="1"/>
  <c r="C728" i="1"/>
  <c r="C760" i="1" s="1"/>
  <c r="B728" i="1"/>
  <c r="E727" i="1"/>
  <c r="D727" i="1"/>
  <c r="D726" i="1"/>
  <c r="D725" i="1"/>
  <c r="D724" i="1"/>
  <c r="D723" i="1"/>
  <c r="D722" i="1"/>
  <c r="C721" i="1"/>
  <c r="B721" i="1"/>
  <c r="D720" i="1"/>
  <c r="D719" i="1" s="1"/>
  <c r="C719" i="1"/>
  <c r="B719" i="1"/>
  <c r="D718" i="1"/>
  <c r="D717" i="1"/>
  <c r="D716" i="1"/>
  <c r="D715" i="1"/>
  <c r="D714" i="1"/>
  <c r="D713" i="1"/>
  <c r="D712" i="1"/>
  <c r="D711" i="1"/>
  <c r="D710" i="1"/>
  <c r="E709" i="1"/>
  <c r="D709" i="1"/>
  <c r="C708" i="1"/>
  <c r="B708" i="1"/>
  <c r="E703" i="1"/>
  <c r="D702" i="1"/>
  <c r="D701" i="1" s="1"/>
  <c r="C702" i="1"/>
  <c r="C701" i="1" s="1"/>
  <c r="B701" i="1"/>
  <c r="D700" i="1"/>
  <c r="D699" i="1"/>
  <c r="C699" i="1"/>
  <c r="D698" i="1"/>
  <c r="C698" i="1"/>
  <c r="C697" i="1" s="1"/>
  <c r="B697" i="1"/>
  <c r="C696" i="1"/>
  <c r="D696" i="1" s="1"/>
  <c r="C695" i="1"/>
  <c r="D695" i="1" s="1"/>
  <c r="D694" i="1"/>
  <c r="C694" i="1"/>
  <c r="D693" i="1"/>
  <c r="C693" i="1"/>
  <c r="D692" i="1"/>
  <c r="C692" i="1"/>
  <c r="C691" i="1"/>
  <c r="D691" i="1" s="1"/>
  <c r="D690" i="1"/>
  <c r="C690" i="1"/>
  <c r="D689" i="1"/>
  <c r="C689" i="1"/>
  <c r="E688" i="1"/>
  <c r="D688" i="1"/>
  <c r="C688" i="1"/>
  <c r="E687" i="1"/>
  <c r="C687" i="1"/>
  <c r="D687" i="1" s="1"/>
  <c r="D686" i="1"/>
  <c r="C686" i="1"/>
  <c r="D685" i="1"/>
  <c r="C685" i="1"/>
  <c r="C684" i="1"/>
  <c r="D684" i="1" s="1"/>
  <c r="C683" i="1"/>
  <c r="D682" i="1"/>
  <c r="B681" i="1"/>
  <c r="C680" i="1"/>
  <c r="D679" i="1"/>
  <c r="D677" i="1" s="1"/>
  <c r="C679" i="1"/>
  <c r="C678" i="1"/>
  <c r="C677" i="1" s="1"/>
  <c r="B677" i="1"/>
  <c r="C676" i="1"/>
  <c r="D676" i="1" s="1"/>
  <c r="D675" i="1"/>
  <c r="C675" i="1"/>
  <c r="D674" i="1"/>
  <c r="C674" i="1"/>
  <c r="C673" i="1"/>
  <c r="D673" i="1" s="1"/>
  <c r="D672" i="1"/>
  <c r="C672" i="1"/>
  <c r="B671" i="1"/>
  <c r="E670" i="1"/>
  <c r="D670" i="1"/>
  <c r="C670" i="1"/>
  <c r="C669" i="1"/>
  <c r="D669" i="1" s="1"/>
  <c r="E668" i="1"/>
  <c r="C668" i="1"/>
  <c r="E667" i="1"/>
  <c r="D667" i="1"/>
  <c r="E666" i="1"/>
  <c r="D666" i="1"/>
  <c r="C666" i="1"/>
  <c r="C665" i="1"/>
  <c r="D665" i="1" s="1"/>
  <c r="B664" i="1"/>
  <c r="E663" i="1"/>
  <c r="D663" i="1"/>
  <c r="E662" i="1"/>
  <c r="D662" i="1"/>
  <c r="C662" i="1"/>
  <c r="B662" i="1"/>
  <c r="C661" i="1"/>
  <c r="D661" i="1" s="1"/>
  <c r="E660" i="1"/>
  <c r="D660" i="1"/>
  <c r="C660" i="1"/>
  <c r="C659" i="1"/>
  <c r="D659" i="1" s="1"/>
  <c r="D658" i="1"/>
  <c r="C658" i="1"/>
  <c r="C657" i="1"/>
  <c r="D657" i="1" s="1"/>
  <c r="E656" i="1"/>
  <c r="D656" i="1"/>
  <c r="C656" i="1"/>
  <c r="C655" i="1"/>
  <c r="D655" i="1" s="1"/>
  <c r="D654" i="1"/>
  <c r="C654" i="1"/>
  <c r="C653" i="1"/>
  <c r="D653" i="1" s="1"/>
  <c r="E652" i="1"/>
  <c r="C652" i="1"/>
  <c r="E651" i="1"/>
  <c r="B651" i="1"/>
  <c r="B646" i="1"/>
  <c r="C645" i="1"/>
  <c r="D645" i="1" s="1"/>
  <c r="D644" i="1" s="1"/>
  <c r="C644" i="1"/>
  <c r="B644" i="1"/>
  <c r="C643" i="1"/>
  <c r="D643" i="1" s="1"/>
  <c r="D642" i="1"/>
  <c r="C642" i="1"/>
  <c r="C640" i="1" s="1"/>
  <c r="D641" i="1"/>
  <c r="C641" i="1"/>
  <c r="B640" i="1"/>
  <c r="C639" i="1"/>
  <c r="D639" i="1" s="1"/>
  <c r="C638" i="1"/>
  <c r="D638" i="1" s="1"/>
  <c r="E637" i="1"/>
  <c r="C637" i="1"/>
  <c r="D637" i="1" s="1"/>
  <c r="D636" i="1"/>
  <c r="C636" i="1"/>
  <c r="C635" i="1"/>
  <c r="D635" i="1" s="1"/>
  <c r="C634" i="1"/>
  <c r="D634" i="1" s="1"/>
  <c r="C633" i="1"/>
  <c r="D633" i="1" s="1"/>
  <c r="D632" i="1"/>
  <c r="C632" i="1"/>
  <c r="C631" i="1"/>
  <c r="D631" i="1" s="1"/>
  <c r="D630" i="1"/>
  <c r="C630" i="1"/>
  <c r="C629" i="1"/>
  <c r="D629" i="1" s="1"/>
  <c r="E628" i="1"/>
  <c r="D628" i="1"/>
  <c r="C628" i="1"/>
  <c r="C627" i="1"/>
  <c r="D627" i="1" s="1"/>
  <c r="D626" i="1"/>
  <c r="C626" i="1"/>
  <c r="E625" i="1"/>
  <c r="C625" i="1"/>
  <c r="E624" i="1"/>
  <c r="B624" i="1"/>
  <c r="C623" i="1"/>
  <c r="E622" i="1"/>
  <c r="D622" i="1"/>
  <c r="C622" i="1"/>
  <c r="C620" i="1" s="1"/>
  <c r="E621" i="1"/>
  <c r="E620" i="1" s="1"/>
  <c r="C621" i="1"/>
  <c r="D620" i="1"/>
  <c r="B620" i="1"/>
  <c r="C619" i="1"/>
  <c r="D619" i="1" s="1"/>
  <c r="D618" i="1"/>
  <c r="C618" i="1"/>
  <c r="C617" i="1"/>
  <c r="D617" i="1" s="1"/>
  <c r="D616" i="1"/>
  <c r="C616" i="1"/>
  <c r="E615" i="1"/>
  <c r="C615" i="1"/>
  <c r="D615" i="1" s="1"/>
  <c r="E614" i="1"/>
  <c r="D614" i="1"/>
  <c r="C614" i="1"/>
  <c r="B614" i="1"/>
  <c r="E613" i="1"/>
  <c r="C613" i="1"/>
  <c r="D613" i="1" s="1"/>
  <c r="C612" i="1"/>
  <c r="D612" i="1" s="1"/>
  <c r="E611" i="1"/>
  <c r="C611" i="1"/>
  <c r="E610" i="1"/>
  <c r="D610" i="1"/>
  <c r="C610" i="1"/>
  <c r="E609" i="1"/>
  <c r="D609" i="1"/>
  <c r="C609" i="1"/>
  <c r="E608" i="1"/>
  <c r="E607" i="1" s="1"/>
  <c r="C608" i="1"/>
  <c r="D608" i="1" s="1"/>
  <c r="B607" i="1"/>
  <c r="E606" i="1"/>
  <c r="E605" i="1" s="1"/>
  <c r="D606" i="1"/>
  <c r="D605" i="1" s="1"/>
  <c r="C606" i="1"/>
  <c r="C605" i="1"/>
  <c r="B605" i="1"/>
  <c r="C604" i="1"/>
  <c r="D604" i="1" s="1"/>
  <c r="C603" i="1"/>
  <c r="D603" i="1" s="1"/>
  <c r="C602" i="1"/>
  <c r="C594" i="1" s="1"/>
  <c r="D601" i="1"/>
  <c r="C601" i="1"/>
  <c r="C600" i="1"/>
  <c r="D600" i="1" s="1"/>
  <c r="E599" i="1"/>
  <c r="C599" i="1"/>
  <c r="D599" i="1" s="1"/>
  <c r="D598" i="1"/>
  <c r="C598" i="1"/>
  <c r="D597" i="1"/>
  <c r="C597" i="1"/>
  <c r="E596" i="1"/>
  <c r="C596" i="1"/>
  <c r="D596" i="1" s="1"/>
  <c r="E595" i="1"/>
  <c r="D595" i="1"/>
  <c r="C595" i="1"/>
  <c r="B594" i="1"/>
  <c r="B589" i="1"/>
  <c r="E588" i="1"/>
  <c r="E587" i="1" s="1"/>
  <c r="D588" i="1"/>
  <c r="C588" i="1"/>
  <c r="C587" i="1" s="1"/>
  <c r="D587" i="1"/>
  <c r="B587" i="1"/>
  <c r="D586" i="1"/>
  <c r="C586" i="1"/>
  <c r="C585" i="1"/>
  <c r="E584" i="1"/>
  <c r="D584" i="1"/>
  <c r="C584" i="1"/>
  <c r="B583" i="1"/>
  <c r="C582" i="1"/>
  <c r="D582" i="1" s="1"/>
  <c r="D581" i="1"/>
  <c r="C581" i="1"/>
  <c r="C580" i="1"/>
  <c r="D580" i="1" s="1"/>
  <c r="D579" i="1"/>
  <c r="C579" i="1"/>
  <c r="C578" i="1"/>
  <c r="D578" i="1" s="1"/>
  <c r="C577" i="1"/>
  <c r="D577" i="1" s="1"/>
  <c r="C576" i="1"/>
  <c r="D576" i="1" s="1"/>
  <c r="D575" i="1"/>
  <c r="C575" i="1"/>
  <c r="C574" i="1"/>
  <c r="D574" i="1" s="1"/>
  <c r="D573" i="1"/>
  <c r="C573" i="1"/>
  <c r="C572" i="1"/>
  <c r="D572" i="1" s="1"/>
  <c r="D571" i="1"/>
  <c r="C571" i="1"/>
  <c r="C570" i="1"/>
  <c r="D570" i="1" s="1"/>
  <c r="C569" i="1"/>
  <c r="D569" i="1" s="1"/>
  <c r="C568" i="1"/>
  <c r="B567" i="1"/>
  <c r="C566" i="1"/>
  <c r="E565" i="1"/>
  <c r="D565" i="1"/>
  <c r="D563" i="1" s="1"/>
  <c r="C565" i="1"/>
  <c r="C564" i="1"/>
  <c r="C563" i="1" s="1"/>
  <c r="B563" i="1"/>
  <c r="E562" i="1"/>
  <c r="C562" i="1"/>
  <c r="D562" i="1" s="1"/>
  <c r="D561" i="1"/>
  <c r="D557" i="1" s="1"/>
  <c r="C561" i="1"/>
  <c r="C560" i="1"/>
  <c r="D560" i="1" s="1"/>
  <c r="D559" i="1"/>
  <c r="C559" i="1"/>
  <c r="E558" i="1"/>
  <c r="C558" i="1"/>
  <c r="D558" i="1" s="1"/>
  <c r="E557" i="1"/>
  <c r="C557" i="1"/>
  <c r="B557" i="1"/>
  <c r="E556" i="1"/>
  <c r="C556" i="1"/>
  <c r="D556" i="1" s="1"/>
  <c r="E555" i="1"/>
  <c r="C555" i="1"/>
  <c r="D555" i="1" s="1"/>
  <c r="E554" i="1"/>
  <c r="C554" i="1"/>
  <c r="D554" i="1" s="1"/>
  <c r="E553" i="1"/>
  <c r="C553" i="1"/>
  <c r="D553" i="1" s="1"/>
  <c r="E552" i="1"/>
  <c r="D552" i="1"/>
  <c r="C552" i="1"/>
  <c r="C551" i="1"/>
  <c r="B550" i="1"/>
  <c r="E549" i="1"/>
  <c r="C549" i="1"/>
  <c r="D549" i="1" s="1"/>
  <c r="D548" i="1" s="1"/>
  <c r="E548" i="1"/>
  <c r="C548" i="1"/>
  <c r="B548" i="1"/>
  <c r="C547" i="1"/>
  <c r="D547" i="1" s="1"/>
  <c r="D546" i="1"/>
  <c r="C546" i="1"/>
  <c r="C545" i="1"/>
  <c r="D545" i="1" s="1"/>
  <c r="D544" i="1"/>
  <c r="C544" i="1"/>
  <c r="C543" i="1"/>
  <c r="D543" i="1" s="1"/>
  <c r="E542" i="1"/>
  <c r="D542" i="1"/>
  <c r="C542" i="1"/>
  <c r="C541" i="1"/>
  <c r="D541" i="1" s="1"/>
  <c r="D540" i="1"/>
  <c r="C540" i="1"/>
  <c r="E539" i="1"/>
  <c r="C539" i="1"/>
  <c r="D539" i="1" s="1"/>
  <c r="E538" i="1"/>
  <c r="E589" i="1" s="1"/>
  <c r="C538" i="1"/>
  <c r="B537" i="1"/>
  <c r="E531" i="1"/>
  <c r="E530" i="1" s="1"/>
  <c r="D531" i="1"/>
  <c r="D530" i="1" s="1"/>
  <c r="C531" i="1"/>
  <c r="C530" i="1" s="1"/>
  <c r="B530" i="1"/>
  <c r="E529" i="1"/>
  <c r="D529" i="1"/>
  <c r="C529" i="1"/>
  <c r="E528" i="1"/>
  <c r="D528" i="1"/>
  <c r="C528" i="1"/>
  <c r="E527" i="1"/>
  <c r="D527" i="1"/>
  <c r="C527" i="1"/>
  <c r="E526" i="1"/>
  <c r="B526" i="1"/>
  <c r="E525" i="1"/>
  <c r="C525" i="1"/>
  <c r="D525" i="1" s="1"/>
  <c r="E524" i="1"/>
  <c r="C524" i="1"/>
  <c r="D524" i="1" s="1"/>
  <c r="E523" i="1"/>
  <c r="D523" i="1"/>
  <c r="C523" i="1"/>
  <c r="E522" i="1"/>
  <c r="D522" i="1"/>
  <c r="C522" i="1"/>
  <c r="E521" i="1"/>
  <c r="C521" i="1"/>
  <c r="D521" i="1" s="1"/>
  <c r="E520" i="1"/>
  <c r="C520" i="1"/>
  <c r="D520" i="1" s="1"/>
  <c r="E519" i="1"/>
  <c r="D519" i="1"/>
  <c r="C519" i="1"/>
  <c r="E518" i="1"/>
  <c r="D518" i="1"/>
  <c r="C518" i="1"/>
  <c r="E517" i="1"/>
  <c r="C517" i="1"/>
  <c r="D517" i="1" s="1"/>
  <c r="E516" i="1"/>
  <c r="D516" i="1"/>
  <c r="C516" i="1"/>
  <c r="E515" i="1"/>
  <c r="C515" i="1"/>
  <c r="D515" i="1" s="1"/>
  <c r="E514" i="1"/>
  <c r="D514" i="1"/>
  <c r="C514" i="1"/>
  <c r="E513" i="1"/>
  <c r="C513" i="1"/>
  <c r="D513" i="1" s="1"/>
  <c r="E512" i="1"/>
  <c r="C512" i="1"/>
  <c r="D512" i="1" s="1"/>
  <c r="E511" i="1"/>
  <c r="C511" i="1"/>
  <c r="C510" i="1" s="1"/>
  <c r="E510" i="1"/>
  <c r="B510" i="1"/>
  <c r="C509" i="1"/>
  <c r="C506" i="1" s="1"/>
  <c r="E508" i="1"/>
  <c r="C508" i="1"/>
  <c r="D508" i="1" s="1"/>
  <c r="D506" i="1" s="1"/>
  <c r="E507" i="1"/>
  <c r="C507" i="1"/>
  <c r="E506" i="1"/>
  <c r="B506" i="1"/>
  <c r="E505" i="1"/>
  <c r="C505" i="1"/>
  <c r="D505" i="1" s="1"/>
  <c r="E504" i="1"/>
  <c r="D504" i="1"/>
  <c r="C504" i="1"/>
  <c r="E503" i="1"/>
  <c r="C503" i="1"/>
  <c r="D503" i="1" s="1"/>
  <c r="E502" i="1"/>
  <c r="D502" i="1"/>
  <c r="C502" i="1"/>
  <c r="E501" i="1"/>
  <c r="E500" i="1" s="1"/>
  <c r="C501" i="1"/>
  <c r="D501" i="1" s="1"/>
  <c r="D500" i="1"/>
  <c r="C500" i="1"/>
  <c r="B500" i="1"/>
  <c r="E499" i="1"/>
  <c r="C499" i="1"/>
  <c r="D499" i="1" s="1"/>
  <c r="E498" i="1"/>
  <c r="C498" i="1"/>
  <c r="D498" i="1" s="1"/>
  <c r="E497" i="1"/>
  <c r="D497" i="1"/>
  <c r="C497" i="1"/>
  <c r="E496" i="1"/>
  <c r="D496" i="1"/>
  <c r="C496" i="1"/>
  <c r="E495" i="1"/>
  <c r="C495" i="1"/>
  <c r="D495" i="1" s="1"/>
  <c r="D493" i="1" s="1"/>
  <c r="E494" i="1"/>
  <c r="E493" i="1" s="1"/>
  <c r="C494" i="1"/>
  <c r="D494" i="1" s="1"/>
  <c r="C493" i="1"/>
  <c r="B493" i="1"/>
  <c r="B532" i="1" s="1"/>
  <c r="B6" i="1" s="1"/>
  <c r="E492" i="1"/>
  <c r="E491" i="1" s="1"/>
  <c r="C492" i="1"/>
  <c r="B491" i="1"/>
  <c r="E490" i="1"/>
  <c r="C490" i="1"/>
  <c r="D490" i="1" s="1"/>
  <c r="E489" i="1"/>
  <c r="C489" i="1"/>
  <c r="D489" i="1" s="1"/>
  <c r="E488" i="1"/>
  <c r="C488" i="1"/>
  <c r="D488" i="1" s="1"/>
  <c r="E487" i="1"/>
  <c r="D487" i="1"/>
  <c r="C487" i="1"/>
  <c r="E486" i="1"/>
  <c r="C486" i="1"/>
  <c r="D486" i="1" s="1"/>
  <c r="E485" i="1"/>
  <c r="D485" i="1"/>
  <c r="C485" i="1"/>
  <c r="E484" i="1"/>
  <c r="D484" i="1"/>
  <c r="C484" i="1"/>
  <c r="E483" i="1"/>
  <c r="D483" i="1"/>
  <c r="C483" i="1"/>
  <c r="E482" i="1"/>
  <c r="C482" i="1"/>
  <c r="D482" i="1" s="1"/>
  <c r="E481" i="1"/>
  <c r="E532" i="1" s="1"/>
  <c r="C481" i="1"/>
  <c r="D481" i="1" s="1"/>
  <c r="E480" i="1"/>
  <c r="B480" i="1"/>
  <c r="E474" i="1"/>
  <c r="E473" i="1" s="1"/>
  <c r="D474" i="1"/>
  <c r="D473" i="1" s="1"/>
  <c r="C474" i="1"/>
  <c r="C473" i="1" s="1"/>
  <c r="K473" i="1"/>
  <c r="J473" i="1"/>
  <c r="B473" i="1"/>
  <c r="D472" i="1"/>
  <c r="C472" i="1"/>
  <c r="E471" i="1"/>
  <c r="C471" i="1"/>
  <c r="C469" i="1" s="1"/>
  <c r="D470" i="1"/>
  <c r="C470" i="1"/>
  <c r="K469" i="1"/>
  <c r="J469" i="1"/>
  <c r="B469" i="1"/>
  <c r="E468" i="1"/>
  <c r="C468" i="1"/>
  <c r="C68" i="1" s="1"/>
  <c r="D68" i="1" s="1"/>
  <c r="E467" i="1"/>
  <c r="D467" i="1"/>
  <c r="C467" i="1"/>
  <c r="C466" i="1"/>
  <c r="D466" i="1" s="1"/>
  <c r="D465" i="1"/>
  <c r="C465" i="1"/>
  <c r="E464" i="1"/>
  <c r="C464" i="1"/>
  <c r="D464" i="1" s="1"/>
  <c r="E463" i="1"/>
  <c r="D463" i="1"/>
  <c r="C463" i="1"/>
  <c r="E462" i="1"/>
  <c r="C462" i="1"/>
  <c r="D462" i="1" s="1"/>
  <c r="D461" i="1"/>
  <c r="C461" i="1"/>
  <c r="E460" i="1"/>
  <c r="D460" i="1"/>
  <c r="C460" i="1"/>
  <c r="E459" i="1"/>
  <c r="D459" i="1"/>
  <c r="C459" i="1"/>
  <c r="E458" i="1"/>
  <c r="C458" i="1"/>
  <c r="D458" i="1" s="1"/>
  <c r="D457" i="1"/>
  <c r="C457" i="1"/>
  <c r="E456" i="1"/>
  <c r="C456" i="1"/>
  <c r="D456" i="1" s="1"/>
  <c r="E455" i="1"/>
  <c r="D455" i="1"/>
  <c r="C455" i="1"/>
  <c r="C454" i="1"/>
  <c r="D454" i="1" s="1"/>
  <c r="K453" i="1"/>
  <c r="J453" i="1"/>
  <c r="C453" i="1"/>
  <c r="B453" i="1"/>
  <c r="E452" i="1"/>
  <c r="D452" i="1"/>
  <c r="C452" i="1"/>
  <c r="E451" i="1"/>
  <c r="C451" i="1"/>
  <c r="D451" i="1" s="1"/>
  <c r="D450" i="1"/>
  <c r="C450" i="1"/>
  <c r="K449" i="1"/>
  <c r="J449" i="1"/>
  <c r="D449" i="1"/>
  <c r="C449" i="1"/>
  <c r="B449" i="1"/>
  <c r="E448" i="1"/>
  <c r="C448" i="1"/>
  <c r="D448" i="1" s="1"/>
  <c r="D447" i="1"/>
  <c r="C447" i="1"/>
  <c r="E446" i="1"/>
  <c r="D446" i="1"/>
  <c r="C446" i="1"/>
  <c r="E445" i="1"/>
  <c r="D445" i="1"/>
  <c r="C445" i="1"/>
  <c r="C444" i="1"/>
  <c r="D444" i="1" s="1"/>
  <c r="D443" i="1" s="1"/>
  <c r="K443" i="1"/>
  <c r="J443" i="1"/>
  <c r="C443" i="1"/>
  <c r="B443" i="1"/>
  <c r="E442" i="1"/>
  <c r="D442" i="1"/>
  <c r="C442" i="1"/>
  <c r="E441" i="1"/>
  <c r="C441" i="1"/>
  <c r="D441" i="1" s="1"/>
  <c r="D440" i="1"/>
  <c r="C440" i="1"/>
  <c r="E439" i="1"/>
  <c r="D439" i="1"/>
  <c r="C439" i="1"/>
  <c r="D438" i="1"/>
  <c r="C438" i="1"/>
  <c r="E437" i="1"/>
  <c r="E436" i="1" s="1"/>
  <c r="C437" i="1"/>
  <c r="D437" i="1" s="1"/>
  <c r="D436" i="1" s="1"/>
  <c r="K436" i="1"/>
  <c r="J436" i="1"/>
  <c r="J475" i="1" s="1"/>
  <c r="C436" i="1"/>
  <c r="B436" i="1"/>
  <c r="B475" i="1" s="1"/>
  <c r="E435" i="1"/>
  <c r="E434" i="1" s="1"/>
  <c r="D435" i="1"/>
  <c r="D434" i="1" s="1"/>
  <c r="C435" i="1"/>
  <c r="K434" i="1"/>
  <c r="K475" i="1" s="1"/>
  <c r="J434" i="1"/>
  <c r="C434" i="1"/>
  <c r="B434" i="1"/>
  <c r="E433" i="1"/>
  <c r="D433" i="1"/>
  <c r="C433" i="1"/>
  <c r="E432" i="1"/>
  <c r="D432" i="1"/>
  <c r="C432" i="1"/>
  <c r="E431" i="1"/>
  <c r="C431" i="1"/>
  <c r="D431" i="1" s="1"/>
  <c r="D430" i="1"/>
  <c r="C430" i="1"/>
  <c r="E429" i="1"/>
  <c r="C429" i="1"/>
  <c r="D429" i="1" s="1"/>
  <c r="E428" i="1"/>
  <c r="D428" i="1"/>
  <c r="C428" i="1"/>
  <c r="E427" i="1"/>
  <c r="C427" i="1"/>
  <c r="D427" i="1" s="1"/>
  <c r="D426" i="1"/>
  <c r="C426" i="1"/>
  <c r="E425" i="1"/>
  <c r="D425" i="1"/>
  <c r="C425" i="1"/>
  <c r="E424" i="1"/>
  <c r="D424" i="1"/>
  <c r="C424" i="1"/>
  <c r="K423" i="1"/>
  <c r="J423" i="1"/>
  <c r="B423" i="1"/>
  <c r="C417" i="1"/>
  <c r="D417" i="1" s="1"/>
  <c r="D416" i="1" s="1"/>
  <c r="K416" i="1"/>
  <c r="J416" i="1"/>
  <c r="C416" i="1"/>
  <c r="B416" i="1"/>
  <c r="C415" i="1"/>
  <c r="D415" i="1" s="1"/>
  <c r="E414" i="1"/>
  <c r="C414" i="1"/>
  <c r="D414" i="1" s="1"/>
  <c r="D413" i="1"/>
  <c r="C413" i="1"/>
  <c r="K412" i="1"/>
  <c r="J412" i="1"/>
  <c r="C412" i="1"/>
  <c r="B412" i="1"/>
  <c r="E411" i="1"/>
  <c r="D411" i="1"/>
  <c r="C411" i="1"/>
  <c r="C410" i="1"/>
  <c r="D410" i="1" s="1"/>
  <c r="C409" i="1"/>
  <c r="D409" i="1" s="1"/>
  <c r="C408" i="1"/>
  <c r="D408" i="1" s="1"/>
  <c r="C407" i="1"/>
  <c r="D407" i="1" s="1"/>
  <c r="C406" i="1"/>
  <c r="D406" i="1" s="1"/>
  <c r="C405" i="1"/>
  <c r="D405" i="1" s="1"/>
  <c r="D404" i="1"/>
  <c r="C404" i="1"/>
  <c r="E403" i="1"/>
  <c r="C403" i="1"/>
  <c r="D403" i="1" s="1"/>
  <c r="E402" i="1"/>
  <c r="C402" i="1"/>
  <c r="D402" i="1" s="1"/>
  <c r="D401" i="1"/>
  <c r="C401" i="1"/>
  <c r="C400" i="1"/>
  <c r="D400" i="1" s="1"/>
  <c r="E399" i="1"/>
  <c r="D399" i="1"/>
  <c r="C399" i="1"/>
  <c r="E398" i="1"/>
  <c r="D398" i="1"/>
  <c r="C398" i="1"/>
  <c r="C397" i="1"/>
  <c r="D397" i="1" s="1"/>
  <c r="K396" i="1"/>
  <c r="J396" i="1"/>
  <c r="C396" i="1"/>
  <c r="B396" i="1"/>
  <c r="E395" i="1"/>
  <c r="D395" i="1"/>
  <c r="C395" i="1"/>
  <c r="C394" i="1"/>
  <c r="D394" i="1" s="1"/>
  <c r="C393" i="1"/>
  <c r="D393" i="1" s="1"/>
  <c r="K392" i="1"/>
  <c r="J392" i="1"/>
  <c r="J418" i="1" s="1"/>
  <c r="C392" i="1"/>
  <c r="B392" i="1"/>
  <c r="C391" i="1"/>
  <c r="D391" i="1" s="1"/>
  <c r="D390" i="1"/>
  <c r="C390" i="1"/>
  <c r="E389" i="1"/>
  <c r="D389" i="1"/>
  <c r="C389" i="1"/>
  <c r="E388" i="1"/>
  <c r="C388" i="1"/>
  <c r="D388" i="1" s="1"/>
  <c r="E387" i="1"/>
  <c r="E386" i="1" s="1"/>
  <c r="C387" i="1"/>
  <c r="D387" i="1" s="1"/>
  <c r="K386" i="1"/>
  <c r="J386" i="1"/>
  <c r="D386" i="1"/>
  <c r="C386" i="1"/>
  <c r="B386" i="1"/>
  <c r="E385" i="1"/>
  <c r="C385" i="1"/>
  <c r="D385" i="1" s="1"/>
  <c r="E384" i="1"/>
  <c r="C384" i="1"/>
  <c r="D384" i="1" s="1"/>
  <c r="E383" i="1"/>
  <c r="D383" i="1"/>
  <c r="C383" i="1"/>
  <c r="E382" i="1"/>
  <c r="C382" i="1"/>
  <c r="D382" i="1" s="1"/>
  <c r="E381" i="1"/>
  <c r="C381" i="1"/>
  <c r="D381" i="1" s="1"/>
  <c r="E380" i="1"/>
  <c r="E379" i="1" s="1"/>
  <c r="C380" i="1"/>
  <c r="D380" i="1" s="1"/>
  <c r="K379" i="1"/>
  <c r="J379" i="1"/>
  <c r="B379" i="1"/>
  <c r="B418" i="1" s="1"/>
  <c r="C378" i="1"/>
  <c r="K377" i="1"/>
  <c r="K418" i="1" s="1"/>
  <c r="J377" i="1"/>
  <c r="B377" i="1"/>
  <c r="D376" i="1"/>
  <c r="C376" i="1"/>
  <c r="E375" i="1"/>
  <c r="D375" i="1"/>
  <c r="C375" i="1"/>
  <c r="E374" i="1"/>
  <c r="D374" i="1"/>
  <c r="C374" i="1"/>
  <c r="C373" i="1"/>
  <c r="D373" i="1" s="1"/>
  <c r="C372" i="1"/>
  <c r="D372" i="1" s="1"/>
  <c r="E371" i="1"/>
  <c r="C371" i="1"/>
  <c r="C28" i="1" s="1"/>
  <c r="D28" i="1" s="1"/>
  <c r="D370" i="1"/>
  <c r="C370" i="1"/>
  <c r="C369" i="1"/>
  <c r="D369" i="1" s="1"/>
  <c r="C368" i="1"/>
  <c r="D368" i="1" s="1"/>
  <c r="E367" i="1"/>
  <c r="E418" i="1" s="1"/>
  <c r="C367" i="1"/>
  <c r="K366" i="1"/>
  <c r="J366" i="1"/>
  <c r="B366" i="1"/>
  <c r="E361" i="1"/>
  <c r="E360" i="1"/>
  <c r="E359" i="1" s="1"/>
  <c r="C360" i="1"/>
  <c r="D360" i="1" s="1"/>
  <c r="K359" i="1"/>
  <c r="J359" i="1"/>
  <c r="D359" i="1"/>
  <c r="C359" i="1"/>
  <c r="B359" i="1"/>
  <c r="E358" i="1"/>
  <c r="C358" i="1"/>
  <c r="C357" i="1"/>
  <c r="D357" i="1" s="1"/>
  <c r="D356" i="1"/>
  <c r="C356" i="1"/>
  <c r="K355" i="1"/>
  <c r="J355" i="1"/>
  <c r="J361" i="1" s="1"/>
  <c r="B355" i="1"/>
  <c r="C354" i="1"/>
  <c r="D354" i="1" s="1"/>
  <c r="D353" i="1"/>
  <c r="C353" i="1"/>
  <c r="C352" i="1"/>
  <c r="D352" i="1" s="1"/>
  <c r="C351" i="1"/>
  <c r="D351" i="1" s="1"/>
  <c r="E350" i="1"/>
  <c r="C350" i="1"/>
  <c r="D350" i="1" s="1"/>
  <c r="D349" i="1"/>
  <c r="C349" i="1"/>
  <c r="E348" i="1"/>
  <c r="D348" i="1"/>
  <c r="C348" i="1"/>
  <c r="C347" i="1"/>
  <c r="D347" i="1" s="1"/>
  <c r="C346" i="1"/>
  <c r="D346" i="1" s="1"/>
  <c r="D345" i="1"/>
  <c r="C345" i="1"/>
  <c r="E344" i="1"/>
  <c r="C344" i="1"/>
  <c r="D344" i="1" s="1"/>
  <c r="E343" i="1"/>
  <c r="C343" i="1"/>
  <c r="D343" i="1" s="1"/>
  <c r="C342" i="1"/>
  <c r="D342" i="1" s="1"/>
  <c r="D341" i="1"/>
  <c r="C341" i="1"/>
  <c r="E340" i="1"/>
  <c r="C340" i="1"/>
  <c r="C339" i="1" s="1"/>
  <c r="K339" i="1"/>
  <c r="J339" i="1"/>
  <c r="E339" i="1"/>
  <c r="B339" i="1"/>
  <c r="D338" i="1"/>
  <c r="C338" i="1"/>
  <c r="E337" i="1"/>
  <c r="D337" i="1"/>
  <c r="C337" i="1"/>
  <c r="E336" i="1"/>
  <c r="E335" i="1" s="1"/>
  <c r="C336" i="1"/>
  <c r="K335" i="1"/>
  <c r="J335" i="1"/>
  <c r="B335" i="1"/>
  <c r="E334" i="1"/>
  <c r="D334" i="1"/>
  <c r="C334" i="1"/>
  <c r="E333" i="1"/>
  <c r="C333" i="1"/>
  <c r="D333" i="1" s="1"/>
  <c r="C332" i="1"/>
  <c r="D332" i="1" s="1"/>
  <c r="D331" i="1"/>
  <c r="C331" i="1"/>
  <c r="E330" i="1"/>
  <c r="E329" i="1" s="1"/>
  <c r="C330" i="1"/>
  <c r="C329" i="1" s="1"/>
  <c r="K329" i="1"/>
  <c r="K361" i="1" s="1"/>
  <c r="J329" i="1"/>
  <c r="B329" i="1"/>
  <c r="D328" i="1"/>
  <c r="C328" i="1"/>
  <c r="E327" i="1"/>
  <c r="C327" i="1"/>
  <c r="D327" i="1" s="1"/>
  <c r="E326" i="1"/>
  <c r="C326" i="1"/>
  <c r="D326" i="1" s="1"/>
  <c r="E325" i="1"/>
  <c r="C325" i="1"/>
  <c r="D325" i="1" s="1"/>
  <c r="D324" i="1"/>
  <c r="C324" i="1"/>
  <c r="E323" i="1"/>
  <c r="D323" i="1"/>
  <c r="C323" i="1"/>
  <c r="K322" i="1"/>
  <c r="J322" i="1"/>
  <c r="E322" i="1"/>
  <c r="B322" i="1"/>
  <c r="E321" i="1"/>
  <c r="D321" i="1"/>
  <c r="C321" i="1"/>
  <c r="K320" i="1"/>
  <c r="J320" i="1"/>
  <c r="E320" i="1"/>
  <c r="D320" i="1"/>
  <c r="C320" i="1"/>
  <c r="B320" i="1"/>
  <c r="B361" i="1" s="1"/>
  <c r="E319" i="1"/>
  <c r="C319" i="1"/>
  <c r="D319" i="1" s="1"/>
  <c r="D318" i="1"/>
  <c r="C318" i="1"/>
  <c r="D317" i="1"/>
  <c r="C317" i="1"/>
  <c r="C316" i="1"/>
  <c r="D316" i="1" s="1"/>
  <c r="C315" i="1"/>
  <c r="D315" i="1" s="1"/>
  <c r="E314" i="1"/>
  <c r="D314" i="1"/>
  <c r="C314" i="1"/>
  <c r="D313" i="1"/>
  <c r="C313" i="1"/>
  <c r="C312" i="1"/>
  <c r="E311" i="1"/>
  <c r="C311" i="1"/>
  <c r="D311" i="1" s="1"/>
  <c r="E310" i="1"/>
  <c r="D310" i="1"/>
  <c r="C310" i="1"/>
  <c r="K309" i="1"/>
  <c r="J309" i="1"/>
  <c r="E309" i="1"/>
  <c r="B309" i="1"/>
  <c r="D303" i="1"/>
  <c r="D302" i="1" s="1"/>
  <c r="C303" i="1"/>
  <c r="C302" i="1" s="1"/>
  <c r="K302" i="1"/>
  <c r="J302" i="1"/>
  <c r="B302" i="1"/>
  <c r="C301" i="1"/>
  <c r="D301" i="1" s="1"/>
  <c r="D300" i="1"/>
  <c r="C300" i="1"/>
  <c r="D299" i="1"/>
  <c r="C299" i="1"/>
  <c r="K298" i="1"/>
  <c r="J298" i="1"/>
  <c r="C298" i="1"/>
  <c r="B298" i="1"/>
  <c r="D297" i="1"/>
  <c r="C297" i="1"/>
  <c r="D296" i="1"/>
  <c r="C296" i="1"/>
  <c r="C295" i="1"/>
  <c r="D295" i="1" s="1"/>
  <c r="C294" i="1"/>
  <c r="C282" i="1" s="1"/>
  <c r="E293" i="1"/>
  <c r="D293" i="1"/>
  <c r="C293" i="1"/>
  <c r="D292" i="1"/>
  <c r="C292" i="1"/>
  <c r="C291" i="1"/>
  <c r="D291" i="1" s="1"/>
  <c r="C290" i="1"/>
  <c r="D290" i="1" s="1"/>
  <c r="D289" i="1"/>
  <c r="C289" i="1"/>
  <c r="E288" i="1"/>
  <c r="D288" i="1"/>
  <c r="C288" i="1"/>
  <c r="C287" i="1"/>
  <c r="D287" i="1" s="1"/>
  <c r="D286" i="1"/>
  <c r="C286" i="1"/>
  <c r="D285" i="1"/>
  <c r="C285" i="1"/>
  <c r="D284" i="1"/>
  <c r="C284" i="1"/>
  <c r="C283" i="1"/>
  <c r="D283" i="1" s="1"/>
  <c r="K282" i="1"/>
  <c r="J282" i="1"/>
  <c r="B282" i="1"/>
  <c r="D281" i="1"/>
  <c r="C281" i="1"/>
  <c r="C280" i="1"/>
  <c r="D280" i="1" s="1"/>
  <c r="C279" i="1"/>
  <c r="D279" i="1" s="1"/>
  <c r="D278" i="1" s="1"/>
  <c r="K278" i="1"/>
  <c r="J278" i="1"/>
  <c r="C278" i="1"/>
  <c r="B278" i="1"/>
  <c r="C277" i="1"/>
  <c r="D277" i="1" s="1"/>
  <c r="C276" i="1"/>
  <c r="D276" i="1" s="1"/>
  <c r="D275" i="1"/>
  <c r="C275" i="1"/>
  <c r="E274" i="1"/>
  <c r="D274" i="1"/>
  <c r="C274" i="1"/>
  <c r="C273" i="1"/>
  <c r="D273" i="1" s="1"/>
  <c r="K272" i="1"/>
  <c r="J272" i="1"/>
  <c r="C272" i="1"/>
  <c r="B272" i="1"/>
  <c r="D271" i="1"/>
  <c r="C271" i="1"/>
  <c r="E270" i="1"/>
  <c r="C270" i="1"/>
  <c r="D270" i="1" s="1"/>
  <c r="E269" i="1"/>
  <c r="D269" i="1"/>
  <c r="C269" i="1"/>
  <c r="E268" i="1"/>
  <c r="D268" i="1"/>
  <c r="C268" i="1"/>
  <c r="E267" i="1"/>
  <c r="D267" i="1"/>
  <c r="C267" i="1"/>
  <c r="C266" i="1"/>
  <c r="D266" i="1" s="1"/>
  <c r="K265" i="1"/>
  <c r="J265" i="1"/>
  <c r="E265" i="1"/>
  <c r="D265" i="1"/>
  <c r="C265" i="1"/>
  <c r="B265" i="1"/>
  <c r="E264" i="1"/>
  <c r="E263" i="1" s="1"/>
  <c r="D264" i="1"/>
  <c r="D263" i="1" s="1"/>
  <c r="C264" i="1"/>
  <c r="K263" i="1"/>
  <c r="J263" i="1"/>
  <c r="C263" i="1"/>
  <c r="B263" i="1"/>
  <c r="B304" i="1" s="1"/>
  <c r="D262" i="1"/>
  <c r="C262" i="1"/>
  <c r="D261" i="1"/>
  <c r="C261" i="1"/>
  <c r="C260" i="1"/>
  <c r="D260" i="1" s="1"/>
  <c r="D259" i="1"/>
  <c r="C259" i="1"/>
  <c r="E258" i="1"/>
  <c r="D258" i="1"/>
  <c r="C258" i="1"/>
  <c r="E257" i="1"/>
  <c r="D257" i="1"/>
  <c r="C257" i="1"/>
  <c r="C256" i="1"/>
  <c r="D256" i="1" s="1"/>
  <c r="D255" i="1"/>
  <c r="C255" i="1"/>
  <c r="C304" i="1" s="1"/>
  <c r="E254" i="1"/>
  <c r="D254" i="1"/>
  <c r="C254" i="1"/>
  <c r="E253" i="1"/>
  <c r="D253" i="1"/>
  <c r="C253" i="1"/>
  <c r="K252" i="1"/>
  <c r="J252" i="1"/>
  <c r="C252" i="1"/>
  <c r="B252" i="1"/>
  <c r="E247" i="1"/>
  <c r="E246" i="1"/>
  <c r="C246" i="1"/>
  <c r="D246" i="1" s="1"/>
  <c r="D245" i="1" s="1"/>
  <c r="K245" i="1"/>
  <c r="J245" i="1"/>
  <c r="E245" i="1"/>
  <c r="B245" i="1"/>
  <c r="E244" i="1"/>
  <c r="C244" i="1"/>
  <c r="D244" i="1" s="1"/>
  <c r="E243" i="1"/>
  <c r="C243" i="1"/>
  <c r="D243" i="1" s="1"/>
  <c r="E242" i="1"/>
  <c r="E241" i="1" s="1"/>
  <c r="C242" i="1"/>
  <c r="C241" i="1" s="1"/>
  <c r="K241" i="1"/>
  <c r="J241" i="1"/>
  <c r="B241" i="1"/>
  <c r="E240" i="1"/>
  <c r="C240" i="1"/>
  <c r="D240" i="1" s="1"/>
  <c r="E239" i="1"/>
  <c r="C239" i="1"/>
  <c r="D239" i="1" s="1"/>
  <c r="E238" i="1"/>
  <c r="C238" i="1"/>
  <c r="D238" i="1" s="1"/>
  <c r="E237" i="1"/>
  <c r="C237" i="1"/>
  <c r="D237" i="1" s="1"/>
  <c r="E236" i="1"/>
  <c r="C236" i="1"/>
  <c r="D236" i="1" s="1"/>
  <c r="E235" i="1"/>
  <c r="D235" i="1"/>
  <c r="C235" i="1"/>
  <c r="E234" i="1"/>
  <c r="C234" i="1"/>
  <c r="D234" i="1" s="1"/>
  <c r="E233" i="1"/>
  <c r="C233" i="1"/>
  <c r="D233" i="1" s="1"/>
  <c r="E232" i="1"/>
  <c r="C232" i="1"/>
  <c r="D232" i="1" s="1"/>
  <c r="E231" i="1"/>
  <c r="C231" i="1"/>
  <c r="C59" i="1" s="1"/>
  <c r="D59" i="1" s="1"/>
  <c r="E230" i="1"/>
  <c r="D230" i="1"/>
  <c r="C230" i="1"/>
  <c r="E229" i="1"/>
  <c r="C229" i="1"/>
  <c r="D229" i="1" s="1"/>
  <c r="E228" i="1"/>
  <c r="C228" i="1"/>
  <c r="D228" i="1" s="1"/>
  <c r="E227" i="1"/>
  <c r="D227" i="1"/>
  <c r="C227" i="1"/>
  <c r="E226" i="1"/>
  <c r="E225" i="1" s="1"/>
  <c r="D226" i="1"/>
  <c r="C226" i="1"/>
  <c r="K225" i="1"/>
  <c r="J225" i="1"/>
  <c r="B225" i="1"/>
  <c r="E224" i="1"/>
  <c r="C224" i="1"/>
  <c r="E223" i="1"/>
  <c r="C223" i="1"/>
  <c r="C221" i="1" s="1"/>
  <c r="E222" i="1"/>
  <c r="C222" i="1"/>
  <c r="D222" i="1" s="1"/>
  <c r="K221" i="1"/>
  <c r="J221" i="1"/>
  <c r="E221" i="1"/>
  <c r="B221" i="1"/>
  <c r="E220" i="1"/>
  <c r="D220" i="1"/>
  <c r="C220" i="1"/>
  <c r="E219" i="1"/>
  <c r="C219" i="1"/>
  <c r="D219" i="1" s="1"/>
  <c r="E218" i="1"/>
  <c r="C218" i="1"/>
  <c r="D218" i="1" s="1"/>
  <c r="E217" i="1"/>
  <c r="C217" i="1"/>
  <c r="D217" i="1" s="1"/>
  <c r="E216" i="1"/>
  <c r="E215" i="1" s="1"/>
  <c r="C216" i="1"/>
  <c r="C215" i="1" s="1"/>
  <c r="K215" i="1"/>
  <c r="J215" i="1"/>
  <c r="B215" i="1"/>
  <c r="D214" i="1"/>
  <c r="C214" i="1"/>
  <c r="E213" i="1"/>
  <c r="D213" i="1"/>
  <c r="C213" i="1"/>
  <c r="E212" i="1"/>
  <c r="C212" i="1"/>
  <c r="D212" i="1" s="1"/>
  <c r="E211" i="1"/>
  <c r="C211" i="1"/>
  <c r="D211" i="1" s="1"/>
  <c r="E210" i="1"/>
  <c r="D210" i="1"/>
  <c r="C210" i="1"/>
  <c r="E209" i="1"/>
  <c r="E208" i="1" s="1"/>
  <c r="C209" i="1"/>
  <c r="K208" i="1"/>
  <c r="J208" i="1"/>
  <c r="B208" i="1"/>
  <c r="E207" i="1"/>
  <c r="E206" i="1" s="1"/>
  <c r="C207" i="1"/>
  <c r="C206" i="1" s="1"/>
  <c r="K206" i="1"/>
  <c r="K247" i="1" s="1"/>
  <c r="J206" i="1"/>
  <c r="J247" i="1" s="1"/>
  <c r="B206" i="1"/>
  <c r="E205" i="1"/>
  <c r="C205" i="1"/>
  <c r="D205" i="1" s="1"/>
  <c r="E204" i="1"/>
  <c r="C204" i="1"/>
  <c r="D204" i="1" s="1"/>
  <c r="E203" i="1"/>
  <c r="C203" i="1"/>
  <c r="D203" i="1" s="1"/>
  <c r="E202" i="1"/>
  <c r="C202" i="1"/>
  <c r="D202" i="1" s="1"/>
  <c r="E201" i="1"/>
  <c r="C201" i="1"/>
  <c r="D201" i="1" s="1"/>
  <c r="E200" i="1"/>
  <c r="D200" i="1"/>
  <c r="C200" i="1"/>
  <c r="E199" i="1"/>
  <c r="C199" i="1"/>
  <c r="D199" i="1" s="1"/>
  <c r="E198" i="1"/>
  <c r="C198" i="1"/>
  <c r="D198" i="1" s="1"/>
  <c r="E197" i="1"/>
  <c r="C197" i="1"/>
  <c r="D197" i="1" s="1"/>
  <c r="E196" i="1"/>
  <c r="C196" i="1"/>
  <c r="K195" i="1"/>
  <c r="J195" i="1"/>
  <c r="E195" i="1"/>
  <c r="B195" i="1"/>
  <c r="E190" i="1"/>
  <c r="E189" i="1"/>
  <c r="E188" i="1" s="1"/>
  <c r="C189" i="1"/>
  <c r="D189" i="1" s="1"/>
  <c r="K188" i="1"/>
  <c r="J188" i="1"/>
  <c r="D188" i="1"/>
  <c r="C188" i="1"/>
  <c r="B188" i="1"/>
  <c r="E187" i="1"/>
  <c r="D187" i="1"/>
  <c r="C187" i="1"/>
  <c r="E186" i="1"/>
  <c r="C186" i="1"/>
  <c r="D186" i="1" s="1"/>
  <c r="E185" i="1"/>
  <c r="D185" i="1"/>
  <c r="D184" i="1" s="1"/>
  <c r="C185" i="1"/>
  <c r="K184" i="1"/>
  <c r="J184" i="1"/>
  <c r="E184" i="1"/>
  <c r="C184" i="1"/>
  <c r="B184" i="1"/>
  <c r="E183" i="1"/>
  <c r="C183" i="1"/>
  <c r="D183" i="1" s="1"/>
  <c r="E182" i="1"/>
  <c r="D182" i="1"/>
  <c r="C182" i="1"/>
  <c r="E181" i="1"/>
  <c r="C181" i="1"/>
  <c r="D181" i="1" s="1"/>
  <c r="E180" i="1"/>
  <c r="C180" i="1"/>
  <c r="C65" i="1" s="1"/>
  <c r="D65" i="1" s="1"/>
  <c r="E179" i="1"/>
  <c r="C179" i="1"/>
  <c r="D179" i="1" s="1"/>
  <c r="E178" i="1"/>
  <c r="D178" i="1"/>
  <c r="C178" i="1"/>
  <c r="E177" i="1"/>
  <c r="C177" i="1"/>
  <c r="D177" i="1" s="1"/>
  <c r="E176" i="1"/>
  <c r="D176" i="1"/>
  <c r="C176" i="1"/>
  <c r="E175" i="1"/>
  <c r="C175" i="1"/>
  <c r="D175" i="1" s="1"/>
  <c r="E174" i="1"/>
  <c r="D174" i="1"/>
  <c r="C174" i="1"/>
  <c r="E173" i="1"/>
  <c r="D173" i="1"/>
  <c r="C173" i="1"/>
  <c r="E172" i="1"/>
  <c r="C172" i="1"/>
  <c r="D172" i="1" s="1"/>
  <c r="E171" i="1"/>
  <c r="C171" i="1"/>
  <c r="D171" i="1" s="1"/>
  <c r="E170" i="1"/>
  <c r="D170" i="1"/>
  <c r="C170" i="1"/>
  <c r="E169" i="1"/>
  <c r="C169" i="1"/>
  <c r="K168" i="1"/>
  <c r="J168" i="1"/>
  <c r="E168" i="1"/>
  <c r="B168" i="1"/>
  <c r="E167" i="1"/>
  <c r="D167" i="1"/>
  <c r="C167" i="1"/>
  <c r="E166" i="1"/>
  <c r="C166" i="1"/>
  <c r="D166" i="1" s="1"/>
  <c r="E165" i="1"/>
  <c r="E164" i="1" s="1"/>
  <c r="C165" i="1"/>
  <c r="D165" i="1" s="1"/>
  <c r="K164" i="1"/>
  <c r="J164" i="1"/>
  <c r="B164" i="1"/>
  <c r="E163" i="1"/>
  <c r="D163" i="1"/>
  <c r="C163" i="1"/>
  <c r="E162" i="1"/>
  <c r="D162" i="1"/>
  <c r="C162" i="1"/>
  <c r="E161" i="1"/>
  <c r="C161" i="1"/>
  <c r="D161" i="1" s="1"/>
  <c r="E160" i="1"/>
  <c r="D160" i="1"/>
  <c r="C160" i="1"/>
  <c r="C45" i="1" s="1"/>
  <c r="E159" i="1"/>
  <c r="E158" i="1" s="1"/>
  <c r="D159" i="1"/>
  <c r="D158" i="1" s="1"/>
  <c r="C159" i="1"/>
  <c r="C158" i="1" s="1"/>
  <c r="K158" i="1"/>
  <c r="J158" i="1"/>
  <c r="B158" i="1"/>
  <c r="E157" i="1"/>
  <c r="D157" i="1"/>
  <c r="C157" i="1"/>
  <c r="E156" i="1"/>
  <c r="D156" i="1"/>
  <c r="C156" i="1"/>
  <c r="E155" i="1"/>
  <c r="C155" i="1"/>
  <c r="D155" i="1" s="1"/>
  <c r="E154" i="1"/>
  <c r="C154" i="1"/>
  <c r="D154" i="1" s="1"/>
  <c r="E153" i="1"/>
  <c r="D153" i="1"/>
  <c r="C153" i="1"/>
  <c r="C38" i="1" s="1"/>
  <c r="D38" i="1" s="1"/>
  <c r="E152" i="1"/>
  <c r="E151" i="1" s="1"/>
  <c r="C152" i="1"/>
  <c r="C151" i="1" s="1"/>
  <c r="K151" i="1"/>
  <c r="J151" i="1"/>
  <c r="B151" i="1"/>
  <c r="E150" i="1"/>
  <c r="D150" i="1"/>
  <c r="C150" i="1"/>
  <c r="K149" i="1"/>
  <c r="K190" i="1" s="1"/>
  <c r="J149" i="1"/>
  <c r="J190" i="1" s="1"/>
  <c r="E149" i="1"/>
  <c r="D149" i="1"/>
  <c r="C149" i="1"/>
  <c r="B149" i="1"/>
  <c r="B190" i="1" s="1"/>
  <c r="E148" i="1"/>
  <c r="C148" i="1"/>
  <c r="D148" i="1" s="1"/>
  <c r="E147" i="1"/>
  <c r="D147" i="1"/>
  <c r="C147" i="1"/>
  <c r="E146" i="1"/>
  <c r="D146" i="1"/>
  <c r="C146" i="1"/>
  <c r="E145" i="1"/>
  <c r="D145" i="1"/>
  <c r="C145" i="1"/>
  <c r="E144" i="1"/>
  <c r="C144" i="1"/>
  <c r="D144" i="1" s="1"/>
  <c r="E143" i="1"/>
  <c r="D143" i="1"/>
  <c r="C143" i="1"/>
  <c r="E142" i="1"/>
  <c r="C142" i="1"/>
  <c r="D142" i="1" s="1"/>
  <c r="E141" i="1"/>
  <c r="C141" i="1"/>
  <c r="E140" i="1"/>
  <c r="C140" i="1"/>
  <c r="D140" i="1" s="1"/>
  <c r="E139" i="1"/>
  <c r="D139" i="1"/>
  <c r="C139" i="1"/>
  <c r="K138" i="1"/>
  <c r="J138" i="1"/>
  <c r="E138" i="1"/>
  <c r="B138" i="1"/>
  <c r="E132" i="1"/>
  <c r="E131" i="1" s="1"/>
  <c r="C132" i="1"/>
  <c r="C74" i="1" s="1"/>
  <c r="C73" i="1" s="1"/>
  <c r="D73" i="1" s="1"/>
  <c r="K131" i="1"/>
  <c r="J131" i="1"/>
  <c r="B131" i="1"/>
  <c r="E130" i="1"/>
  <c r="D130" i="1"/>
  <c r="C130" i="1"/>
  <c r="E129" i="1"/>
  <c r="C129" i="1"/>
  <c r="D129" i="1" s="1"/>
  <c r="D127" i="1" s="1"/>
  <c r="E128" i="1"/>
  <c r="D128" i="1"/>
  <c r="C128" i="1"/>
  <c r="K127" i="1"/>
  <c r="J127" i="1"/>
  <c r="E127" i="1"/>
  <c r="C127" i="1"/>
  <c r="B127" i="1"/>
  <c r="E126" i="1"/>
  <c r="C126" i="1"/>
  <c r="D126" i="1" s="1"/>
  <c r="E125" i="1"/>
  <c r="D125" i="1"/>
  <c r="C125" i="1"/>
  <c r="E124" i="1"/>
  <c r="C124" i="1"/>
  <c r="C66" i="1" s="1"/>
  <c r="D66" i="1" s="1"/>
  <c r="E123" i="1"/>
  <c r="D123" i="1"/>
  <c r="C123" i="1"/>
  <c r="E122" i="1"/>
  <c r="C122" i="1"/>
  <c r="D122" i="1" s="1"/>
  <c r="E121" i="1"/>
  <c r="D121" i="1"/>
  <c r="C121" i="1"/>
  <c r="E120" i="1"/>
  <c r="C120" i="1"/>
  <c r="D120" i="1" s="1"/>
  <c r="E119" i="1"/>
  <c r="D119" i="1"/>
  <c r="C119" i="1"/>
  <c r="E118" i="1"/>
  <c r="C118" i="1"/>
  <c r="D118" i="1" s="1"/>
  <c r="E117" i="1"/>
  <c r="D117" i="1"/>
  <c r="C117" i="1"/>
  <c r="E116" i="1"/>
  <c r="C116" i="1"/>
  <c r="D116" i="1" s="1"/>
  <c r="E115" i="1"/>
  <c r="D115" i="1"/>
  <c r="C115" i="1"/>
  <c r="E114" i="1"/>
  <c r="C114" i="1"/>
  <c r="D114" i="1" s="1"/>
  <c r="E113" i="1"/>
  <c r="D113" i="1"/>
  <c r="C113" i="1"/>
  <c r="E112" i="1"/>
  <c r="C112" i="1"/>
  <c r="C54" i="1" s="1"/>
  <c r="K111" i="1"/>
  <c r="J111" i="1"/>
  <c r="E111" i="1"/>
  <c r="B111" i="1"/>
  <c r="E110" i="1"/>
  <c r="D110" i="1"/>
  <c r="C110" i="1"/>
  <c r="E109" i="1"/>
  <c r="C109" i="1"/>
  <c r="D109" i="1" s="1"/>
  <c r="E108" i="1"/>
  <c r="E107" i="1" s="1"/>
  <c r="D108" i="1"/>
  <c r="D107" i="1" s="1"/>
  <c r="C108" i="1"/>
  <c r="K107" i="1"/>
  <c r="J107" i="1"/>
  <c r="C107" i="1"/>
  <c r="B107" i="1"/>
  <c r="E106" i="1"/>
  <c r="C106" i="1"/>
  <c r="D106" i="1" s="1"/>
  <c r="E105" i="1"/>
  <c r="D105" i="1"/>
  <c r="C105" i="1"/>
  <c r="E104" i="1"/>
  <c r="C104" i="1"/>
  <c r="D104" i="1" s="1"/>
  <c r="E103" i="1"/>
  <c r="D103" i="1"/>
  <c r="C103" i="1"/>
  <c r="E102" i="1"/>
  <c r="C102" i="1"/>
  <c r="C44" i="1" s="1"/>
  <c r="K101" i="1"/>
  <c r="J101" i="1"/>
  <c r="E101" i="1"/>
  <c r="B101" i="1"/>
  <c r="E100" i="1"/>
  <c r="D100" i="1"/>
  <c r="C100" i="1"/>
  <c r="E99" i="1"/>
  <c r="C99" i="1"/>
  <c r="C41" i="1" s="1"/>
  <c r="D41" i="1" s="1"/>
  <c r="E98" i="1"/>
  <c r="D98" i="1"/>
  <c r="C98" i="1"/>
  <c r="E97" i="1"/>
  <c r="C97" i="1"/>
  <c r="D97" i="1" s="1"/>
  <c r="E96" i="1"/>
  <c r="D96" i="1"/>
  <c r="C96" i="1"/>
  <c r="E95" i="1"/>
  <c r="C95" i="1"/>
  <c r="C94" i="1" s="1"/>
  <c r="K94" i="1"/>
  <c r="J94" i="1"/>
  <c r="E94" i="1"/>
  <c r="B94" i="1"/>
  <c r="E93" i="1"/>
  <c r="D93" i="1"/>
  <c r="C93" i="1"/>
  <c r="K92" i="1"/>
  <c r="J92" i="1"/>
  <c r="J133" i="1" s="1"/>
  <c r="E92" i="1"/>
  <c r="D92" i="1"/>
  <c r="C92" i="1"/>
  <c r="B92" i="1"/>
  <c r="B133" i="1" s="1"/>
  <c r="E91" i="1"/>
  <c r="C91" i="1"/>
  <c r="D91" i="1" s="1"/>
  <c r="E90" i="1"/>
  <c r="D90" i="1"/>
  <c r="C90" i="1"/>
  <c r="E89" i="1"/>
  <c r="C89" i="1"/>
  <c r="C31" i="1" s="1"/>
  <c r="D31" i="1" s="1"/>
  <c r="E88" i="1"/>
  <c r="D88" i="1"/>
  <c r="C88" i="1"/>
  <c r="E87" i="1"/>
  <c r="C87" i="1"/>
  <c r="D87" i="1" s="1"/>
  <c r="E86" i="1"/>
  <c r="D86" i="1"/>
  <c r="C86" i="1"/>
  <c r="E85" i="1"/>
  <c r="C85" i="1"/>
  <c r="C81" i="1" s="1"/>
  <c r="E84" i="1"/>
  <c r="D84" i="1"/>
  <c r="C84" i="1"/>
  <c r="E83" i="1"/>
  <c r="C83" i="1"/>
  <c r="E82" i="1"/>
  <c r="E133" i="1" s="1"/>
  <c r="D82" i="1"/>
  <c r="C82" i="1"/>
  <c r="K81" i="1"/>
  <c r="J81" i="1"/>
  <c r="E81" i="1"/>
  <c r="B81" i="1"/>
  <c r="B74" i="1"/>
  <c r="B73" i="1"/>
  <c r="B72" i="1"/>
  <c r="B71" i="1"/>
  <c r="C70" i="1"/>
  <c r="B70" i="1"/>
  <c r="B68" i="1"/>
  <c r="B67" i="1"/>
  <c r="B66" i="1"/>
  <c r="B65" i="1"/>
  <c r="B64" i="1"/>
  <c r="B63" i="1"/>
  <c r="B62" i="1"/>
  <c r="C61" i="1"/>
  <c r="D61" i="1" s="1"/>
  <c r="B61" i="1"/>
  <c r="B60" i="1"/>
  <c r="B59" i="1"/>
  <c r="C58" i="1"/>
  <c r="D58" i="1" s="1"/>
  <c r="B58" i="1"/>
  <c r="B57" i="1"/>
  <c r="C56" i="1"/>
  <c r="D56" i="1" s="1"/>
  <c r="B56" i="1"/>
  <c r="B55" i="1"/>
  <c r="B54" i="1"/>
  <c r="B53" i="1"/>
  <c r="B52" i="1"/>
  <c r="C51" i="1"/>
  <c r="D51" i="1" s="1"/>
  <c r="B51" i="1"/>
  <c r="B49" i="1" s="1"/>
  <c r="C50" i="1"/>
  <c r="B50" i="1"/>
  <c r="C48" i="1"/>
  <c r="D48" i="1" s="1"/>
  <c r="B48" i="1"/>
  <c r="C47" i="1"/>
  <c r="D47" i="1" s="1"/>
  <c r="B47" i="1"/>
  <c r="C46" i="1"/>
  <c r="D46" i="1" s="1"/>
  <c r="B46" i="1"/>
  <c r="D45" i="1"/>
  <c r="B45" i="1"/>
  <c r="B44" i="1"/>
  <c r="B42" i="1"/>
  <c r="B41" i="1"/>
  <c r="B40" i="1"/>
  <c r="C39" i="1"/>
  <c r="D39" i="1" s="1"/>
  <c r="B39" i="1"/>
  <c r="B38" i="1"/>
  <c r="B37" i="1"/>
  <c r="B35" i="1"/>
  <c r="B34" i="1" s="1"/>
  <c r="C33" i="1"/>
  <c r="D33" i="1" s="1"/>
  <c r="B33" i="1"/>
  <c r="B32" i="1"/>
  <c r="B31" i="1"/>
  <c r="C30" i="1"/>
  <c r="D30" i="1" s="1"/>
  <c r="B30" i="1"/>
  <c r="C29" i="1"/>
  <c r="D29" i="1" s="1"/>
  <c r="B29" i="1"/>
  <c r="B28" i="1"/>
  <c r="B27" i="1"/>
  <c r="B26" i="1"/>
  <c r="C25" i="1"/>
  <c r="D25" i="1" s="1"/>
  <c r="B25" i="1"/>
  <c r="B24" i="1"/>
  <c r="F19" i="1"/>
  <c r="E19" i="1"/>
  <c r="I18" i="1"/>
  <c r="F18" i="1"/>
  <c r="D4" i="1" s="1"/>
  <c r="E18" i="1"/>
  <c r="C18" i="1"/>
  <c r="B18" i="1"/>
  <c r="H18" i="1" s="1"/>
  <c r="I17" i="1"/>
  <c r="H17" i="1"/>
  <c r="F17" i="1"/>
  <c r="E17" i="1"/>
  <c r="G17" i="1" s="1"/>
  <c r="D17" i="1"/>
  <c r="C17" i="1"/>
  <c r="B17" i="1"/>
  <c r="I16" i="1"/>
  <c r="F16" i="1"/>
  <c r="E16" i="1"/>
  <c r="G16" i="1" s="1"/>
  <c r="D16" i="1"/>
  <c r="C16" i="1"/>
  <c r="B16" i="1"/>
  <c r="I15" i="1"/>
  <c r="H15" i="1"/>
  <c r="G15" i="1"/>
  <c r="F15" i="1"/>
  <c r="E15" i="1"/>
  <c r="C15" i="1"/>
  <c r="B15" i="1"/>
  <c r="D15" i="1" s="1"/>
  <c r="C4" i="1"/>
  <c r="D3" i="1"/>
  <c r="D164" i="1" l="1"/>
  <c r="D54" i="1"/>
  <c r="B9" i="1"/>
  <c r="D282" i="1"/>
  <c r="G19" i="1"/>
  <c r="E765" i="1"/>
  <c r="B75" i="1"/>
  <c r="B764" i="1" s="1"/>
  <c r="E192" i="1"/>
  <c r="D480" i="1"/>
  <c r="D44" i="1"/>
  <c r="C43" i="1"/>
  <c r="D272" i="1"/>
  <c r="D304" i="1" s="1"/>
  <c r="D322" i="1"/>
  <c r="D379" i="1"/>
  <c r="D396" i="1"/>
  <c r="C537" i="1"/>
  <c r="D538" i="1"/>
  <c r="D50" i="1"/>
  <c r="C72" i="1"/>
  <c r="D72" i="1" s="1"/>
  <c r="D152" i="1"/>
  <c r="D151" i="1" s="1"/>
  <c r="C164" i="1"/>
  <c r="C190" i="1" s="1"/>
  <c r="C9" i="1" s="1"/>
  <c r="D231" i="1"/>
  <c r="D225" i="1" s="1"/>
  <c r="C245" i="1"/>
  <c r="E292" i="1"/>
  <c r="E297" i="1"/>
  <c r="E313" i="1"/>
  <c r="E354" i="1"/>
  <c r="D371" i="1"/>
  <c r="E561" i="1"/>
  <c r="K8" i="4"/>
  <c r="O22" i="4"/>
  <c r="M37" i="4"/>
  <c r="E586" i="1"/>
  <c r="E582" i="1"/>
  <c r="E578" i="1"/>
  <c r="E574" i="1"/>
  <c r="E570" i="1"/>
  <c r="E566" i="1"/>
  <c r="E585" i="1"/>
  <c r="E568" i="1"/>
  <c r="E567" i="1" s="1"/>
  <c r="E559" i="1"/>
  <c r="E577" i="1"/>
  <c r="E541" i="1"/>
  <c r="E572" i="1"/>
  <c r="E545" i="1"/>
  <c r="E581" i="1"/>
  <c r="E576" i="1"/>
  <c r="E540" i="1"/>
  <c r="E571" i="1"/>
  <c r="E544" i="1"/>
  <c r="E579" i="1"/>
  <c r="E569" i="1"/>
  <c r="E560" i="1"/>
  <c r="E547" i="1"/>
  <c r="E564" i="1"/>
  <c r="E563" i="1" s="1"/>
  <c r="N3" i="3"/>
  <c r="N21" i="3" s="1"/>
  <c r="D3" i="3"/>
  <c r="D21" i="3" s="1"/>
  <c r="C4" i="3"/>
  <c r="D469" i="1"/>
  <c r="D10" i="3"/>
  <c r="C12" i="3"/>
  <c r="E191" i="1" s="1"/>
  <c r="B19" i="1"/>
  <c r="C42" i="1"/>
  <c r="D42" i="1" s="1"/>
  <c r="D141" i="1"/>
  <c r="D138" i="1" s="1"/>
  <c r="C3" i="1"/>
  <c r="C27" i="1"/>
  <c r="D27" i="1" s="1"/>
  <c r="C32" i="1"/>
  <c r="D32" i="1" s="1"/>
  <c r="B36" i="1"/>
  <c r="C67" i="1"/>
  <c r="D67" i="1" s="1"/>
  <c r="D85" i="1"/>
  <c r="D89" i="1"/>
  <c r="D95" i="1"/>
  <c r="D94" i="1" s="1"/>
  <c r="D99" i="1"/>
  <c r="D102" i="1"/>
  <c r="D101" i="1" s="1"/>
  <c r="D112" i="1"/>
  <c r="D111" i="1" s="1"/>
  <c r="D124" i="1"/>
  <c r="C131" i="1"/>
  <c r="C138" i="1"/>
  <c r="D180" i="1"/>
  <c r="D207" i="1"/>
  <c r="D206" i="1" s="1"/>
  <c r="D223" i="1"/>
  <c r="E262" i="1"/>
  <c r="D330" i="1"/>
  <c r="D329" i="1" s="1"/>
  <c r="E366" i="1"/>
  <c r="H75" i="1" s="1"/>
  <c r="D471" i="1"/>
  <c r="D551" i="1"/>
  <c r="D550" i="1" s="1"/>
  <c r="C550" i="1"/>
  <c r="C589" i="1" s="1"/>
  <c r="D611" i="1"/>
  <c r="C607" i="1"/>
  <c r="E655" i="1"/>
  <c r="F32" i="2"/>
  <c r="H32" i="2" s="1"/>
  <c r="H28" i="2"/>
  <c r="C8" i="3"/>
  <c r="L8" i="4"/>
  <c r="P22" i="4"/>
  <c r="N37" i="4"/>
  <c r="B69" i="1"/>
  <c r="K133" i="1"/>
  <c r="C52" i="1"/>
  <c r="D52" i="1" s="1"/>
  <c r="D252" i="1"/>
  <c r="C377" i="1"/>
  <c r="C418" i="1" s="1"/>
  <c r="D378" i="1"/>
  <c r="D377" i="1" s="1"/>
  <c r="D423" i="1"/>
  <c r="D511" i="1"/>
  <c r="D510" i="1" s="1"/>
  <c r="C583" i="1"/>
  <c r="D585" i="1"/>
  <c r="D583" i="1" s="1"/>
  <c r="E675" i="1"/>
  <c r="E691" i="1"/>
  <c r="E686" i="1"/>
  <c r="E654" i="1"/>
  <c r="E680" i="1"/>
  <c r="E659" i="1"/>
  <c r="E695" i="1"/>
  <c r="E690" i="1"/>
  <c r="E674" i="1"/>
  <c r="E679" i="1"/>
  <c r="E658" i="1"/>
  <c r="E694" i="1"/>
  <c r="E683" i="1"/>
  <c r="E692" i="1"/>
  <c r="C35" i="1"/>
  <c r="D70" i="1"/>
  <c r="E423" i="1"/>
  <c r="E475" i="1"/>
  <c r="P12" i="4"/>
  <c r="P143" i="5"/>
  <c r="J5" i="3"/>
  <c r="B23" i="1"/>
  <c r="D132" i="1"/>
  <c r="D131" i="1" s="1"/>
  <c r="D242" i="1"/>
  <c r="D241" i="1" s="1"/>
  <c r="K304" i="1"/>
  <c r="E271" i="1"/>
  <c r="D294" i="1"/>
  <c r="E315" i="1"/>
  <c r="C322" i="1"/>
  <c r="E351" i="1"/>
  <c r="D367" i="1"/>
  <c r="C423" i="1"/>
  <c r="C475" i="1"/>
  <c r="D468" i="1"/>
  <c r="D453" i="1" s="1"/>
  <c r="D475" i="1" s="1"/>
  <c r="C491" i="1"/>
  <c r="C532" i="1" s="1"/>
  <c r="C6" i="1" s="1"/>
  <c r="D492" i="1"/>
  <c r="D491" i="1" s="1"/>
  <c r="D532" i="1" s="1"/>
  <c r="E646" i="1"/>
  <c r="E594" i="1"/>
  <c r="C624" i="1"/>
  <c r="D625" i="1"/>
  <c r="D624" i="1" s="1"/>
  <c r="E684" i="1"/>
  <c r="D738" i="1"/>
  <c r="Q12" i="4"/>
  <c r="N27" i="4"/>
  <c r="E583" i="1"/>
  <c r="C664" i="1"/>
  <c r="D668" i="1"/>
  <c r="E304" i="1"/>
  <c r="E252" i="1"/>
  <c r="E284" i="1"/>
  <c r="E303" i="1"/>
  <c r="E302" i="1" s="1"/>
  <c r="E332" i="1"/>
  <c r="E346" i="1"/>
  <c r="C379" i="1"/>
  <c r="E573" i="1"/>
  <c r="E580" i="1"/>
  <c r="C703" i="1"/>
  <c r="C651" i="1"/>
  <c r="E708" i="1"/>
  <c r="E760" i="1"/>
  <c r="O27" i="4"/>
  <c r="K43" i="4"/>
  <c r="H48" i="4"/>
  <c r="P14" i="4"/>
  <c r="N13" i="4"/>
  <c r="K12" i="4"/>
  <c r="G11" i="4"/>
  <c r="F10" i="4"/>
  <c r="L40" i="4"/>
  <c r="J39" i="4"/>
  <c r="P36" i="4"/>
  <c r="G46" i="4"/>
  <c r="I44" i="4"/>
  <c r="K42" i="4"/>
  <c r="M40" i="4"/>
  <c r="O38" i="4"/>
  <c r="Q36" i="4"/>
  <c r="G35" i="4"/>
  <c r="N33" i="4"/>
  <c r="I30" i="4"/>
  <c r="N28" i="4"/>
  <c r="Q26" i="4"/>
  <c r="J25" i="4"/>
  <c r="P23" i="4"/>
  <c r="F22" i="4"/>
  <c r="J20" i="4"/>
  <c r="Q18" i="4"/>
  <c r="H17" i="4"/>
  <c r="L15" i="4"/>
  <c r="Q13" i="4"/>
  <c r="G12" i="4"/>
  <c r="M10" i="4"/>
  <c r="I9" i="4"/>
  <c r="F8" i="4"/>
  <c r="P6" i="4"/>
  <c r="M5" i="4"/>
  <c r="L4" i="4"/>
  <c r="O47" i="4"/>
  <c r="F46" i="4"/>
  <c r="F44" i="4"/>
  <c r="J42" i="4"/>
  <c r="J40" i="4"/>
  <c r="N38" i="4"/>
  <c r="N36" i="4"/>
  <c r="F35" i="4"/>
  <c r="K33" i="4"/>
  <c r="M31" i="4"/>
  <c r="H30" i="4"/>
  <c r="M28" i="4"/>
  <c r="O26" i="4"/>
  <c r="G25" i="4"/>
  <c r="O23" i="4"/>
  <c r="Q21" i="4"/>
  <c r="I20" i="4"/>
  <c r="N18" i="4"/>
  <c r="P16" i="4"/>
  <c r="K15" i="4"/>
  <c r="P13" i="4"/>
  <c r="L10" i="4"/>
  <c r="H9" i="4"/>
  <c r="N6" i="4"/>
  <c r="L5" i="4"/>
  <c r="K4" i="4"/>
  <c r="N47" i="4"/>
  <c r="I42" i="4"/>
  <c r="I40" i="4"/>
  <c r="M38" i="4"/>
  <c r="M36" i="4"/>
  <c r="H33" i="4"/>
  <c r="L31" i="4"/>
  <c r="G30" i="4"/>
  <c r="J28" i="4"/>
  <c r="N26" i="4"/>
  <c r="F25" i="4"/>
  <c r="I23" i="4"/>
  <c r="P21" i="4"/>
  <c r="H20" i="4"/>
  <c r="K18" i="4"/>
  <c r="O16" i="4"/>
  <c r="J15" i="4"/>
  <c r="M13" i="4"/>
  <c r="Q11" i="4"/>
  <c r="J10" i="4"/>
  <c r="F9" i="4"/>
  <c r="P7" i="4"/>
  <c r="M6" i="4"/>
  <c r="K5" i="4"/>
  <c r="H3" i="4"/>
  <c r="L47" i="4"/>
  <c r="Q45" i="4"/>
  <c r="P43" i="4"/>
  <c r="H42" i="4"/>
  <c r="G40" i="4"/>
  <c r="L38" i="4"/>
  <c r="K36" i="4"/>
  <c r="Q34" i="4"/>
  <c r="G33" i="4"/>
  <c r="K31" i="4"/>
  <c r="I28" i="4"/>
  <c r="M26" i="4"/>
  <c r="H23" i="4"/>
  <c r="N21" i="4"/>
  <c r="G20" i="4"/>
  <c r="J18" i="4"/>
  <c r="N16" i="4"/>
  <c r="H15" i="4"/>
  <c r="L13" i="4"/>
  <c r="P11" i="4"/>
  <c r="I10" i="4"/>
  <c r="L6" i="4"/>
  <c r="J5" i="4"/>
  <c r="I4" i="4"/>
  <c r="G3" i="4"/>
  <c r="I47" i="4"/>
  <c r="K45" i="4"/>
  <c r="M43" i="4"/>
  <c r="O41" i="4"/>
  <c r="Q39" i="4"/>
  <c r="F38" i="4"/>
  <c r="H36" i="4"/>
  <c r="P34" i="4"/>
  <c r="J31" i="4"/>
  <c r="O29" i="4"/>
  <c r="Q27" i="4"/>
  <c r="L26" i="4"/>
  <c r="Q24" i="4"/>
  <c r="F23" i="4"/>
  <c r="K21" i="4"/>
  <c r="F20" i="4"/>
  <c r="E20" i="4" s="1"/>
  <c r="E48" i="1" s="1"/>
  <c r="H18" i="4"/>
  <c r="M16" i="4"/>
  <c r="G13" i="4"/>
  <c r="O11" i="4"/>
  <c r="H10" i="4"/>
  <c r="Q8" i="4"/>
  <c r="M7" i="4"/>
  <c r="K6" i="4"/>
  <c r="I5" i="4"/>
  <c r="F3" i="4"/>
  <c r="H47" i="4"/>
  <c r="H45" i="4"/>
  <c r="L43" i="4"/>
  <c r="L41" i="4"/>
  <c r="P39" i="4"/>
  <c r="P37" i="4"/>
  <c r="G36" i="4"/>
  <c r="J34" i="4"/>
  <c r="Q32" i="4"/>
  <c r="I31" i="4"/>
  <c r="L29" i="4"/>
  <c r="P27" i="4"/>
  <c r="K26" i="4"/>
  <c r="N24" i="4"/>
  <c r="J21" i="4"/>
  <c r="M19" i="4"/>
  <c r="G18" i="4"/>
  <c r="L16" i="4"/>
  <c r="O14" i="4"/>
  <c r="F13" i="4"/>
  <c r="N11" i="4"/>
  <c r="N8" i="4"/>
  <c r="L7" i="4"/>
  <c r="J6" i="4"/>
  <c r="H5" i="4"/>
  <c r="F4" i="4"/>
  <c r="N48" i="4"/>
  <c r="J46" i="4"/>
  <c r="Q44" i="4"/>
  <c r="N42" i="4"/>
  <c r="H41" i="4"/>
  <c r="L37" i="4"/>
  <c r="N35" i="4"/>
  <c r="J32" i="4"/>
  <c r="M30" i="4"/>
  <c r="F29" i="4"/>
  <c r="E29" i="4" s="1"/>
  <c r="E59" i="1" s="1"/>
  <c r="L27" i="4"/>
  <c r="O25" i="4"/>
  <c r="F24" i="4"/>
  <c r="M22" i="4"/>
  <c r="Q20" i="4"/>
  <c r="H19" i="4"/>
  <c r="M17" i="4"/>
  <c r="P15" i="4"/>
  <c r="I14" i="4"/>
  <c r="O12" i="4"/>
  <c r="J8" i="4"/>
  <c r="H7" i="4"/>
  <c r="Q5" i="4"/>
  <c r="O4" i="4"/>
  <c r="N3" i="4"/>
  <c r="M48" i="4"/>
  <c r="I46" i="4"/>
  <c r="O44" i="4"/>
  <c r="M42" i="4"/>
  <c r="F41" i="4"/>
  <c r="Q38" i="4"/>
  <c r="J37" i="4"/>
  <c r="I35" i="4"/>
  <c r="Q33" i="4"/>
  <c r="I32" i="4"/>
  <c r="K30" i="4"/>
  <c r="P28" i="4"/>
  <c r="K27" i="4"/>
  <c r="M25" i="4"/>
  <c r="J22" i="4"/>
  <c r="L20" i="4"/>
  <c r="G19" i="4"/>
  <c r="L17" i="4"/>
  <c r="N15" i="4"/>
  <c r="F14" i="4"/>
  <c r="N12" i="4"/>
  <c r="P10" i="4"/>
  <c r="K9" i="4"/>
  <c r="I8" i="4"/>
  <c r="F7" i="4"/>
  <c r="P5" i="4"/>
  <c r="N4" i="4"/>
  <c r="M3" i="4"/>
  <c r="P46" i="4"/>
  <c r="I41" i="4"/>
  <c r="O35" i="4"/>
  <c r="N30" i="4"/>
  <c r="P25" i="4"/>
  <c r="Q15" i="4"/>
  <c r="F11" i="4"/>
  <c r="I7" i="4"/>
  <c r="O3" i="4"/>
  <c r="H46" i="4"/>
  <c r="P40" i="4"/>
  <c r="H35" i="4"/>
  <c r="J30" i="4"/>
  <c r="L25" i="4"/>
  <c r="K20" i="4"/>
  <c r="M15" i="4"/>
  <c r="O10" i="4"/>
  <c r="Q6" i="4"/>
  <c r="L3" i="4"/>
  <c r="G45" i="4"/>
  <c r="O39" i="4"/>
  <c r="I34" i="4"/>
  <c r="K29" i="4"/>
  <c r="M24" i="4"/>
  <c r="L19" i="4"/>
  <c r="N14" i="4"/>
  <c r="Q9" i="4"/>
  <c r="I6" i="4"/>
  <c r="F45" i="4"/>
  <c r="N39" i="4"/>
  <c r="G34" i="4"/>
  <c r="I29" i="4"/>
  <c r="H24" i="4"/>
  <c r="J19" i="4"/>
  <c r="L14" i="4"/>
  <c r="N9" i="4"/>
  <c r="H6" i="4"/>
  <c r="E356" i="1"/>
  <c r="E355" i="1" s="1"/>
  <c r="E353" i="1"/>
  <c r="E349" i="1"/>
  <c r="E345" i="1"/>
  <c r="E341" i="1"/>
  <c r="E338" i="1"/>
  <c r="E331" i="1"/>
  <c r="E328" i="1"/>
  <c r="E324" i="1"/>
  <c r="E318" i="1"/>
  <c r="K39" i="4"/>
  <c r="F34" i="4"/>
  <c r="H29" i="4"/>
  <c r="G24" i="4"/>
  <c r="I19" i="4"/>
  <c r="K14" i="4"/>
  <c r="M9" i="4"/>
  <c r="L44" i="4"/>
  <c r="P38" i="4"/>
  <c r="P33" i="4"/>
  <c r="O28" i="4"/>
  <c r="Q23" i="4"/>
  <c r="F19" i="4"/>
  <c r="J9" i="4"/>
  <c r="N5" i="4"/>
  <c r="K48" i="4"/>
  <c r="L42" i="4"/>
  <c r="G37" i="4"/>
  <c r="F32" i="4"/>
  <c r="G22" i="4"/>
  <c r="I17" i="4"/>
  <c r="H12" i="4"/>
  <c r="H8" i="4"/>
  <c r="M4" i="4"/>
  <c r="G47" i="4"/>
  <c r="K41" i="4"/>
  <c r="F36" i="4"/>
  <c r="H31" i="4"/>
  <c r="I26" i="4"/>
  <c r="I21" i="4"/>
  <c r="K16" i="4"/>
  <c r="L11" i="4"/>
  <c r="K7" i="4"/>
  <c r="C335" i="1"/>
  <c r="D336" i="1"/>
  <c r="D335" i="1" s="1"/>
  <c r="D18" i="1"/>
  <c r="D19" i="1" s="1"/>
  <c r="C24" i="1"/>
  <c r="C168" i="1"/>
  <c r="E275" i="1"/>
  <c r="E289" i="1"/>
  <c r="D298" i="1"/>
  <c r="H16" i="1"/>
  <c r="C60" i="1"/>
  <c r="D60" i="1" s="1"/>
  <c r="D83" i="1"/>
  <c r="D81" i="1" s="1"/>
  <c r="C101" i="1"/>
  <c r="C133" i="1" s="1"/>
  <c r="C111" i="1"/>
  <c r="D169" i="1"/>
  <c r="C195" i="1"/>
  <c r="C208" i="1"/>
  <c r="C247" i="1" s="1"/>
  <c r="E316" i="1"/>
  <c r="C526" i="1"/>
  <c r="D652" i="1"/>
  <c r="E678" i="1"/>
  <c r="E677" i="1" s="1"/>
  <c r="P3" i="4"/>
  <c r="J16" i="4"/>
  <c r="G31" i="4"/>
  <c r="F47" i="4"/>
  <c r="G32" i="4"/>
  <c r="E466" i="1"/>
  <c r="E472" i="1"/>
  <c r="E465" i="1"/>
  <c r="E461" i="1"/>
  <c r="E457" i="1"/>
  <c r="E450" i="1"/>
  <c r="E449" i="1" s="1"/>
  <c r="E447" i="1"/>
  <c r="E440" i="1"/>
  <c r="E430" i="1"/>
  <c r="E426" i="1"/>
  <c r="E470" i="1"/>
  <c r="C62" i="1"/>
  <c r="D62" i="1" s="1"/>
  <c r="E645" i="1"/>
  <c r="E644" i="1" s="1"/>
  <c r="E618" i="1"/>
  <c r="E634" i="1"/>
  <c r="E629" i="1"/>
  <c r="E603" i="1"/>
  <c r="E617" i="1"/>
  <c r="E598" i="1"/>
  <c r="E638" i="1"/>
  <c r="E633" i="1"/>
  <c r="E616" i="1"/>
  <c r="E602" i="1"/>
  <c r="E641" i="1"/>
  <c r="E636" i="1"/>
  <c r="E630" i="1"/>
  <c r="C40" i="1"/>
  <c r="D40" i="1" s="1"/>
  <c r="J304" i="1"/>
  <c r="G43" i="4"/>
  <c r="E295" i="1"/>
  <c r="E291" i="1"/>
  <c r="E287" i="1"/>
  <c r="E283" i="1"/>
  <c r="E282" i="1" s="1"/>
  <c r="E280" i="1"/>
  <c r="E277" i="1"/>
  <c r="E273" i="1"/>
  <c r="E272" i="1" s="1"/>
  <c r="E260" i="1"/>
  <c r="E256" i="1"/>
  <c r="E301" i="1"/>
  <c r="E298" i="1" s="1"/>
  <c r="E294" i="1"/>
  <c r="E290" i="1"/>
  <c r="E286" i="1"/>
  <c r="E279" i="1"/>
  <c r="E278" i="1" s="1"/>
  <c r="E276" i="1"/>
  <c r="E259" i="1"/>
  <c r="E255" i="1"/>
  <c r="E736" i="1"/>
  <c r="E730" i="1"/>
  <c r="E725" i="1"/>
  <c r="E720" i="1"/>
  <c r="E719" i="1" s="1"/>
  <c r="E753" i="1"/>
  <c r="E747" i="1"/>
  <c r="E741" i="1"/>
  <c r="E714" i="1"/>
  <c r="E735" i="1"/>
  <c r="E734" i="1" s="1"/>
  <c r="E729" i="1"/>
  <c r="E728" i="1" s="1"/>
  <c r="E724" i="1"/>
  <c r="E757" i="1"/>
  <c r="E752" i="1"/>
  <c r="E746" i="1"/>
  <c r="E740" i="1"/>
  <c r="E713" i="1"/>
  <c r="E723" i="1"/>
  <c r="E756" i="1"/>
  <c r="E751" i="1"/>
  <c r="E745" i="1"/>
  <c r="E739" i="1"/>
  <c r="E738" i="1" s="1"/>
  <c r="E718" i="1"/>
  <c r="E712" i="1"/>
  <c r="E759" i="1"/>
  <c r="E758" i="1" s="1"/>
  <c r="E749" i="1"/>
  <c r="E743" i="1"/>
  <c r="E716" i="1"/>
  <c r="E710" i="1"/>
  <c r="E731" i="1"/>
  <c r="E726" i="1"/>
  <c r="E748" i="1"/>
  <c r="E722" i="1"/>
  <c r="E721" i="1" s="1"/>
  <c r="E715" i="1"/>
  <c r="E755" i="1"/>
  <c r="E744" i="1"/>
  <c r="E737" i="1"/>
  <c r="E711" i="1"/>
  <c r="E750" i="1"/>
  <c r="E733" i="1"/>
  <c r="E717" i="1"/>
  <c r="C19" i="1"/>
  <c r="C57" i="1"/>
  <c r="D57" i="1" s="1"/>
  <c r="C63" i="1"/>
  <c r="D63" i="1" s="1"/>
  <c r="D196" i="1"/>
  <c r="B247" i="1"/>
  <c r="B765" i="1" s="1"/>
  <c r="D209" i="1"/>
  <c r="D208" i="1" s="1"/>
  <c r="E281" i="1"/>
  <c r="D312" i="1"/>
  <c r="D309" i="1" s="1"/>
  <c r="C309" i="1"/>
  <c r="E347" i="1"/>
  <c r="E352" i="1"/>
  <c r="D392" i="1"/>
  <c r="D526" i="1"/>
  <c r="D602" i="1"/>
  <c r="D594" i="1" s="1"/>
  <c r="E632" i="1"/>
  <c r="D640" i="1"/>
  <c r="D664" i="1"/>
  <c r="Q4" i="4"/>
  <c r="N17" i="4"/>
  <c r="K32" i="4"/>
  <c r="O48" i="4"/>
  <c r="E415" i="1"/>
  <c r="E408" i="1"/>
  <c r="E404" i="1"/>
  <c r="E400" i="1"/>
  <c r="E393" i="1"/>
  <c r="E392" i="1" s="1"/>
  <c r="E390" i="1"/>
  <c r="E373" i="1"/>
  <c r="E417" i="1"/>
  <c r="E416" i="1" s="1"/>
  <c r="E406" i="1"/>
  <c r="E391" i="1"/>
  <c r="E369" i="1"/>
  <c r="E410" i="1"/>
  <c r="E397" i="1"/>
  <c r="E396" i="1" s="1"/>
  <c r="E394" i="1"/>
  <c r="E413" i="1"/>
  <c r="E412" i="1" s="1"/>
  <c r="E401" i="1"/>
  <c r="E405" i="1"/>
  <c r="E372" i="1"/>
  <c r="E409" i="1"/>
  <c r="E376" i="1"/>
  <c r="E407" i="1"/>
  <c r="E370" i="1"/>
  <c r="C37" i="1"/>
  <c r="C480" i="1"/>
  <c r="D216" i="1"/>
  <c r="D215" i="1" s="1"/>
  <c r="D224" i="1"/>
  <c r="D340" i="1"/>
  <c r="D339" i="1" s="1"/>
  <c r="C366" i="1"/>
  <c r="E546" i="1"/>
  <c r="M3" i="3"/>
  <c r="M21" i="3" s="1"/>
  <c r="M27" i="4"/>
  <c r="C64" i="1"/>
  <c r="D64" i="1" s="1"/>
  <c r="C71" i="1"/>
  <c r="D71" i="1" s="1"/>
  <c r="B43" i="1"/>
  <c r="G18" i="1"/>
  <c r="C26" i="1"/>
  <c r="D26" i="1" s="1"/>
  <c r="C55" i="1"/>
  <c r="D55" i="1" s="1"/>
  <c r="E285" i="1"/>
  <c r="E296" i="1"/>
  <c r="E312" i="1"/>
  <c r="E342" i="1"/>
  <c r="E357" i="1"/>
  <c r="E626" i="1"/>
  <c r="C671" i="1"/>
  <c r="E699" i="1"/>
  <c r="E742" i="1"/>
  <c r="O17" i="4"/>
  <c r="L32" i="4"/>
  <c r="P48" i="4"/>
  <c r="C225" i="1"/>
  <c r="E261" i="1"/>
  <c r="E300" i="1"/>
  <c r="D358" i="1"/>
  <c r="D355" i="1" s="1"/>
  <c r="C355" i="1"/>
  <c r="C361" i="1" s="1"/>
  <c r="E543" i="1"/>
  <c r="E597" i="1"/>
  <c r="D671" i="1"/>
  <c r="E732" i="1"/>
  <c r="I3" i="3"/>
  <c r="I21" i="3" s="1"/>
  <c r="C6" i="3"/>
  <c r="F5" i="4"/>
  <c r="O32" i="4"/>
  <c r="Q48" i="4"/>
  <c r="C681" i="1"/>
  <c r="D683" i="1"/>
  <c r="D697" i="1"/>
  <c r="Y32" i="5"/>
  <c r="E18" i="3"/>
  <c r="C19" i="3"/>
  <c r="N7" i="4"/>
  <c r="D412" i="1"/>
  <c r="J3" i="4"/>
  <c r="G4" i="4"/>
  <c r="D607" i="1"/>
  <c r="B703" i="1"/>
  <c r="K3" i="4"/>
  <c r="L9" i="4"/>
  <c r="Y68" i="5"/>
  <c r="Y83" i="5"/>
  <c r="C567" i="1"/>
  <c r="D568" i="1"/>
  <c r="D567" i="1" s="1"/>
  <c r="C646" i="1"/>
  <c r="D721" i="1"/>
  <c r="D760" i="1" s="1"/>
  <c r="D728" i="1"/>
  <c r="F22" i="2"/>
  <c r="J4" i="4"/>
  <c r="E537" i="1"/>
  <c r="H76" i="1" s="1"/>
  <c r="D681" i="1"/>
  <c r="E705" i="1"/>
  <c r="H21" i="3"/>
  <c r="C17" i="3"/>
  <c r="E643" i="1"/>
  <c r="E639" i="1"/>
  <c r="E635" i="1"/>
  <c r="E631" i="1"/>
  <c r="E627" i="1"/>
  <c r="E619" i="1"/>
  <c r="E604" i="1"/>
  <c r="E600" i="1"/>
  <c r="E623" i="1"/>
  <c r="E642" i="1"/>
  <c r="E673" i="1"/>
  <c r="E665" i="1"/>
  <c r="E664" i="1" s="1"/>
  <c r="E693" i="1"/>
  <c r="E689" i="1"/>
  <c r="E685" i="1"/>
  <c r="E669" i="1"/>
  <c r="E661" i="1"/>
  <c r="E657" i="1"/>
  <c r="E676" i="1"/>
  <c r="E672" i="1"/>
  <c r="E671" i="1" s="1"/>
  <c r="E700" i="1"/>
  <c r="E696" i="1"/>
  <c r="E702" i="1"/>
  <c r="E701" i="1" s="1"/>
  <c r="E698" i="1"/>
  <c r="S324" i="4"/>
  <c r="S329" i="4" s="1"/>
  <c r="S327" i="4"/>
  <c r="I23" i="9"/>
  <c r="Y39" i="5"/>
  <c r="T143" i="5"/>
  <c r="E21" i="3"/>
  <c r="Y58" i="5"/>
  <c r="C9" i="3"/>
  <c r="E305" i="1" s="1"/>
  <c r="C11" i="3"/>
  <c r="C14" i="3"/>
  <c r="P47" i="4"/>
  <c r="C15" i="3"/>
  <c r="D7" i="1" s="1"/>
  <c r="D708" i="1"/>
  <c r="M143" i="5"/>
  <c r="R143" i="5"/>
  <c r="A576" i="8"/>
  <c r="Y14" i="5"/>
  <c r="Y122" i="5"/>
  <c r="S328" i="4"/>
  <c r="A575" i="8"/>
  <c r="A597" i="8"/>
  <c r="Q3" i="4"/>
  <c r="P4" i="4"/>
  <c r="O5" i="4"/>
  <c r="O6" i="4"/>
  <c r="O7" i="4"/>
  <c r="O8" i="4"/>
  <c r="P9" i="4"/>
  <c r="Q10" i="4"/>
  <c r="F12" i="4"/>
  <c r="J13" i="4"/>
  <c r="M14" i="4"/>
  <c r="O15" i="4"/>
  <c r="F17" i="4"/>
  <c r="I18" i="4"/>
  <c r="K19" i="4"/>
  <c r="O20" i="4"/>
  <c r="G23" i="4"/>
  <c r="K24" i="4"/>
  <c r="N25" i="4"/>
  <c r="P26" i="4"/>
  <c r="G28" i="4"/>
  <c r="J29" i="4"/>
  <c r="L30" i="4"/>
  <c r="P31" i="4"/>
  <c r="F33" i="4"/>
  <c r="H34" i="4"/>
  <c r="L35" i="4"/>
  <c r="O36" i="4"/>
  <c r="Q37" i="4"/>
  <c r="H39" i="4"/>
  <c r="K40" i="4"/>
  <c r="M41" i="4"/>
  <c r="Q42" i="4"/>
  <c r="G44" i="4"/>
  <c r="I45" i="4"/>
  <c r="M46" i="4"/>
  <c r="Y57" i="5"/>
  <c r="Y82" i="5"/>
  <c r="J143" i="5"/>
  <c r="D578" i="8"/>
  <c r="A617" i="8"/>
  <c r="N41" i="4"/>
  <c r="F43" i="4"/>
  <c r="H44" i="4"/>
  <c r="J45" i="4"/>
  <c r="O46" i="4"/>
  <c r="Q47" i="4"/>
  <c r="L48" i="4"/>
  <c r="M47" i="4"/>
  <c r="N46" i="4"/>
  <c r="O45" i="4"/>
  <c r="P44" i="4"/>
  <c r="Q43" i="4"/>
  <c r="F42" i="4"/>
  <c r="E42" i="4" s="1"/>
  <c r="E70" i="1" s="1"/>
  <c r="G41" i="4"/>
  <c r="H40" i="4"/>
  <c r="I39" i="4"/>
  <c r="J38" i="4"/>
  <c r="K37" i="4"/>
  <c r="L36" i="4"/>
  <c r="M35" i="4"/>
  <c r="N34" i="4"/>
  <c r="O33" i="4"/>
  <c r="P32" i="4"/>
  <c r="Q31" i="4"/>
  <c r="F30" i="4"/>
  <c r="G29" i="4"/>
  <c r="H28" i="4"/>
  <c r="I27" i="4"/>
  <c r="J26" i="4"/>
  <c r="K25" i="4"/>
  <c r="L24" i="4"/>
  <c r="M23" i="4"/>
  <c r="N22" i="4"/>
  <c r="O21" i="4"/>
  <c r="P20" i="4"/>
  <c r="Q19" i="4"/>
  <c r="F18" i="4"/>
  <c r="G17" i="4"/>
  <c r="H16" i="4"/>
  <c r="I15" i="4"/>
  <c r="J14" i="4"/>
  <c r="K13" i="4"/>
  <c r="L12" i="4"/>
  <c r="M11" i="4"/>
  <c r="N10" i="4"/>
  <c r="O9" i="4"/>
  <c r="P8" i="4"/>
  <c r="Q7" i="4"/>
  <c r="F6" i="4"/>
  <c r="J48" i="4"/>
  <c r="K47" i="4"/>
  <c r="L46" i="4"/>
  <c r="M45" i="4"/>
  <c r="N44" i="4"/>
  <c r="O43" i="4"/>
  <c r="P42" i="4"/>
  <c r="Q41" i="4"/>
  <c r="F40" i="4"/>
  <c r="G39" i="4"/>
  <c r="H38" i="4"/>
  <c r="I37" i="4"/>
  <c r="J36" i="4"/>
  <c r="K35" i="4"/>
  <c r="L34" i="4"/>
  <c r="M33" i="4"/>
  <c r="N32" i="4"/>
  <c r="O31" i="4"/>
  <c r="P30" i="4"/>
  <c r="Q29" i="4"/>
  <c r="F28" i="4"/>
  <c r="G27" i="4"/>
  <c r="H26" i="4"/>
  <c r="I25" i="4"/>
  <c r="J24" i="4"/>
  <c r="K23" i="4"/>
  <c r="L22" i="4"/>
  <c r="M21" i="4"/>
  <c r="N20" i="4"/>
  <c r="O19" i="4"/>
  <c r="P18" i="4"/>
  <c r="Q17" i="4"/>
  <c r="F16" i="4"/>
  <c r="G15" i="4"/>
  <c r="H14" i="4"/>
  <c r="I13" i="4"/>
  <c r="J12" i="4"/>
  <c r="K11" i="4"/>
  <c r="I48" i="4"/>
  <c r="J47" i="4"/>
  <c r="K46" i="4"/>
  <c r="L45" i="4"/>
  <c r="M44" i="4"/>
  <c r="N43" i="4"/>
  <c r="O42" i="4"/>
  <c r="P41" i="4"/>
  <c r="Q40" i="4"/>
  <c r="F39" i="4"/>
  <c r="E39" i="4" s="1"/>
  <c r="E32" i="1" s="1"/>
  <c r="G38" i="4"/>
  <c r="H37" i="4"/>
  <c r="I36" i="4"/>
  <c r="J35" i="4"/>
  <c r="K34" i="4"/>
  <c r="L33" i="4"/>
  <c r="M32" i="4"/>
  <c r="N31" i="4"/>
  <c r="O30" i="4"/>
  <c r="P29" i="4"/>
  <c r="Q28" i="4"/>
  <c r="F27" i="4"/>
  <c r="E27" i="4" s="1"/>
  <c r="E57" i="1" s="1"/>
  <c r="G26" i="4"/>
  <c r="E26" i="4" s="1"/>
  <c r="E56" i="1" s="1"/>
  <c r="H25" i="4"/>
  <c r="I24" i="4"/>
  <c r="J23" i="4"/>
  <c r="K22" i="4"/>
  <c r="L21" i="4"/>
  <c r="M20" i="4"/>
  <c r="N19" i="4"/>
  <c r="O18" i="4"/>
  <c r="P17" i="4"/>
  <c r="Q16" i="4"/>
  <c r="F15" i="4"/>
  <c r="G14" i="4"/>
  <c r="H13" i="4"/>
  <c r="I12" i="4"/>
  <c r="J11" i="4"/>
  <c r="K10" i="4"/>
  <c r="W143" i="5"/>
  <c r="Y143" i="5" s="1"/>
  <c r="Y115" i="5"/>
  <c r="G16" i="4"/>
  <c r="J17" i="4"/>
  <c r="L18" i="4"/>
  <c r="P19" i="4"/>
  <c r="F21" i="4"/>
  <c r="H22" i="4"/>
  <c r="L23" i="4"/>
  <c r="O24" i="4"/>
  <c r="Q25" i="4"/>
  <c r="H27" i="4"/>
  <c r="K28" i="4"/>
  <c r="M29" i="4"/>
  <c r="Q30" i="4"/>
  <c r="I33" i="4"/>
  <c r="M34" i="4"/>
  <c r="P35" i="4"/>
  <c r="I38" i="4"/>
  <c r="L39" i="4"/>
  <c r="N40" i="4"/>
  <c r="H43" i="4"/>
  <c r="J44" i="4"/>
  <c r="N45" i="4"/>
  <c r="Q46" i="4"/>
  <c r="F48" i="4"/>
  <c r="Y100" i="5"/>
  <c r="Y130" i="5"/>
  <c r="I3" i="4"/>
  <c r="H4" i="4"/>
  <c r="G5" i="4"/>
  <c r="G6" i="4"/>
  <c r="G7" i="4"/>
  <c r="G8" i="4"/>
  <c r="G9" i="4"/>
  <c r="G10" i="4"/>
  <c r="H11" i="4"/>
  <c r="M12" i="4"/>
  <c r="O13" i="4"/>
  <c r="Q14" i="4"/>
  <c r="I16" i="4"/>
  <c r="K17" i="4"/>
  <c r="M18" i="4"/>
  <c r="G21" i="4"/>
  <c r="I22" i="4"/>
  <c r="N23" i="4"/>
  <c r="P24" i="4"/>
  <c r="J27" i="4"/>
  <c r="L28" i="4"/>
  <c r="N29" i="4"/>
  <c r="F31" i="4"/>
  <c r="H32" i="4"/>
  <c r="J33" i="4"/>
  <c r="O34" i="4"/>
  <c r="Q35" i="4"/>
  <c r="F37" i="4"/>
  <c r="K38" i="4"/>
  <c r="M39" i="4"/>
  <c r="O40" i="4"/>
  <c r="G42" i="4"/>
  <c r="I43" i="4"/>
  <c r="K44" i="4"/>
  <c r="P45" i="4"/>
  <c r="G48" i="4"/>
  <c r="Y44" i="5"/>
  <c r="Y107" i="5"/>
  <c r="Y137" i="5"/>
  <c r="H78" i="1" l="1"/>
  <c r="I78" i="1" s="1"/>
  <c r="C765" i="1"/>
  <c r="C8" i="1"/>
  <c r="C10" i="1"/>
  <c r="E43" i="4"/>
  <c r="E71" i="1" s="1"/>
  <c r="E5" i="4"/>
  <c r="E26" i="1" s="1"/>
  <c r="D195" i="1"/>
  <c r="P49" i="4"/>
  <c r="P50" i="4" s="1"/>
  <c r="E32" i="4"/>
  <c r="E62" i="1" s="1"/>
  <c r="E10" i="4"/>
  <c r="E37" i="1" s="1"/>
  <c r="C7" i="3"/>
  <c r="E248" i="1"/>
  <c r="E249" i="1" s="1"/>
  <c r="D221" i="1"/>
  <c r="D247" i="1" s="1"/>
  <c r="C3" i="3"/>
  <c r="E362" i="1"/>
  <c r="E363" i="1" s="1"/>
  <c r="D8" i="1"/>
  <c r="C69" i="1"/>
  <c r="D69" i="1" s="1"/>
  <c r="E21" i="4"/>
  <c r="E50" i="1" s="1"/>
  <c r="E69" i="1"/>
  <c r="C5" i="3"/>
  <c r="E419" i="1" s="1"/>
  <c r="E420" i="1" s="1"/>
  <c r="J3" i="3"/>
  <c r="J21" i="3" s="1"/>
  <c r="E11" i="4"/>
  <c r="E38" i="1" s="1"/>
  <c r="E35" i="4"/>
  <c r="E65" i="1" s="1"/>
  <c r="B766" i="1"/>
  <c r="D651" i="1"/>
  <c r="D703" i="1"/>
  <c r="C53" i="1"/>
  <c r="D53" i="1" s="1"/>
  <c r="E28" i="4"/>
  <c r="E58" i="1" s="1"/>
  <c r="D133" i="1"/>
  <c r="E31" i="4"/>
  <c r="E61" i="1" s="1"/>
  <c r="E697" i="1"/>
  <c r="C16" i="3"/>
  <c r="E590" i="1"/>
  <c r="E591" i="1" s="1"/>
  <c r="E34" i="4"/>
  <c r="E64" i="1" s="1"/>
  <c r="E41" i="4"/>
  <c r="E67" i="1" s="1"/>
  <c r="E13" i="4"/>
  <c r="E40" i="1" s="1"/>
  <c r="E46" i="4"/>
  <c r="E68" i="1" s="1"/>
  <c r="D43" i="1"/>
  <c r="B8" i="1"/>
  <c r="B10" i="1" s="1"/>
  <c r="E4" i="4"/>
  <c r="E25" i="1" s="1"/>
  <c r="J49" i="4"/>
  <c r="J50" i="4" s="1"/>
  <c r="E476" i="1"/>
  <c r="E477" i="1" s="1"/>
  <c r="D9" i="1"/>
  <c r="E45" i="4"/>
  <c r="E74" i="1" s="1"/>
  <c r="E73" i="1" s="1"/>
  <c r="E23" i="4"/>
  <c r="E52" i="1" s="1"/>
  <c r="E14" i="4"/>
  <c r="E41" i="1" s="1"/>
  <c r="E16" i="4"/>
  <c r="E44" i="1" s="1"/>
  <c r="H49" i="4"/>
  <c r="Q49" i="4"/>
  <c r="C36" i="1"/>
  <c r="D36" i="1" s="1"/>
  <c r="D37" i="1"/>
  <c r="C23" i="1"/>
  <c r="D23" i="1" s="1"/>
  <c r="D24" i="1"/>
  <c r="E19" i="4"/>
  <c r="E47" i="1" s="1"/>
  <c r="M49" i="4"/>
  <c r="E25" i="4"/>
  <c r="E55" i="1" s="1"/>
  <c r="D589" i="1"/>
  <c r="D537" i="1"/>
  <c r="E15" i="4"/>
  <c r="E42" i="1" s="1"/>
  <c r="E6" i="4"/>
  <c r="E27" i="1" s="1"/>
  <c r="I22" i="3"/>
  <c r="I49" i="4"/>
  <c r="D598" i="8"/>
  <c r="D617" i="8" s="1"/>
  <c r="D597" i="8"/>
  <c r="E647" i="1"/>
  <c r="C18" i="3"/>
  <c r="E17" i="4"/>
  <c r="E45" i="1" s="1"/>
  <c r="H22" i="3"/>
  <c r="C13" i="3"/>
  <c r="E533" i="1"/>
  <c r="E534" i="1" s="1"/>
  <c r="D6" i="1"/>
  <c r="E22" i="4"/>
  <c r="E51" i="1" s="1"/>
  <c r="C34" i="1"/>
  <c r="D34" i="1" s="1"/>
  <c r="D35" i="1"/>
  <c r="D361" i="1"/>
  <c r="E37" i="4"/>
  <c r="E30" i="1" s="1"/>
  <c r="E18" i="4"/>
  <c r="E46" i="1" s="1"/>
  <c r="F49" i="4"/>
  <c r="F50" i="4" s="1"/>
  <c r="E3" i="4"/>
  <c r="E44" i="4"/>
  <c r="E72" i="1" s="1"/>
  <c r="E48" i="4"/>
  <c r="C10" i="3"/>
  <c r="E134" i="1"/>
  <c r="E135" i="1" s="1"/>
  <c r="M22" i="3"/>
  <c r="E640" i="1"/>
  <c r="D168" i="1"/>
  <c r="D190" i="1" s="1"/>
  <c r="E9" i="4"/>
  <c r="E35" i="1" s="1"/>
  <c r="L49" i="4"/>
  <c r="L50" i="4" s="1"/>
  <c r="E30" i="4"/>
  <c r="E60" i="1" s="1"/>
  <c r="G49" i="4"/>
  <c r="G50" i="4" s="1"/>
  <c r="D418" i="1"/>
  <c r="D366" i="1"/>
  <c r="E40" i="4"/>
  <c r="E33" i="1" s="1"/>
  <c r="E36" i="4"/>
  <c r="E66" i="1" s="1"/>
  <c r="E33" i="4"/>
  <c r="E63" i="1" s="1"/>
  <c r="D646" i="1"/>
  <c r="K49" i="4"/>
  <c r="K50" i="4" s="1"/>
  <c r="E469" i="1"/>
  <c r="E47" i="4"/>
  <c r="O49" i="4"/>
  <c r="O50" i="4" s="1"/>
  <c r="E7" i="4"/>
  <c r="E28" i="1" s="1"/>
  <c r="E38" i="4"/>
  <c r="E31" i="1" s="1"/>
  <c r="E306" i="1"/>
  <c r="E648" i="1"/>
  <c r="E12" i="4"/>
  <c r="E39" i="1" s="1"/>
  <c r="E754" i="1"/>
  <c r="N49" i="4"/>
  <c r="E24" i="4"/>
  <c r="E54" i="1" s="1"/>
  <c r="E8" i="4"/>
  <c r="E29" i="1" s="1"/>
  <c r="C49" i="1"/>
  <c r="D49" i="1" s="1"/>
  <c r="I50" i="4" l="1"/>
  <c r="G22" i="3"/>
  <c r="D10" i="1"/>
  <c r="E10" i="1" s="1"/>
  <c r="H50" i="4"/>
  <c r="F22" i="3"/>
  <c r="E49" i="1"/>
  <c r="F69" i="1"/>
  <c r="Q50" i="4"/>
  <c r="O22" i="3"/>
  <c r="N22" i="3"/>
  <c r="E49" i="4"/>
  <c r="E50" i="4" s="1"/>
  <c r="E24" i="1"/>
  <c r="C21" i="3"/>
  <c r="E22" i="3"/>
  <c r="D22" i="3"/>
  <c r="M50" i="4"/>
  <c r="K22" i="3"/>
  <c r="E53" i="1"/>
  <c r="E34" i="1"/>
  <c r="J22" i="3"/>
  <c r="I76" i="1"/>
  <c r="E43" i="1"/>
  <c r="N50" i="4"/>
  <c r="L22" i="3"/>
  <c r="C75" i="1"/>
  <c r="D765" i="1"/>
  <c r="E36" i="1"/>
  <c r="I75" i="1"/>
  <c r="F34" i="1" l="1"/>
  <c r="C764" i="1"/>
  <c r="C766" i="1" s="1"/>
  <c r="D75" i="1"/>
  <c r="D764" i="1" s="1"/>
  <c r="D766" i="1" s="1"/>
  <c r="J53" i="1"/>
  <c r="F53" i="1"/>
  <c r="J49" i="1"/>
  <c r="J43" i="1"/>
  <c r="F43" i="1"/>
  <c r="F36" i="1"/>
  <c r="J36" i="1"/>
  <c r="E23" i="1"/>
  <c r="J24" i="1"/>
  <c r="E75" i="1"/>
  <c r="C22" i="3"/>
  <c r="E76" i="1"/>
  <c r="J23" i="1" l="1"/>
  <c r="F23" i="1"/>
  <c r="E764" i="1"/>
  <c r="E766" i="1" s="1"/>
  <c r="E77" i="1"/>
  <c r="F75" i="1"/>
  <c r="J59" i="1"/>
  <c r="J32" i="1"/>
  <c r="J56" i="1"/>
  <c r="J57" i="1"/>
  <c r="J48" i="1"/>
  <c r="J70" i="1"/>
  <c r="J33" i="1"/>
  <c r="J73" i="1"/>
  <c r="J65" i="1"/>
  <c r="J66" i="1"/>
  <c r="J41" i="1"/>
  <c r="J69" i="1"/>
  <c r="J55" i="1"/>
  <c r="J27" i="1"/>
  <c r="J63" i="1"/>
  <c r="J30" i="1"/>
  <c r="J72" i="1"/>
  <c r="J68" i="1"/>
  <c r="J47" i="1"/>
  <c r="J45" i="1"/>
  <c r="J37" i="1"/>
  <c r="J64" i="1"/>
  <c r="J62" i="1"/>
  <c r="J61" i="1"/>
  <c r="J46" i="1"/>
  <c r="J52" i="1"/>
  <c r="J28" i="1"/>
  <c r="J38" i="1"/>
  <c r="J54" i="1"/>
  <c r="J60" i="1"/>
  <c r="J51" i="1"/>
  <c r="J44" i="1"/>
  <c r="J58" i="1"/>
  <c r="J42" i="1"/>
  <c r="J29" i="1"/>
  <c r="J39" i="1"/>
  <c r="J67" i="1"/>
  <c r="J40" i="1"/>
  <c r="J35" i="1"/>
  <c r="J25" i="1"/>
  <c r="J50" i="1"/>
  <c r="J71" i="1"/>
  <c r="J31" i="1"/>
  <c r="J26" i="1"/>
  <c r="J34" i="1"/>
</calcChain>
</file>

<file path=xl/sharedStrings.xml><?xml version="1.0" encoding="utf-8"?>
<sst xmlns="http://schemas.openxmlformats.org/spreadsheetml/2006/main" count="2082" uniqueCount="215">
  <si>
    <t xml:space="preserve">DIGITAL PRODUCT SUMMARY SNAPSHOT  </t>
  </si>
  <si>
    <t>Digital Product</t>
  </si>
  <si>
    <t>Total 
CY-2026</t>
  </si>
  <si>
    <t>FTE</t>
  </si>
  <si>
    <t>Country</t>
  </si>
  <si>
    <t>EHA</t>
  </si>
  <si>
    <t>India, BD, INDO, US</t>
  </si>
  <si>
    <t>Group</t>
  </si>
  <si>
    <t>Parent account</t>
  </si>
  <si>
    <t>Budgets</t>
  </si>
  <si>
    <t>GL Description</t>
  </si>
  <si>
    <t>METRICS:</t>
  </si>
  <si>
    <t>Ledger Code</t>
  </si>
  <si>
    <t>Budget</t>
  </si>
  <si>
    <t>India</t>
  </si>
  <si>
    <t>Actual</t>
  </si>
  <si>
    <t>Country Product</t>
  </si>
  <si>
    <t>INDIA-Product Management</t>
  </si>
  <si>
    <t>High level points:</t>
  </si>
  <si>
    <t>Total # of employees</t>
  </si>
  <si>
    <t xml:space="preserve">Product Management </t>
  </si>
  <si>
    <t xml:space="preserve">INDIA-Platforms-Product Management </t>
  </si>
  <si>
    <r>
      <rPr>
        <b/>
        <sz val="10"/>
        <color rgb="FF000000"/>
        <rFont val="Poppins"/>
      </rPr>
      <t>* $ 153,359 EHA cost of Anubhav</t>
    </r>
    <r>
      <rPr>
        <sz val="10"/>
        <color rgb="FF000000"/>
        <rFont val="Poppins"/>
      </rPr>
      <t xml:space="preserve"> (fees $142,173, Travel reimb $11,186 , total $153,359) was in RMM in 2025 budget not in GLobal Digital Products. </t>
    </r>
  </si>
  <si>
    <t>Country Engineering</t>
  </si>
  <si>
    <t>INDO</t>
  </si>
  <si>
    <t>Total # of EHA</t>
  </si>
  <si>
    <t>INDO-Product Management</t>
  </si>
  <si>
    <r>
      <rPr>
        <sz val="10"/>
        <color rgb="FF000000"/>
        <rFont val="Poppins"/>
      </rPr>
      <t xml:space="preserve">*  </t>
    </r>
    <r>
      <rPr>
        <b/>
        <sz val="10"/>
        <color rgb="FF000000"/>
        <rFont val="Poppins"/>
      </rPr>
      <t>A total sum of $ 80,177.</t>
    </r>
    <r>
      <rPr>
        <sz val="10"/>
        <color rgb="FF000000"/>
        <rFont val="Poppins"/>
      </rPr>
      <t>$ 37,825 staff salary of Yashaswini Kumar and Sangeetha H M  and 2 EHA of $ 16,060 were in Mediacal, 5 EHAs of $26,292 were in Health Com not in Digital Product.</t>
    </r>
  </si>
  <si>
    <t>Digital Products</t>
  </si>
  <si>
    <t>INDO-Tech Ops</t>
  </si>
  <si>
    <t>BD</t>
  </si>
  <si>
    <t>BD-Product Management</t>
  </si>
  <si>
    <r>
      <rPr>
        <b/>
        <sz val="10"/>
        <color rgb="FF000000"/>
        <rFont val="Poppins"/>
      </rPr>
      <t>* Total FTE staff increase =22</t>
    </r>
    <r>
      <rPr>
        <sz val="10"/>
        <color rgb="FF000000"/>
        <rFont val="Poppins"/>
      </rPr>
      <t xml:space="preserve">. In India&gt; 8, Bangaldesh &gt; 6 , Indonesia&gt; 7 and Nepal &gt;1. </t>
    </r>
  </si>
  <si>
    <t>Product Management (YosAid)</t>
  </si>
  <si>
    <t>Global Product</t>
  </si>
  <si>
    <t>Digital product</t>
  </si>
  <si>
    <t>BD-Tech Ops</t>
  </si>
  <si>
    <t>Salaries and Wages</t>
  </si>
  <si>
    <t>91101-91107</t>
  </si>
  <si>
    <t>INDIA-Platforms-Platforms-Engineering/Software Development</t>
  </si>
  <si>
    <r>
      <rPr>
        <sz val="10"/>
        <color rgb="FF000000"/>
        <rFont val="Poppins"/>
      </rPr>
      <t xml:space="preserve">* </t>
    </r>
    <r>
      <rPr>
        <b/>
        <sz val="10"/>
        <color rgb="FF000000"/>
        <rFont val="Poppins"/>
      </rPr>
      <t>Total EHA Increase = 6.</t>
    </r>
    <r>
      <rPr>
        <sz val="10"/>
        <color rgb="FF000000"/>
        <rFont val="Poppins"/>
      </rPr>
      <t xml:space="preserve"> In India&gt; 2, Bangaldesh &gt; (-4) , Indonesia&gt; 5 and Nepal&gt; 3. </t>
    </r>
  </si>
  <si>
    <t>Global Engineering</t>
  </si>
  <si>
    <t>Nepal</t>
  </si>
  <si>
    <r>
      <rPr>
        <sz val="10"/>
        <color rgb="FF000000"/>
        <rFont val="Poppins"/>
      </rPr>
      <t xml:space="preserve">* </t>
    </r>
    <r>
      <rPr>
        <b/>
        <sz val="10"/>
        <color rgb="FF000000"/>
        <rFont val="Poppins"/>
      </rPr>
      <t>Software &amp; subscription budget is maintained in US</t>
    </r>
    <r>
      <rPr>
        <sz val="10"/>
        <color rgb="FF000000"/>
        <rFont val="Poppins"/>
      </rPr>
      <t xml:space="preserve"> because of regulatory restriction in payment from India, INDO and BD</t>
    </r>
  </si>
  <si>
    <t>US</t>
  </si>
  <si>
    <t>Shared Program-Platform</t>
  </si>
  <si>
    <r>
      <rPr>
        <sz val="10"/>
        <color rgb="FF000000"/>
        <rFont val="Poppins"/>
      </rPr>
      <t>*</t>
    </r>
    <r>
      <rPr>
        <b/>
        <sz val="10"/>
        <color rgb="FF000000"/>
        <rFont val="Poppins"/>
      </rPr>
      <t xml:space="preserve">Turn.io pricing increase not included post April 1st, 2026 </t>
    </r>
    <r>
      <rPr>
        <sz val="10"/>
        <color rgb="FF000000"/>
        <rFont val="Poppins"/>
      </rPr>
      <t>- could be as high as $1.2M.</t>
    </r>
  </si>
  <si>
    <t>Increase</t>
  </si>
  <si>
    <r>
      <rPr>
        <sz val="10"/>
        <color rgb="FF000000"/>
        <rFont val="Poppins"/>
      </rPr>
      <t xml:space="preserve">* All new hires budget in India, INDO, BD and Nepal is </t>
    </r>
    <r>
      <rPr>
        <b/>
        <sz val="10"/>
        <color rgb="FF000000"/>
        <rFont val="Poppins"/>
      </rPr>
      <t>from</t>
    </r>
    <r>
      <rPr>
        <sz val="10"/>
        <color rgb="FF000000"/>
        <rFont val="Poppins"/>
      </rPr>
      <t xml:space="preserve"> </t>
    </r>
    <r>
      <rPr>
        <b/>
        <sz val="10"/>
        <color rgb="FF000000"/>
        <rFont val="Poppins"/>
      </rPr>
      <t>April 2026.</t>
    </r>
  </si>
  <si>
    <t>Total Annual Budget</t>
  </si>
  <si>
    <t>* 2025 Budget /Actual of Shared Platform Engineering / Software is reported under Engineering. In 2026, its budget /staff is moved to Global Digital Product.</t>
  </si>
  <si>
    <t xml:space="preserve">* Last year, out of 14 staff in Global Digital product , 8 staff joined over the year. Full 12 months salary is budgted in 2026 </t>
  </si>
  <si>
    <t># of People</t>
  </si>
  <si>
    <t>2025 (Actual)</t>
  </si>
  <si>
    <t>FTEs</t>
  </si>
  <si>
    <t>Contractors</t>
  </si>
  <si>
    <t>TOTAL</t>
  </si>
  <si>
    <t>Shared Engineering+Product</t>
  </si>
  <si>
    <t>India Engineering</t>
  </si>
  <si>
    <t>India Product Ops (All MSE's)</t>
  </si>
  <si>
    <t>Indonesia</t>
  </si>
  <si>
    <t>Indo Product</t>
  </si>
  <si>
    <t>Indo Product Ops</t>
  </si>
  <si>
    <t>Indo Engineering</t>
  </si>
  <si>
    <t>Bangladesh</t>
  </si>
  <si>
    <t>BD Product</t>
  </si>
  <si>
    <t>BD Product Ops</t>
  </si>
  <si>
    <t>BD Engineering</t>
  </si>
  <si>
    <t>Engineering</t>
  </si>
  <si>
    <t>Analytical Review</t>
  </si>
  <si>
    <t>Utilisation</t>
  </si>
  <si>
    <t>Variance</t>
  </si>
  <si>
    <t>Gratuity &amp; Bonus</t>
  </si>
  <si>
    <t>Staff Insurance</t>
  </si>
  <si>
    <t>Internal meetings</t>
  </si>
  <si>
    <t>Health and Retirement Benefits</t>
  </si>
  <si>
    <t>91201-91207</t>
  </si>
  <si>
    <t>Staff Training, Learning &amp; Development Exp</t>
  </si>
  <si>
    <t>Recruitment Expenses</t>
  </si>
  <si>
    <t>Birthday expenses</t>
  </si>
  <si>
    <t>Staff Relocation costs</t>
  </si>
  <si>
    <t xml:space="preserve"> Global Product </t>
  </si>
  <si>
    <t>ATR Expenses</t>
  </si>
  <si>
    <t>Staff Insurance (Employee Medical Insurance)</t>
  </si>
  <si>
    <t>Resource Persons</t>
  </si>
  <si>
    <t>Program Resource Consultant (EHA)</t>
  </si>
  <si>
    <t>Travel &amp; Lodging Expenses</t>
  </si>
  <si>
    <t>cut to 2025 levels</t>
  </si>
  <si>
    <t>Hotel Accomodation</t>
  </si>
  <si>
    <t>Food Expenses</t>
  </si>
  <si>
    <t>Air fare</t>
  </si>
  <si>
    <t>Cab/Auto</t>
  </si>
  <si>
    <t>Bus/Train</t>
  </si>
  <si>
    <t>Other incidental travel costs</t>
  </si>
  <si>
    <t>Supplies &amp; Printing Costs</t>
  </si>
  <si>
    <t>Other Direct Expenses</t>
  </si>
  <si>
    <t>Prototyping expenses (SAMPLING)</t>
  </si>
  <si>
    <t>Other Direct Costs - Film</t>
  </si>
  <si>
    <t>RES (Exotel Expensess)</t>
  </si>
  <si>
    <t>Printing expenses</t>
  </si>
  <si>
    <t>Communication Cost</t>
  </si>
  <si>
    <t>Internet Expenses</t>
  </si>
  <si>
    <t>Check</t>
  </si>
  <si>
    <t>Postage &amp; Courier Expenses</t>
  </si>
  <si>
    <t>Telecommunication expenses</t>
  </si>
  <si>
    <t>Office Expenses</t>
  </si>
  <si>
    <t>INR</t>
  </si>
  <si>
    <t>IDR</t>
  </si>
  <si>
    <t>BDT</t>
  </si>
  <si>
    <t>NPR</t>
  </si>
  <si>
    <t>Software and Subscriptions</t>
  </si>
  <si>
    <t>Gas, Water, Electricity</t>
  </si>
  <si>
    <t>Books &amp; Periodicals</t>
  </si>
  <si>
    <t>Stationery &amp; Consumables</t>
  </si>
  <si>
    <t>Office Equipment Expense</t>
  </si>
  <si>
    <t>Repair &amp; Maintenance</t>
  </si>
  <si>
    <t>Other Staff Expenses</t>
  </si>
  <si>
    <t>Insurance (other than staff insurance)</t>
  </si>
  <si>
    <t>Office Rent</t>
  </si>
  <si>
    <t>Office Security Service</t>
  </si>
  <si>
    <t>Vehicle Fuel &amp; Maintenance</t>
  </si>
  <si>
    <t>Bank charges</t>
  </si>
  <si>
    <t>Pantry Consumbles</t>
  </si>
  <si>
    <t xml:space="preserve">House Keeping Consumables </t>
  </si>
  <si>
    <t>Leasehold Improvements (Ground floor)</t>
  </si>
  <si>
    <t>Noora U Session</t>
  </si>
  <si>
    <t>Professional &amp; Consultancy Charges</t>
  </si>
  <si>
    <t xml:space="preserve">$55,172 for Security &amp; Compliance Consultant (Ankit) and Design Consultant (Divya/others). $27,586 each </t>
  </si>
  <si>
    <t>Audit Fees &amp; Expenses</t>
  </si>
  <si>
    <t>Legal Expenses</t>
  </si>
  <si>
    <t>Entity</t>
  </si>
  <si>
    <t>Department</t>
  </si>
  <si>
    <t>Sub-Department</t>
  </si>
  <si>
    <t>Sub group</t>
  </si>
  <si>
    <t>Admin Consultants</t>
  </si>
  <si>
    <t>Fixed Assets</t>
  </si>
  <si>
    <t>Total 
I-2026</t>
  </si>
  <si>
    <t>RCT</t>
  </si>
  <si>
    <t>Laptop/ Printer</t>
  </si>
  <si>
    <t>Product, Design, Medical</t>
  </si>
  <si>
    <t>Contact Center Ops</t>
  </si>
  <si>
    <t xml:space="preserve">BD-Digital Product- Country Product </t>
  </si>
  <si>
    <t xml:space="preserve">Actual </t>
  </si>
  <si>
    <t>Jan to Nov 2025</t>
  </si>
  <si>
    <t>House Keeping Consumables</t>
  </si>
  <si>
    <t>BD-Digital Product-Engineering</t>
  </si>
  <si>
    <t>Sl. No.</t>
  </si>
  <si>
    <t>Sub Department</t>
  </si>
  <si>
    <t>Consultant</t>
  </si>
  <si>
    <t>Salary</t>
  </si>
  <si>
    <t>Name</t>
  </si>
  <si>
    <t>Designation</t>
  </si>
  <si>
    <t>Banding</t>
  </si>
  <si>
    <t>Level</t>
  </si>
  <si>
    <t xml:space="preserve">
Date of Joining</t>
  </si>
  <si>
    <t>Current
Annual CTC</t>
  </si>
  <si>
    <t>Current Per Month CTC (INR)</t>
  </si>
  <si>
    <t>New CTC p.m</t>
  </si>
  <si>
    <t>Date of Increment</t>
  </si>
  <si>
    <t>%
of Increment</t>
  </si>
  <si>
    <t>Incremental
value</t>
  </si>
  <si>
    <t>Total 
CY-2025</t>
  </si>
  <si>
    <t>INDO-Digital Product-Country Product</t>
  </si>
  <si>
    <t xml:space="preserve">India </t>
  </si>
  <si>
    <t>Yosaid</t>
  </si>
  <si>
    <t>Payroll Cost</t>
  </si>
  <si>
    <t>This line is added to make adjustment for two YosAid staff, laid off. Their salary for nine months is adjusted.</t>
  </si>
  <si>
    <t>INDO-Digital Product-Engineering</t>
  </si>
  <si>
    <t xml:space="preserve">Total expenses </t>
  </si>
  <si>
    <t>INDIA-Digital Product-Product Management</t>
  </si>
  <si>
    <t>HR Strength</t>
  </si>
  <si>
    <t>Full Time Employee/Consultant</t>
  </si>
  <si>
    <t>India-Digital Product-Country Product</t>
  </si>
  <si>
    <t>India-Digital Product-Engineering</t>
  </si>
  <si>
    <t>INDIA-Digital Product-Global Product</t>
  </si>
  <si>
    <t>Nepal-Digital Product-Engineering</t>
  </si>
  <si>
    <t>US-Digital Product-Country Product</t>
  </si>
  <si>
    <t>US-Digital Product-Engineering</t>
  </si>
  <si>
    <t>Shared Program</t>
  </si>
  <si>
    <t>Health Systems &amp; Global Health Strategy</t>
  </si>
  <si>
    <t>Full Time Employee</t>
  </si>
  <si>
    <t>Learning &amp; Sharing</t>
  </si>
  <si>
    <t>Data &amp; Reporting</t>
  </si>
  <si>
    <t>Training</t>
  </si>
  <si>
    <t>PDD-Content</t>
  </si>
  <si>
    <t>PDD-Design</t>
  </si>
  <si>
    <t>PDD-Film</t>
  </si>
  <si>
    <t>Program Delivery-Implementation</t>
  </si>
  <si>
    <t xml:space="preserve">Platforms - Product Management </t>
  </si>
  <si>
    <t>Platforms-Engineering/Software Development</t>
  </si>
  <si>
    <t>Roadmap Management</t>
  </si>
  <si>
    <t>External Relations</t>
  </si>
  <si>
    <t>Labs</t>
  </si>
  <si>
    <t>Evaluation</t>
  </si>
  <si>
    <t>Communication &amp; Branding</t>
  </si>
  <si>
    <t>Fundraising</t>
  </si>
  <si>
    <t>Shared Services</t>
  </si>
  <si>
    <t>People &amp; Culture</t>
  </si>
  <si>
    <t>Finance</t>
  </si>
  <si>
    <t>Expansion</t>
  </si>
  <si>
    <t>Administration</t>
  </si>
  <si>
    <t>staff at the end of 2024</t>
  </si>
  <si>
    <t>Staff at the end of 2025</t>
  </si>
  <si>
    <t>INDIA-Digital Product-Global Engineering</t>
  </si>
  <si>
    <t>501c3</t>
  </si>
  <si>
    <t>Design &amp; Medical and Product</t>
  </si>
  <si>
    <t>Direct Consultants</t>
  </si>
  <si>
    <t>Direct Cost</t>
  </si>
  <si>
    <t>Indirect Cost</t>
  </si>
  <si>
    <t xml:space="preserve"> Design &amp; Medical and Product </t>
  </si>
  <si>
    <t>Other Staff expenses</t>
  </si>
  <si>
    <t xml:space="preserve">Staff welfare </t>
  </si>
  <si>
    <t>Total</t>
  </si>
  <si>
    <r>
      <rPr>
        <b/>
        <sz val="10"/>
        <color theme="1"/>
        <rFont val="Arial"/>
      </rPr>
      <t>Total-</t>
    </r>
    <r>
      <rPr>
        <b/>
        <sz val="10"/>
        <color rgb="FFFF0000"/>
        <rFont val="Arial"/>
      </rPr>
      <t>US$</t>
    </r>
    <r>
      <rPr>
        <b/>
        <sz val="10"/>
        <color theme="1"/>
        <rFont val="Arial"/>
      </rPr>
      <t xml:space="preserve">
CY-2026</t>
    </r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</si>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</sst>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mmm\-d"/>
    <numFmt numFmtId="165" formatCode="mmm&quot;-&quot;yyyy"/>
    <numFmt numFmtId="166" formatCode="_(* #,##0_);_(* \(#,##0\);_(* &quot;-&quot;??_);_(@_)"/>
    <numFmt numFmtId="167" formatCode="&quot;$&quot;#,##0"/>
    <numFmt numFmtId="168" formatCode="mmm\ yyyy"/>
    <numFmt numFmtId="169" formatCode="d&quot;-&quot;mmm&quot;-&quot;yyyy"/>
    <numFmt numFmtId="170" formatCode="mmmm\ yyyy"/>
    <numFmt numFmtId="171" formatCode="d\-mmm\-yyyy"/>
    <numFmt numFmtId="172" formatCode="d\ mmm\ yyyy"/>
    <numFmt numFmtId="173" formatCode="d\ mmmm\ yyyy"/>
    <numFmt numFmtId="174" formatCode="d\-mmmm\-yyyy"/>
    <numFmt numFmtId="175" formatCode="mmmm\ d\ yyyy"/>
    <numFmt numFmtId="176" formatCode="m/d/yyyy"/>
    <numFmt numFmtId="177" formatCode="m/d/yy"/>
    <numFmt numFmtId="178" formatCode="mmm\ d"/>
    <numFmt numFmtId="179" formatCode="mm/dd/yyyy"/>
    <numFmt numFmtId="180" formatCode="mmmm\ d"/>
  </numFmts>
  <fonts count="23" x14ac:knownFonts="1">
    <font>
      <sz val="10"/>
      <color rgb="FF000000"/>
      <name val="Arial"/>
      <scheme val="minor"/>
    </font>
    <font>
      <b/>
      <sz val="10"/>
      <color theme="1"/>
      <name val="Poppins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0000"/>
      <name val="Poppins"/>
    </font>
    <font>
      <b/>
      <sz val="10"/>
      <color theme="1"/>
      <name val="Arial"/>
      <scheme val="minor"/>
    </font>
    <font>
      <sz val="10"/>
      <color theme="1"/>
      <name val="Poppins"/>
    </font>
    <font>
      <sz val="10"/>
      <color rgb="FF000000"/>
      <name val="Arial"/>
      <scheme val="minor"/>
    </font>
    <font>
      <b/>
      <sz val="10"/>
      <color rgb="FF000000"/>
      <name val="Poppins"/>
    </font>
    <font>
      <sz val="10"/>
      <color rgb="FF000000"/>
      <name val="Poppins"/>
    </font>
    <font>
      <sz val="10"/>
      <color rgb="FF000000"/>
      <name val="Arial"/>
    </font>
    <font>
      <sz val="10"/>
      <color rgb="FFFF0000"/>
      <name val="Arial"/>
      <scheme val="minor"/>
    </font>
    <font>
      <sz val="10"/>
      <name val="Arial"/>
    </font>
    <font>
      <b/>
      <sz val="10"/>
      <color rgb="FFFF0000"/>
      <name val="Arial"/>
    </font>
    <font>
      <b/>
      <sz val="10"/>
      <color rgb="FFFF0000"/>
      <name val="Arial"/>
      <scheme val="minor"/>
    </font>
    <font>
      <b/>
      <sz val="10"/>
      <color rgb="FF000000"/>
      <name val="Arial"/>
    </font>
    <font>
      <sz val="10"/>
      <color rgb="FFFF0000"/>
      <name val="Poppins"/>
    </font>
    <font>
      <sz val="10"/>
      <color theme="1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FF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DEEAF6"/>
        <bgColor rgb="FFDEEAF6"/>
      </patternFill>
    </fill>
    <fill>
      <patternFill patternType="solid">
        <fgColor rgb="FF000000"/>
        <bgColor rgb="FF0000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0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3" fillId="2" borderId="2" xfId="0" applyFont="1" applyFill="1" applyBorder="1"/>
    <xf numFmtId="0" fontId="4" fillId="0" borderId="1" xfId="0" applyFont="1" applyBorder="1"/>
    <xf numFmtId="0" fontId="3" fillId="2" borderId="3" xfId="0" applyFont="1" applyFill="1" applyBorder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top"/>
    </xf>
    <xf numFmtId="166" fontId="1" fillId="3" borderId="0" xfId="0" applyNumberFormat="1" applyFont="1" applyFill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3" fillId="3" borderId="5" xfId="0" applyFont="1" applyFill="1" applyBorder="1"/>
    <xf numFmtId="4" fontId="3" fillId="0" borderId="0" xfId="0" applyNumberFormat="1" applyFont="1"/>
    <xf numFmtId="0" fontId="1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1" fillId="2" borderId="2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166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4" fillId="3" borderId="0" xfId="0" applyFont="1" applyFill="1"/>
    <xf numFmtId="166" fontId="1" fillId="2" borderId="1" xfId="0" applyNumberFormat="1" applyFont="1" applyFill="1" applyBorder="1" applyAlignment="1">
      <alignment horizontal="center" vertical="top"/>
    </xf>
    <xf numFmtId="0" fontId="1" fillId="0" borderId="2" xfId="0" applyFont="1" applyBorder="1"/>
    <xf numFmtId="166" fontId="3" fillId="3" borderId="6" xfId="0" applyNumberFormat="1" applyFont="1" applyFill="1" applyBorder="1"/>
    <xf numFmtId="0" fontId="1" fillId="3" borderId="2" xfId="0" applyFont="1" applyFill="1" applyBorder="1"/>
    <xf numFmtId="0" fontId="2" fillId="4" borderId="1" xfId="0" applyFont="1" applyFill="1" applyBorder="1" applyAlignment="1">
      <alignment vertical="center"/>
    </xf>
    <xf numFmtId="0" fontId="6" fillId="0" borderId="0" xfId="0" applyFont="1"/>
    <xf numFmtId="0" fontId="4" fillId="2" borderId="1" xfId="0" applyFont="1" applyFill="1" applyBorder="1"/>
    <xf numFmtId="0" fontId="7" fillId="0" borderId="1" xfId="0" applyFont="1" applyBorder="1"/>
    <xf numFmtId="166" fontId="7" fillId="3" borderId="4" xfId="0" applyNumberFormat="1" applyFont="1" applyFill="1" applyBorder="1"/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8" fillId="2" borderId="1" xfId="0" applyFont="1" applyFill="1" applyBorder="1"/>
    <xf numFmtId="0" fontId="3" fillId="3" borderId="7" xfId="0" applyFont="1" applyFill="1" applyBorder="1" applyAlignment="1">
      <alignment vertical="center"/>
    </xf>
    <xf numFmtId="167" fontId="1" fillId="3" borderId="3" xfId="0" applyNumberFormat="1" applyFont="1" applyFill="1" applyBorder="1" applyAlignment="1">
      <alignment horizontal="right"/>
    </xf>
    <xf numFmtId="164" fontId="9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10" fillId="3" borderId="0" xfId="0" applyFont="1" applyFill="1"/>
    <xf numFmtId="0" fontId="3" fillId="0" borderId="1" xfId="0" applyFont="1" applyBorder="1" applyAlignment="1">
      <alignment vertical="center"/>
    </xf>
    <xf numFmtId="0" fontId="1" fillId="0" borderId="1" xfId="0" applyFont="1" applyBorder="1"/>
    <xf numFmtId="166" fontId="7" fillId="3" borderId="3" xfId="0" applyNumberFormat="1" applyFont="1" applyFill="1" applyBorder="1"/>
    <xf numFmtId="0" fontId="2" fillId="4" borderId="1" xfId="0" applyFont="1" applyFill="1" applyBorder="1"/>
    <xf numFmtId="0" fontId="10" fillId="3" borderId="0" xfId="0" applyFont="1" applyFill="1" applyAlignment="1">
      <alignment horizontal="left"/>
    </xf>
    <xf numFmtId="0" fontId="1" fillId="5" borderId="2" xfId="0" applyFont="1" applyFill="1" applyBorder="1" applyAlignment="1">
      <alignment vertical="center"/>
    </xf>
    <xf numFmtId="166" fontId="3" fillId="3" borderId="7" xfId="0" applyNumberFormat="1" applyFont="1" applyFill="1" applyBorder="1"/>
    <xf numFmtId="167" fontId="3" fillId="0" borderId="0" xfId="0" applyNumberFormat="1" applyFont="1"/>
    <xf numFmtId="167" fontId="1" fillId="5" borderId="1" xfId="0" applyNumberFormat="1" applyFont="1" applyFill="1" applyBorder="1" applyAlignment="1">
      <alignment horizontal="right" vertical="center"/>
    </xf>
    <xf numFmtId="166" fontId="9" fillId="3" borderId="0" xfId="0" applyNumberFormat="1" applyFont="1" applyFill="1" applyAlignment="1">
      <alignment horizontal="center"/>
    </xf>
    <xf numFmtId="0" fontId="7" fillId="3" borderId="2" xfId="0" applyFont="1" applyFill="1" applyBorder="1"/>
    <xf numFmtId="166" fontId="3" fillId="3" borderId="0" xfId="0" applyNumberFormat="1" applyFont="1" applyFill="1"/>
    <xf numFmtId="0" fontId="7" fillId="3" borderId="3" xfId="0" applyFont="1" applyFill="1" applyBorder="1" applyAlignment="1">
      <alignment vertical="center"/>
    </xf>
    <xf numFmtId="0" fontId="3" fillId="3" borderId="4" xfId="0" applyFont="1" applyFill="1" applyBorder="1"/>
    <xf numFmtId="167" fontId="7" fillId="0" borderId="1" xfId="0" applyNumberFormat="1" applyFont="1" applyBorder="1" applyAlignment="1">
      <alignment horizontal="right"/>
    </xf>
    <xf numFmtId="0" fontId="7" fillId="3" borderId="4" xfId="0" applyFont="1" applyFill="1" applyBorder="1"/>
    <xf numFmtId="167" fontId="7" fillId="3" borderId="3" xfId="0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/>
    </xf>
    <xf numFmtId="167" fontId="1" fillId="3" borderId="0" xfId="0" applyNumberFormat="1" applyFont="1" applyFill="1" applyAlignment="1">
      <alignment horizontal="center" vertical="top"/>
    </xf>
    <xf numFmtId="3" fontId="7" fillId="3" borderId="4" xfId="0" applyNumberFormat="1" applyFont="1" applyFill="1" applyBorder="1" applyAlignment="1">
      <alignment horizontal="right"/>
    </xf>
    <xf numFmtId="167" fontId="7" fillId="0" borderId="2" xfId="0" applyNumberFormat="1" applyFont="1" applyBorder="1" applyAlignment="1">
      <alignment horizontal="right"/>
    </xf>
    <xf numFmtId="0" fontId="3" fillId="3" borderId="1" xfId="0" applyFont="1" applyFill="1" applyBorder="1"/>
    <xf numFmtId="167" fontId="11" fillId="3" borderId="1" xfId="0" applyNumberFormat="1" applyFont="1" applyFill="1" applyBorder="1"/>
    <xf numFmtId="167" fontId="3" fillId="3" borderId="0" xfId="0" applyNumberFormat="1" applyFont="1" applyFill="1"/>
    <xf numFmtId="4" fontId="3" fillId="3" borderId="0" xfId="0" applyNumberFormat="1" applyFont="1" applyFill="1"/>
    <xf numFmtId="0" fontId="2" fillId="3" borderId="1" xfId="0" applyFont="1" applyFill="1" applyBorder="1"/>
    <xf numFmtId="0" fontId="4" fillId="0" borderId="0" xfId="0" applyFont="1"/>
    <xf numFmtId="0" fontId="6" fillId="0" borderId="0" xfId="0" applyFont="1" applyAlignment="1">
      <alignment horizontal="center"/>
    </xf>
    <xf numFmtId="3" fontId="7" fillId="0" borderId="4" xfId="0" applyNumberFormat="1" applyFont="1" applyBorder="1" applyAlignment="1">
      <alignment horizontal="right"/>
    </xf>
    <xf numFmtId="10" fontId="3" fillId="3" borderId="0" xfId="0" applyNumberFormat="1" applyFont="1" applyFill="1"/>
    <xf numFmtId="0" fontId="1" fillId="5" borderId="1" xfId="0" applyFont="1" applyFill="1" applyBorder="1" applyAlignment="1">
      <alignment vertical="center"/>
    </xf>
    <xf numFmtId="167" fontId="2" fillId="5" borderId="1" xfId="0" applyNumberFormat="1" applyFont="1" applyFill="1" applyBorder="1" applyAlignment="1">
      <alignment vertical="center"/>
    </xf>
    <xf numFmtId="9" fontId="3" fillId="3" borderId="0" xfId="0" applyNumberFormat="1" applyFont="1" applyFill="1"/>
    <xf numFmtId="0" fontId="9" fillId="0" borderId="0" xfId="0" applyFont="1"/>
    <xf numFmtId="0" fontId="5" fillId="3" borderId="0" xfId="0" applyFont="1" applyFill="1"/>
    <xf numFmtId="0" fontId="1" fillId="3" borderId="0" xfId="0" applyFont="1" applyFill="1" applyAlignment="1">
      <alignment vertical="center"/>
    </xf>
    <xf numFmtId="167" fontId="1" fillId="6" borderId="1" xfId="0" applyNumberFormat="1" applyFont="1" applyFill="1" applyBorder="1" applyAlignment="1">
      <alignment horizontal="center"/>
    </xf>
    <xf numFmtId="0" fontId="12" fillId="0" borderId="1" xfId="0" applyFont="1" applyBorder="1"/>
    <xf numFmtId="0" fontId="3" fillId="0" borderId="1" xfId="0" applyFont="1" applyBorder="1"/>
    <xf numFmtId="167" fontId="1" fillId="0" borderId="1" xfId="0" applyNumberFormat="1" applyFont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1" fillId="0" borderId="4" xfId="0" applyFont="1" applyBorder="1"/>
    <xf numFmtId="0" fontId="2" fillId="0" borderId="2" xfId="0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vertical="center"/>
    </xf>
    <xf numFmtId="3" fontId="2" fillId="7" borderId="1" xfId="0" applyNumberFormat="1" applyFont="1" applyFill="1" applyBorder="1" applyAlignment="1">
      <alignment horizontal="center"/>
    </xf>
    <xf numFmtId="0" fontId="2" fillId="0" borderId="10" xfId="0" applyFont="1" applyBorder="1"/>
    <xf numFmtId="3" fontId="2" fillId="0" borderId="11" xfId="0" applyNumberFormat="1" applyFont="1" applyBorder="1" applyAlignment="1">
      <alignment horizontal="right"/>
    </xf>
    <xf numFmtId="9" fontId="14" fillId="2" borderId="11" xfId="0" applyNumberFormat="1" applyFont="1" applyFill="1" applyBorder="1" applyAlignment="1">
      <alignment horizontal="right"/>
    </xf>
    <xf numFmtId="9" fontId="3" fillId="0" borderId="0" xfId="0" applyNumberFormat="1" applyFont="1"/>
    <xf numFmtId="10" fontId="3" fillId="0" borderId="0" xfId="0" applyNumberFormat="1" applyFont="1"/>
    <xf numFmtId="0" fontId="3" fillId="0" borderId="0" xfId="0" applyFont="1"/>
    <xf numFmtId="0" fontId="7" fillId="0" borderId="9" xfId="0" applyFont="1" applyBorder="1"/>
    <xf numFmtId="3" fontId="3" fillId="0" borderId="2" xfId="0" applyNumberFormat="1" applyFont="1" applyBorder="1"/>
    <xf numFmtId="3" fontId="2" fillId="2" borderId="12" xfId="0" applyNumberFormat="1" applyFont="1" applyFill="1" applyBorder="1" applyAlignment="1">
      <alignment horizontal="right"/>
    </xf>
    <xf numFmtId="9" fontId="4" fillId="0" borderId="0" xfId="0" applyNumberFormat="1" applyFont="1"/>
    <xf numFmtId="0" fontId="7" fillId="0" borderId="13" xfId="0" applyFont="1" applyBorder="1"/>
    <xf numFmtId="3" fontId="10" fillId="3" borderId="0" xfId="0" applyNumberFormat="1" applyFont="1" applyFill="1" applyAlignment="1">
      <alignment horizontal="right"/>
    </xf>
    <xf numFmtId="3" fontId="3" fillId="3" borderId="0" xfId="0" applyNumberFormat="1" applyFont="1" applyFill="1"/>
    <xf numFmtId="0" fontId="3" fillId="3" borderId="3" xfId="0" applyFont="1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3" fontId="7" fillId="3" borderId="3" xfId="0" applyNumberFormat="1" applyFont="1" applyFill="1" applyBorder="1" applyAlignment="1">
      <alignment horizontal="right"/>
    </xf>
    <xf numFmtId="0" fontId="2" fillId="0" borderId="14" xfId="0" applyFont="1" applyBorder="1"/>
    <xf numFmtId="9" fontId="2" fillId="2" borderId="12" xfId="0" applyNumberFormat="1" applyFont="1" applyFill="1" applyBorder="1" applyAlignment="1">
      <alignment horizontal="right"/>
    </xf>
    <xf numFmtId="9" fontId="14" fillId="2" borderId="12" xfId="0" applyNumberFormat="1" applyFont="1" applyFill="1" applyBorder="1" applyAlignment="1">
      <alignment horizontal="right"/>
    </xf>
    <xf numFmtId="0" fontId="12" fillId="0" borderId="0" xfId="0" applyFont="1"/>
    <xf numFmtId="0" fontId="2" fillId="3" borderId="3" xfId="0" applyFont="1" applyFill="1" applyBorder="1"/>
    <xf numFmtId="0" fontId="3" fillId="6" borderId="3" xfId="0" applyFont="1" applyFill="1" applyBorder="1"/>
    <xf numFmtId="0" fontId="1" fillId="6" borderId="3" xfId="0" applyFont="1" applyFill="1" applyBorder="1"/>
    <xf numFmtId="167" fontId="1" fillId="6" borderId="3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15" fillId="9" borderId="0" xfId="0" applyFont="1" applyFill="1"/>
    <xf numFmtId="167" fontId="4" fillId="9" borderId="0" xfId="0" applyNumberFormat="1" applyFont="1" applyFill="1"/>
    <xf numFmtId="0" fontId="3" fillId="0" borderId="13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3" xfId="0" applyFont="1" applyBorder="1"/>
    <xf numFmtId="0" fontId="3" fillId="2" borderId="15" xfId="0" applyFont="1" applyFill="1" applyBorder="1"/>
    <xf numFmtId="0" fontId="3" fillId="2" borderId="13" xfId="0" applyFont="1" applyFill="1" applyBorder="1"/>
    <xf numFmtId="10" fontId="2" fillId="2" borderId="12" xfId="0" applyNumberFormat="1" applyFont="1" applyFill="1" applyBorder="1" applyAlignment="1">
      <alignment horizontal="right"/>
    </xf>
    <xf numFmtId="17" fontId="1" fillId="2" borderId="1" xfId="0" applyNumberFormat="1" applyFont="1" applyFill="1" applyBorder="1" applyAlignment="1">
      <alignment horizontal="center"/>
    </xf>
    <xf numFmtId="0" fontId="3" fillId="0" borderId="16" xfId="0" applyFont="1" applyBorder="1"/>
    <xf numFmtId="3" fontId="2" fillId="8" borderId="11" xfId="0" applyNumberFormat="1" applyFont="1" applyFill="1" applyBorder="1" applyAlignment="1">
      <alignment horizontal="right"/>
    </xf>
    <xf numFmtId="0" fontId="11" fillId="4" borderId="1" xfId="0" applyFont="1" applyFill="1" applyBorder="1"/>
    <xf numFmtId="0" fontId="3" fillId="11" borderId="1" xfId="0" applyFont="1" applyFill="1" applyBorder="1"/>
    <xf numFmtId="9" fontId="14" fillId="8" borderId="12" xfId="0" applyNumberFormat="1" applyFont="1" applyFill="1" applyBorder="1" applyAlignment="1">
      <alignment horizontal="right"/>
    </xf>
    <xf numFmtId="3" fontId="3" fillId="0" borderId="1" xfId="0" applyNumberFormat="1" applyFont="1" applyBorder="1"/>
    <xf numFmtId="166" fontId="3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3" fontId="4" fillId="0" borderId="0" xfId="0" applyNumberFormat="1" applyFont="1"/>
    <xf numFmtId="166" fontId="3" fillId="3" borderId="1" xfId="0" applyNumberFormat="1" applyFont="1" applyFill="1" applyBorder="1"/>
    <xf numFmtId="10" fontId="4" fillId="0" borderId="0" xfId="0" applyNumberFormat="1" applyFont="1"/>
    <xf numFmtId="3" fontId="3" fillId="0" borderId="0" xfId="0" applyNumberFormat="1" applyFont="1"/>
    <xf numFmtId="3" fontId="2" fillId="0" borderId="0" xfId="0" applyNumberFormat="1" applyFont="1" applyAlignment="1">
      <alignment horizontal="right"/>
    </xf>
    <xf numFmtId="166" fontId="4" fillId="0" borderId="0" xfId="0" applyNumberFormat="1" applyFont="1"/>
    <xf numFmtId="0" fontId="11" fillId="0" borderId="1" xfId="0" applyFont="1" applyBorder="1"/>
    <xf numFmtId="167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/>
    </xf>
    <xf numFmtId="3" fontId="6" fillId="0" borderId="0" xfId="0" applyNumberFormat="1" applyFont="1"/>
    <xf numFmtId="0" fontId="2" fillId="4" borderId="17" xfId="0" applyFont="1" applyFill="1" applyBorder="1"/>
    <xf numFmtId="4" fontId="2" fillId="7" borderId="18" xfId="0" applyNumberFormat="1" applyFont="1" applyFill="1" applyBorder="1" applyAlignment="1">
      <alignment horizontal="center"/>
    </xf>
    <xf numFmtId="0" fontId="2" fillId="8" borderId="19" xfId="0" applyFont="1" applyFill="1" applyBorder="1"/>
    <xf numFmtId="4" fontId="2" fillId="7" borderId="1" xfId="0" applyNumberFormat="1" applyFont="1" applyFill="1" applyBorder="1" applyAlignment="1">
      <alignment horizontal="center"/>
    </xf>
    <xf numFmtId="168" fontId="2" fillId="7" borderId="1" xfId="0" applyNumberFormat="1" applyFont="1" applyFill="1" applyBorder="1" applyAlignment="1">
      <alignment horizontal="center"/>
    </xf>
    <xf numFmtId="0" fontId="2" fillId="0" borderId="11" xfId="0" applyFont="1" applyBorder="1"/>
    <xf numFmtId="1" fontId="3" fillId="0" borderId="0" xfId="0" applyNumberFormat="1" applyFont="1"/>
    <xf numFmtId="4" fontId="2" fillId="0" borderId="11" xfId="0" applyNumberFormat="1" applyFont="1" applyBorder="1" applyAlignment="1">
      <alignment horizontal="right"/>
    </xf>
    <xf numFmtId="0" fontId="7" fillId="0" borderId="4" xfId="0" applyFont="1" applyBorder="1"/>
    <xf numFmtId="4" fontId="3" fillId="2" borderId="2" xfId="0" applyNumberFormat="1" applyFont="1" applyFill="1" applyBorder="1"/>
    <xf numFmtId="3" fontId="3" fillId="2" borderId="2" xfId="0" applyNumberFormat="1" applyFont="1" applyFill="1" applyBorder="1"/>
    <xf numFmtId="0" fontId="7" fillId="0" borderId="3" xfId="0" applyFont="1" applyBorder="1"/>
    <xf numFmtId="0" fontId="2" fillId="0" borderId="12" xfId="0" applyFont="1" applyBorder="1"/>
    <xf numFmtId="166" fontId="3" fillId="0" borderId="1" xfId="0" applyNumberFormat="1" applyFont="1" applyBorder="1" applyAlignment="1">
      <alignment horizontal="right"/>
    </xf>
    <xf numFmtId="3" fontId="2" fillId="0" borderId="12" xfId="0" applyNumberFormat="1" applyFont="1" applyBorder="1" applyAlignment="1">
      <alignment horizontal="right"/>
    </xf>
    <xf numFmtId="4" fontId="2" fillId="0" borderId="12" xfId="0" applyNumberFormat="1" applyFont="1" applyBorder="1" applyAlignment="1">
      <alignment horizontal="right"/>
    </xf>
    <xf numFmtId="0" fontId="2" fillId="12" borderId="0" xfId="0" applyFont="1" applyFill="1"/>
    <xf numFmtId="166" fontId="2" fillId="12" borderId="0" xfId="0" applyNumberFormat="1" applyFont="1" applyFill="1"/>
    <xf numFmtId="3" fontId="3" fillId="0" borderId="20" xfId="0" applyNumberFormat="1" applyFont="1" applyBorder="1"/>
    <xf numFmtId="3" fontId="2" fillId="8" borderId="21" xfId="0" applyNumberFormat="1" applyFont="1" applyFill="1" applyBorder="1" applyAlignment="1">
      <alignment horizontal="right"/>
    </xf>
    <xf numFmtId="167" fontId="2" fillId="8" borderId="21" xfId="0" applyNumberFormat="1" applyFont="1" applyFill="1" applyBorder="1" applyAlignment="1">
      <alignment horizontal="right"/>
    </xf>
    <xf numFmtId="4" fontId="2" fillId="8" borderId="21" xfId="0" applyNumberFormat="1" applyFont="1" applyFill="1" applyBorder="1" applyAlignment="1">
      <alignment horizontal="right"/>
    </xf>
    <xf numFmtId="3" fontId="16" fillId="0" borderId="11" xfId="0" applyNumberFormat="1" applyFont="1" applyBorder="1" applyAlignment="1">
      <alignment horizontal="right"/>
    </xf>
    <xf numFmtId="3" fontId="16" fillId="0" borderId="12" xfId="0" applyNumberFormat="1" applyFont="1" applyBorder="1" applyAlignment="1">
      <alignment horizontal="right"/>
    </xf>
    <xf numFmtId="0" fontId="3" fillId="2" borderId="6" xfId="0" applyFont="1" applyFill="1" applyBorder="1"/>
    <xf numFmtId="0" fontId="1" fillId="2" borderId="4" xfId="0" applyFont="1" applyFill="1" applyBorder="1" applyAlignment="1">
      <alignment horizontal="center" wrapText="1"/>
    </xf>
    <xf numFmtId="164" fontId="1" fillId="2" borderId="4" xfId="0" applyNumberFormat="1" applyFont="1" applyFill="1" applyBorder="1" applyAlignment="1">
      <alignment horizontal="center" wrapText="1"/>
    </xf>
    <xf numFmtId="169" fontId="1" fillId="2" borderId="4" xfId="0" applyNumberFormat="1" applyFont="1" applyFill="1" applyBorder="1" applyAlignment="1">
      <alignment horizont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/>
    <xf numFmtId="3" fontId="3" fillId="13" borderId="1" xfId="0" applyNumberFormat="1" applyFont="1" applyFill="1" applyBorder="1"/>
    <xf numFmtId="3" fontId="3" fillId="13" borderId="0" xfId="0" applyNumberFormat="1" applyFont="1" applyFill="1"/>
    <xf numFmtId="0" fontId="3" fillId="13" borderId="0" xfId="0" applyFont="1" applyFill="1"/>
    <xf numFmtId="0" fontId="3" fillId="14" borderId="1" xfId="0" applyFont="1" applyFill="1" applyBorder="1"/>
    <xf numFmtId="170" fontId="3" fillId="0" borderId="1" xfId="0" applyNumberFormat="1" applyFont="1" applyBorder="1"/>
    <xf numFmtId="9" fontId="3" fillId="0" borderId="1" xfId="0" applyNumberFormat="1" applyFont="1" applyBorder="1"/>
    <xf numFmtId="3" fontId="4" fillId="0" borderId="1" xfId="0" applyNumberFormat="1" applyFont="1" applyBorder="1"/>
    <xf numFmtId="3" fontId="17" fillId="0" borderId="1" xfId="0" applyNumberFormat="1" applyFont="1" applyBorder="1" applyAlignment="1">
      <alignment horizontal="right"/>
    </xf>
    <xf numFmtId="3" fontId="17" fillId="3" borderId="1" xfId="0" applyNumberFormat="1" applyFont="1" applyFill="1" applyBorder="1" applyAlignment="1">
      <alignment horizontal="right"/>
    </xf>
    <xf numFmtId="0" fontId="4" fillId="4" borderId="0" xfId="0" applyFont="1" applyFill="1"/>
    <xf numFmtId="166" fontId="6" fillId="4" borderId="0" xfId="0" applyNumberFormat="1" applyFont="1" applyFill="1"/>
    <xf numFmtId="166" fontId="4" fillId="4" borderId="0" xfId="0" applyNumberFormat="1" applyFont="1" applyFill="1"/>
    <xf numFmtId="0" fontId="2" fillId="4" borderId="17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0" fontId="1" fillId="15" borderId="6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64" fontId="1" fillId="2" borderId="8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/>
    <xf numFmtId="2" fontId="18" fillId="3" borderId="1" xfId="0" applyNumberFormat="1" applyFont="1" applyFill="1" applyBorder="1"/>
    <xf numFmtId="2" fontId="18" fillId="0" borderId="0" xfId="0" applyNumberFormat="1" applyFont="1"/>
    <xf numFmtId="3" fontId="3" fillId="3" borderId="1" xfId="0" applyNumberFormat="1" applyFont="1" applyFill="1" applyBorder="1"/>
    <xf numFmtId="168" fontId="3" fillId="0" borderId="1" xfId="0" applyNumberFormat="1" applyFont="1" applyBorder="1"/>
    <xf numFmtId="10" fontId="3" fillId="0" borderId="1" xfId="0" applyNumberFormat="1" applyFont="1" applyBorder="1"/>
    <xf numFmtId="3" fontId="11" fillId="3" borderId="1" xfId="0" applyNumberFormat="1" applyFont="1" applyFill="1" applyBorder="1"/>
    <xf numFmtId="3" fontId="3" fillId="0" borderId="8" xfId="0" applyNumberFormat="1" applyFont="1" applyBorder="1"/>
    <xf numFmtId="2" fontId="19" fillId="3" borderId="1" xfId="0" applyNumberFormat="1" applyFont="1" applyFill="1" applyBorder="1"/>
    <xf numFmtId="0" fontId="3" fillId="0" borderId="8" xfId="0" applyFont="1" applyBorder="1"/>
    <xf numFmtId="4" fontId="3" fillId="3" borderId="1" xfId="0" applyNumberFormat="1" applyFont="1" applyFill="1" applyBorder="1"/>
    <xf numFmtId="0" fontId="2" fillId="16" borderId="1" xfId="0" applyFont="1" applyFill="1" applyBorder="1"/>
    <xf numFmtId="4" fontId="2" fillId="3" borderId="11" xfId="0" applyNumberFormat="1" applyFont="1" applyFill="1" applyBorder="1" applyAlignment="1">
      <alignment horizontal="right"/>
    </xf>
    <xf numFmtId="3" fontId="2" fillId="16" borderId="1" xfId="0" applyNumberFormat="1" applyFont="1" applyFill="1" applyBorder="1"/>
    <xf numFmtId="3" fontId="2" fillId="3" borderId="11" xfId="0" applyNumberFormat="1" applyFont="1" applyFill="1" applyBorder="1" applyAlignment="1">
      <alignment horizontal="right"/>
    </xf>
    <xf numFmtId="3" fontId="2" fillId="16" borderId="8" xfId="0" applyNumberFormat="1" applyFont="1" applyFill="1" applyBorder="1"/>
    <xf numFmtId="0" fontId="2" fillId="0" borderId="0" xfId="0" applyFont="1"/>
    <xf numFmtId="2" fontId="18" fillId="3" borderId="22" xfId="0" applyNumberFormat="1" applyFont="1" applyFill="1" applyBorder="1"/>
    <xf numFmtId="4" fontId="2" fillId="3" borderId="23" xfId="0" applyNumberFormat="1" applyFont="1" applyFill="1" applyBorder="1" applyAlignment="1">
      <alignment horizontal="right"/>
    </xf>
    <xf numFmtId="3" fontId="2" fillId="3" borderId="23" xfId="0" applyNumberFormat="1" applyFont="1" applyFill="1" applyBorder="1" applyAlignment="1">
      <alignment horizontal="right"/>
    </xf>
    <xf numFmtId="4" fontId="2" fillId="3" borderId="24" xfId="0" applyNumberFormat="1" applyFont="1" applyFill="1" applyBorder="1" applyAlignment="1">
      <alignment horizontal="right"/>
    </xf>
    <xf numFmtId="3" fontId="2" fillId="3" borderId="24" xfId="0" applyNumberFormat="1" applyFont="1" applyFill="1" applyBorder="1" applyAlignment="1">
      <alignment horizontal="right"/>
    </xf>
    <xf numFmtId="0" fontId="3" fillId="0" borderId="2" xfId="0" applyFont="1" applyBorder="1"/>
    <xf numFmtId="0" fontId="3" fillId="0" borderId="20" xfId="0" applyFont="1" applyBorder="1"/>
    <xf numFmtId="169" fontId="3" fillId="0" borderId="1" xfId="0" applyNumberFormat="1" applyFont="1" applyBorder="1"/>
    <xf numFmtId="0" fontId="3" fillId="14" borderId="0" xfId="0" applyFont="1" applyFill="1"/>
    <xf numFmtId="4" fontId="3" fillId="3" borderId="2" xfId="0" applyNumberFormat="1" applyFont="1" applyFill="1" applyBorder="1"/>
    <xf numFmtId="3" fontId="3" fillId="3" borderId="2" xfId="0" applyNumberFormat="1" applyFont="1" applyFill="1" applyBorder="1"/>
    <xf numFmtId="0" fontId="11" fillId="3" borderId="1" xfId="0" applyFont="1" applyFill="1" applyBorder="1"/>
    <xf numFmtId="4" fontId="2" fillId="3" borderId="12" xfId="0" applyNumberFormat="1" applyFont="1" applyFill="1" applyBorder="1" applyAlignment="1">
      <alignment horizontal="right"/>
    </xf>
    <xf numFmtId="3" fontId="2" fillId="3" borderId="12" xfId="0" applyNumberFormat="1" applyFont="1" applyFill="1" applyBorder="1" applyAlignment="1">
      <alignment horizontal="right"/>
    </xf>
    <xf numFmtId="3" fontId="3" fillId="14" borderId="1" xfId="0" applyNumberFormat="1" applyFont="1" applyFill="1" applyBorder="1"/>
    <xf numFmtId="1" fontId="3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2" fontId="18" fillId="0" borderId="1" xfId="0" applyNumberFormat="1" applyFont="1" applyBorder="1"/>
    <xf numFmtId="1" fontId="3" fillId="3" borderId="1" xfId="0" applyNumberFormat="1" applyFont="1" applyFill="1" applyBorder="1"/>
    <xf numFmtId="2" fontId="18" fillId="17" borderId="1" xfId="0" applyNumberFormat="1" applyFont="1" applyFill="1" applyBorder="1"/>
    <xf numFmtId="171" fontId="3" fillId="0" borderId="1" xfId="0" applyNumberFormat="1" applyFont="1" applyBorder="1"/>
    <xf numFmtId="172" fontId="3" fillId="0" borderId="1" xfId="0" applyNumberFormat="1" applyFont="1" applyBorder="1"/>
    <xf numFmtId="173" fontId="3" fillId="0" borderId="1" xfId="0" applyNumberFormat="1" applyFont="1" applyBorder="1"/>
    <xf numFmtId="3" fontId="2" fillId="0" borderId="21" xfId="0" applyNumberFormat="1" applyFont="1" applyBorder="1" applyAlignment="1">
      <alignment horizontal="right"/>
    </xf>
    <xf numFmtId="4" fontId="2" fillId="0" borderId="24" xfId="0" applyNumberFormat="1" applyFont="1" applyBorder="1" applyAlignment="1">
      <alignment horizontal="right"/>
    </xf>
    <xf numFmtId="174" fontId="3" fillId="0" borderId="1" xfId="0" applyNumberFormat="1" applyFont="1" applyBorder="1"/>
    <xf numFmtId="175" fontId="3" fillId="0" borderId="1" xfId="0" applyNumberFormat="1" applyFont="1" applyBorder="1"/>
    <xf numFmtId="1" fontId="3" fillId="0" borderId="8" xfId="0" applyNumberFormat="1" applyFont="1" applyBorder="1"/>
    <xf numFmtId="176" fontId="3" fillId="0" borderId="1" xfId="0" applyNumberFormat="1" applyFont="1" applyBorder="1"/>
    <xf numFmtId="177" fontId="3" fillId="0" borderId="1" xfId="0" applyNumberFormat="1" applyFont="1" applyBorder="1"/>
    <xf numFmtId="178" fontId="3" fillId="0" borderId="1" xfId="0" applyNumberFormat="1" applyFont="1" applyBorder="1"/>
    <xf numFmtId="49" fontId="3" fillId="0" borderId="1" xfId="0" applyNumberFormat="1" applyFont="1" applyBorder="1"/>
    <xf numFmtId="179" fontId="3" fillId="0" borderId="1" xfId="0" applyNumberFormat="1" applyFont="1" applyBorder="1"/>
    <xf numFmtId="180" fontId="3" fillId="0" borderId="1" xfId="0" applyNumberFormat="1" applyFont="1" applyBorder="1"/>
    <xf numFmtId="0" fontId="20" fillId="18" borderId="0" xfId="0" applyFont="1" applyFill="1"/>
    <xf numFmtId="0" fontId="21" fillId="18" borderId="0" xfId="0" applyFont="1" applyFill="1"/>
    <xf numFmtId="0" fontId="20" fillId="18" borderId="0" xfId="0" applyFont="1" applyFill="1" applyAlignment="1">
      <alignment horizontal="center"/>
    </xf>
    <xf numFmtId="3" fontId="20" fillId="18" borderId="0" xfId="0" applyNumberFormat="1" applyFont="1" applyFill="1"/>
    <xf numFmtId="0" fontId="22" fillId="0" borderId="0" xfId="0" applyFont="1"/>
    <xf numFmtId="3" fontId="22" fillId="0" borderId="0" xfId="0" applyNumberFormat="1" applyFont="1"/>
    <xf numFmtId="3" fontId="2" fillId="0" borderId="0" xfId="0" applyNumberFormat="1" applyFont="1"/>
    <xf numFmtId="0" fontId="14" fillId="18" borderId="0" xfId="0" applyFont="1" applyFill="1" applyAlignment="1">
      <alignment vertical="center"/>
    </xf>
    <xf numFmtId="0" fontId="22" fillId="18" borderId="0" xfId="0" applyFont="1" applyFill="1"/>
    <xf numFmtId="0" fontId="3" fillId="0" borderId="0" xfId="0" applyFont="1" applyAlignment="1">
      <alignment horizontal="center"/>
    </xf>
    <xf numFmtId="0" fontId="3" fillId="18" borderId="0" xfId="0" applyFont="1" applyFill="1"/>
    <xf numFmtId="49" fontId="4" fillId="0" borderId="1" xfId="0" applyNumberFormat="1" applyFont="1" applyBorder="1"/>
    <xf numFmtId="166" fontId="4" fillId="0" borderId="1" xfId="0" applyNumberFormat="1" applyFont="1" applyBorder="1"/>
    <xf numFmtId="3" fontId="3" fillId="13" borderId="8" xfId="0" applyNumberFormat="1" applyFont="1" applyFill="1" applyBorder="1"/>
    <xf numFmtId="166" fontId="2" fillId="12" borderId="1" xfId="0" applyNumberFormat="1" applyFont="1" applyFill="1" applyBorder="1"/>
    <xf numFmtId="3" fontId="2" fillId="4" borderId="0" xfId="0" applyNumberFormat="1" applyFont="1" applyFill="1"/>
    <xf numFmtId="0" fontId="15" fillId="0" borderId="0" xfId="0" applyFont="1" applyAlignment="1">
      <alignment horizontal="center"/>
    </xf>
    <xf numFmtId="3" fontId="3" fillId="4" borderId="0" xfId="0" applyNumberFormat="1" applyFont="1" applyFill="1"/>
    <xf numFmtId="0" fontId="3" fillId="0" borderId="6" xfId="0" applyFont="1" applyBorder="1" applyAlignment="1">
      <alignment vertical="center"/>
    </xf>
    <xf numFmtId="0" fontId="3" fillId="0" borderId="6" xfId="0" applyFont="1" applyBorder="1"/>
    <xf numFmtId="0" fontId="3" fillId="3" borderId="3" xfId="0" applyFont="1" applyFill="1" applyBorder="1" applyAlignment="1">
      <alignment horizontal="center"/>
    </xf>
    <xf numFmtId="0" fontId="3" fillId="12" borderId="0" xfId="0" applyFont="1" applyFill="1"/>
    <xf numFmtId="0" fontId="1" fillId="12" borderId="0" xfId="0" applyFont="1" applyFill="1"/>
    <xf numFmtId="3" fontId="1" fillId="12" borderId="0" xfId="0" applyNumberFormat="1" applyFont="1" applyFill="1" applyAlignment="1">
      <alignment horizontal="right"/>
    </xf>
    <xf numFmtId="3" fontId="9" fillId="3" borderId="0" xfId="0" applyNumberFormat="1" applyFont="1" applyFill="1" applyAlignment="1">
      <alignment horizontal="right"/>
    </xf>
    <xf numFmtId="0" fontId="4" fillId="9" borderId="0" xfId="0" applyFont="1" applyFill="1"/>
    <xf numFmtId="167" fontId="3" fillId="9" borderId="0" xfId="0" applyNumberFormat="1" applyFont="1" applyFill="1"/>
    <xf numFmtId="0" fontId="11" fillId="3" borderId="0" xfId="0" applyFont="1" applyFill="1"/>
    <xf numFmtId="0" fontId="3" fillId="0" borderId="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6" fontId="3" fillId="0" borderId="8" xfId="0" applyNumberFormat="1" applyFont="1" applyBorder="1"/>
    <xf numFmtId="0" fontId="11" fillId="3" borderId="0" xfId="0" applyFont="1" applyFill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3" fontId="11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" fontId="3" fillId="3" borderId="1" xfId="0" applyNumberFormat="1" applyFont="1" applyFill="1" applyBorder="1" applyAlignment="1">
      <alignment horizontal="center"/>
    </xf>
    <xf numFmtId="1" fontId="3" fillId="3" borderId="0" xfId="0" applyNumberFormat="1" applyFont="1" applyFill="1" applyAlignment="1">
      <alignment horizontal="center"/>
    </xf>
    <xf numFmtId="3" fontId="16" fillId="3" borderId="0" xfId="0" applyNumberFormat="1" applyFont="1" applyFill="1" applyAlignment="1">
      <alignment horizontal="right" vertical="center"/>
    </xf>
    <xf numFmtId="0" fontId="3" fillId="9" borderId="0" xfId="0" applyFont="1" applyFill="1"/>
    <xf numFmtId="1" fontId="3" fillId="9" borderId="0" xfId="0" applyNumberFormat="1" applyFont="1" applyFill="1" applyAlignment="1">
      <alignment horizontal="center"/>
    </xf>
    <xf numFmtId="166" fontId="3" fillId="9" borderId="0" xfId="0" applyNumberFormat="1" applyFont="1" applyFill="1"/>
    <xf numFmtId="0" fontId="3" fillId="0" borderId="0" xfId="0" applyFont="1" applyAlignment="1">
      <alignment horizontal="center" vertical="center"/>
    </xf>
    <xf numFmtId="167" fontId="16" fillId="9" borderId="0" xfId="0" applyNumberFormat="1" applyFont="1" applyFill="1" applyAlignment="1">
      <alignment horizontal="right" vertical="center"/>
    </xf>
    <xf numFmtId="1" fontId="3" fillId="0" borderId="0" xfId="0" applyNumberFormat="1" applyFont="1" applyAlignment="1">
      <alignment horizontal="center"/>
    </xf>
    <xf numFmtId="166" fontId="3" fillId="0" borderId="0" xfId="0" applyNumberFormat="1" applyFont="1"/>
    <xf numFmtId="0" fontId="11" fillId="9" borderId="0" xfId="0" applyFont="1" applyFill="1"/>
    <xf numFmtId="0" fontId="22" fillId="9" borderId="0" xfId="0" applyFont="1" applyFill="1"/>
    <xf numFmtId="0" fontId="2" fillId="6" borderId="8" xfId="0" applyFont="1" applyFill="1" applyBorder="1" applyAlignment="1">
      <alignment horizontal="center"/>
    </xf>
    <xf numFmtId="0" fontId="13" fillId="0" borderId="9" xfId="0" applyFont="1" applyBorder="1"/>
    <xf numFmtId="0" fontId="1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780"/>
  <sheetViews>
    <sheetView topLeftCell="A18" workbookViewId="0">
      <selection activeCell="A53" sqref="A53"/>
    </sheetView>
  </sheetViews>
  <sheetFormatPr defaultColWidth="12.6328125" defaultRowHeight="15" customHeight="1" outlineLevelRow="1" x14ac:dyDescent="0.25"/>
  <cols>
    <col min="1" max="1" width="45.90625" customWidth="1"/>
    <col min="2" max="2" width="13" customWidth="1"/>
    <col min="3" max="8" width="12.6328125" customWidth="1"/>
    <col min="10" max="10" width="13.36328125" customWidth="1"/>
    <col min="11" max="11" width="13.90625" customWidth="1"/>
  </cols>
  <sheetData>
    <row r="1" spans="1:31" ht="15.75" customHeight="1" x14ac:dyDescent="0.25">
      <c r="A1" s="2" t="s">
        <v>0</v>
      </c>
      <c r="B1" s="6">
        <v>2025</v>
      </c>
      <c r="C1" s="6">
        <v>2025</v>
      </c>
      <c r="D1" s="6">
        <v>2026</v>
      </c>
      <c r="E1" s="9"/>
      <c r="F1" s="10"/>
      <c r="G1" s="9"/>
      <c r="H1" s="9"/>
      <c r="J1" s="13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 ht="15.75" customHeight="1" x14ac:dyDescent="0.3">
      <c r="A2" s="2" t="s">
        <v>11</v>
      </c>
      <c r="B2" s="25" t="s">
        <v>13</v>
      </c>
      <c r="C2" s="25" t="s">
        <v>15</v>
      </c>
      <c r="D2" s="25" t="s">
        <v>13</v>
      </c>
      <c r="E2" s="10"/>
      <c r="F2" s="30" t="s">
        <v>18</v>
      </c>
      <c r="G2" s="10"/>
      <c r="J2" s="13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15.75" customHeight="1" x14ac:dyDescent="0.85">
      <c r="A3" s="33" t="s">
        <v>19</v>
      </c>
      <c r="B3" s="35"/>
      <c r="C3" s="35">
        <f>B18</f>
        <v>2</v>
      </c>
      <c r="D3" s="35">
        <f>E18</f>
        <v>4</v>
      </c>
      <c r="E3" s="41"/>
      <c r="F3" s="42" t="s">
        <v>22</v>
      </c>
      <c r="G3" s="41"/>
      <c r="J3" s="1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ht="15.75" customHeight="1" x14ac:dyDescent="0.85">
      <c r="A4" s="45" t="s">
        <v>25</v>
      </c>
      <c r="B4" s="35"/>
      <c r="C4" s="35">
        <f>C18</f>
        <v>1</v>
      </c>
      <c r="D4" s="35">
        <f>F18</f>
        <v>0</v>
      </c>
      <c r="E4" s="41"/>
      <c r="F4" s="47" t="s">
        <v>27</v>
      </c>
      <c r="G4" s="41"/>
      <c r="J4" s="13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ht="15.75" customHeight="1" x14ac:dyDescent="0.85">
      <c r="A5" s="48" t="s">
        <v>28</v>
      </c>
      <c r="B5" s="51"/>
      <c r="C5" s="51"/>
      <c r="D5" s="51"/>
      <c r="E5" s="10"/>
      <c r="F5" s="47" t="s">
        <v>32</v>
      </c>
      <c r="G5" s="41"/>
      <c r="J5" s="13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ht="15.75" customHeight="1" x14ac:dyDescent="0.85">
      <c r="A6" s="32" t="s">
        <v>34</v>
      </c>
      <c r="B6" s="57">
        <f t="shared" ref="B6:C6" si="0">B532</f>
        <v>0</v>
      </c>
      <c r="C6" s="57">
        <f t="shared" si="0"/>
        <v>0</v>
      </c>
      <c r="D6" s="57">
        <f ca="1">'Shared Summary by Dept_US$'!C14</f>
        <v>326653.48754789215</v>
      </c>
      <c r="E6" s="61"/>
      <c r="F6" s="47" t="s">
        <v>40</v>
      </c>
      <c r="G6" s="41"/>
      <c r="J6" s="13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ht="15.75" customHeight="1" x14ac:dyDescent="0.85">
      <c r="A7" s="32" t="s">
        <v>41</v>
      </c>
      <c r="B7" s="65"/>
      <c r="C7" s="65"/>
      <c r="D7" s="57">
        <f ca="1">'Shared Summary by Dept_US$'!C15</f>
        <v>570322.04980842862</v>
      </c>
      <c r="E7" s="66"/>
      <c r="F7" s="42" t="s">
        <v>43</v>
      </c>
      <c r="G7" s="41"/>
      <c r="H7" s="24"/>
      <c r="I7" s="24"/>
      <c r="J7" s="67"/>
      <c r="K7" s="24"/>
      <c r="L7" s="24"/>
      <c r="M7" s="24"/>
      <c r="N7" s="24"/>
      <c r="O7" s="24"/>
      <c r="P7" s="24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ht="15.75" customHeight="1" x14ac:dyDescent="0.85">
      <c r="A8" s="32" t="s">
        <v>16</v>
      </c>
      <c r="B8" s="65">
        <f t="shared" ref="B8:C8" si="1">B133+B247+B361+B418+B589+B646</f>
        <v>1125183</v>
      </c>
      <c r="C8" s="65">
        <f t="shared" si="1"/>
        <v>935056.4099666673</v>
      </c>
      <c r="D8" s="65">
        <f ca="1">'Shared Summary by Dept_US$'!C4+'Shared Summary by Dept_US$'!C5+'Shared Summary by Dept_US$'!C8+'Shared Summary by Dept_US$'!C11+'Shared Summary by Dept_US$'!C19</f>
        <v>895016.68952466443</v>
      </c>
      <c r="E8" s="66"/>
      <c r="F8" s="42" t="s">
        <v>46</v>
      </c>
      <c r="G8" s="41"/>
      <c r="H8" s="24"/>
      <c r="I8" s="24"/>
      <c r="J8" s="67"/>
      <c r="K8" s="24"/>
      <c r="L8" s="24"/>
      <c r="M8" s="24"/>
      <c r="N8" s="24"/>
      <c r="O8" s="24"/>
      <c r="P8" s="24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ht="15.75" customHeight="1" x14ac:dyDescent="0.85">
      <c r="A9" s="32" t="s">
        <v>23</v>
      </c>
      <c r="B9" s="65">
        <f t="shared" ref="B9:C9" si="2">B190+B304+B475+B703</f>
        <v>837040</v>
      </c>
      <c r="C9" s="65">
        <f t="shared" si="2"/>
        <v>758116.77774171275</v>
      </c>
      <c r="D9" s="65">
        <f ca="1">'Shared Summary by Dept_US$'!C6+'Shared Summary by Dept_US$'!C9+'Shared Summary by Dept_US$'!C12+'Shared Summary by Dept_US$'!C17+'Shared Summary by Dept_US$'!C20</f>
        <v>390274.27337547811</v>
      </c>
      <c r="E9" s="66"/>
      <c r="F9" s="42" t="s">
        <v>48</v>
      </c>
      <c r="G9" s="72"/>
      <c r="H9" s="24"/>
      <c r="I9" s="24"/>
      <c r="J9" s="67"/>
      <c r="K9" s="24"/>
      <c r="L9" s="24"/>
      <c r="M9" s="24"/>
      <c r="N9" s="24"/>
      <c r="O9" s="24"/>
      <c r="P9" s="24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ht="15.75" customHeight="1" x14ac:dyDescent="0.85">
      <c r="A10" s="73" t="s">
        <v>49</v>
      </c>
      <c r="B10" s="74">
        <f t="shared" ref="B10:D10" si="3">SUM(B6:B9)</f>
        <v>1962223</v>
      </c>
      <c r="C10" s="74">
        <f t="shared" si="3"/>
        <v>1693173.1877083802</v>
      </c>
      <c r="D10" s="74">
        <f t="shared" ca="1" si="3"/>
        <v>2182266.5002564634</v>
      </c>
      <c r="E10" s="75">
        <f ca="1">(D10-C10)/C10</f>
        <v>0.28886195227910799</v>
      </c>
      <c r="F10" s="76" t="s">
        <v>50</v>
      </c>
      <c r="G10" s="72"/>
      <c r="H10" s="24"/>
      <c r="I10" s="24"/>
      <c r="J10" s="67"/>
      <c r="K10" s="24"/>
      <c r="L10" s="24"/>
      <c r="M10" s="24"/>
      <c r="N10" s="24"/>
      <c r="O10" s="24"/>
      <c r="P10" s="2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ht="15.75" customHeight="1" x14ac:dyDescent="0.85">
      <c r="A11" s="77"/>
      <c r="B11" s="66"/>
      <c r="C11" s="66"/>
      <c r="D11" s="67"/>
      <c r="E11" s="72"/>
      <c r="F11" s="78" t="s">
        <v>51</v>
      </c>
      <c r="G11" s="72"/>
      <c r="H11" s="24"/>
      <c r="I11" s="24"/>
      <c r="J11" s="67"/>
      <c r="K11" s="24"/>
      <c r="L11" s="24"/>
      <c r="M11" s="24"/>
      <c r="N11" s="24"/>
      <c r="O11" s="24"/>
      <c r="P11" s="24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5.75" customHeight="1" x14ac:dyDescent="0.25">
      <c r="E12" s="15"/>
      <c r="G12" s="15"/>
      <c r="J12" s="13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15.75" customHeight="1" x14ac:dyDescent="0.85">
      <c r="A13" s="79" t="s">
        <v>52</v>
      </c>
      <c r="B13" s="305" t="s">
        <v>53</v>
      </c>
      <c r="C13" s="306"/>
      <c r="D13" s="307"/>
      <c r="E13" s="305">
        <v>2026</v>
      </c>
      <c r="F13" s="306"/>
      <c r="G13" s="307"/>
      <c r="J13" s="13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15.75" customHeight="1" x14ac:dyDescent="0.85">
      <c r="A14" s="81"/>
      <c r="B14" s="1" t="s">
        <v>54</v>
      </c>
      <c r="C14" s="82" t="s">
        <v>55</v>
      </c>
      <c r="D14" s="83" t="s">
        <v>56</v>
      </c>
      <c r="E14" s="1" t="s">
        <v>54</v>
      </c>
      <c r="F14" s="1" t="s">
        <v>55</v>
      </c>
      <c r="G14" s="83" t="s">
        <v>56</v>
      </c>
      <c r="J14" s="13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ht="15.75" customHeight="1" x14ac:dyDescent="0.85">
      <c r="A15" s="32" t="s">
        <v>34</v>
      </c>
      <c r="B15" s="84">
        <f>'Staff Numbers'!B15</f>
        <v>14</v>
      </c>
      <c r="C15" s="84">
        <f>'Staff Numbers'!C15</f>
        <v>2</v>
      </c>
      <c r="D15" s="85">
        <f t="shared" ref="D15:D18" si="4">SUM(B15:C15)</f>
        <v>16</v>
      </c>
      <c r="E15" s="84">
        <f>'Staff Numbers'!F15</f>
        <v>5</v>
      </c>
      <c r="F15" s="84">
        <f>'Staff Numbers'!G15</f>
        <v>1</v>
      </c>
      <c r="G15" s="85">
        <f t="shared" ref="G15:G18" si="5">SUM(E15:F15)</f>
        <v>6</v>
      </c>
      <c r="H15" s="69">
        <f t="shared" ref="H15:I15" si="6">E15-B15</f>
        <v>-9</v>
      </c>
      <c r="I15" s="69">
        <f t="shared" si="6"/>
        <v>-1</v>
      </c>
      <c r="J15" s="13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15.75" customHeight="1" x14ac:dyDescent="0.85">
      <c r="A16" s="32" t="s">
        <v>41</v>
      </c>
      <c r="B16" s="84">
        <f>'Staff Numbers'!B16</f>
        <v>0</v>
      </c>
      <c r="C16" s="84">
        <f>'Staff Numbers'!C16</f>
        <v>0</v>
      </c>
      <c r="D16" s="85">
        <f t="shared" si="4"/>
        <v>0</v>
      </c>
      <c r="E16" s="84">
        <f>'Staff Numbers'!F16</f>
        <v>14</v>
      </c>
      <c r="F16" s="84">
        <f>'Staff Numbers'!G16</f>
        <v>1</v>
      </c>
      <c r="G16" s="85">
        <f t="shared" si="5"/>
        <v>15</v>
      </c>
      <c r="H16" s="69">
        <f t="shared" ref="H16:I16" si="7">E16-B16</f>
        <v>14</v>
      </c>
      <c r="I16" s="69">
        <f t="shared" si="7"/>
        <v>1</v>
      </c>
      <c r="J16" s="13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ht="15.75" customHeight="1" x14ac:dyDescent="0.85">
      <c r="A17" s="32" t="s">
        <v>16</v>
      </c>
      <c r="B17" s="84">
        <f>'Staff Numbers'!B5+'Staff Numbers'!B6+'Staff Numbers'!B9+'Staff Numbers'!B12+'Staff Numbers'!B18+'Staff Numbers'!B20</f>
        <v>31</v>
      </c>
      <c r="C17" s="84">
        <f>'Staff Numbers'!C5+'Staff Numbers'!C6+'Staff Numbers'!C9+'Staff Numbers'!C12+'Staff Numbers'!C18+'Staff Numbers'!C20</f>
        <v>32</v>
      </c>
      <c r="D17" s="85">
        <f t="shared" si="4"/>
        <v>63</v>
      </c>
      <c r="E17" s="84">
        <f>'Staff Numbers'!F5+'Staff Numbers'!F6+'Staff Numbers'!F9+'Staff Numbers'!F12+'Staff Numbers'!F18+'Staff Numbers'!F20</f>
        <v>50</v>
      </c>
      <c r="F17" s="84">
        <f>'Staff Numbers'!G5+'Staff Numbers'!G6+'Staff Numbers'!G9+'Staff Numbers'!G12+'Staff Numbers'!G18+'Staff Numbers'!G20</f>
        <v>52</v>
      </c>
      <c r="G17" s="85">
        <f t="shared" si="5"/>
        <v>102</v>
      </c>
      <c r="H17" s="69">
        <f t="shared" ref="H17:I17" si="8">E17-B17</f>
        <v>19</v>
      </c>
      <c r="I17" s="69">
        <f t="shared" si="8"/>
        <v>20</v>
      </c>
      <c r="J17" s="13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15.75" customHeight="1" x14ac:dyDescent="0.85">
      <c r="A18" s="32" t="s">
        <v>23</v>
      </c>
      <c r="B18" s="84">
        <f>'Staff Numbers'!B7+'Staff Numbers'!B10+'Staff Numbers'!B13+'Staff Numbers'!B21</f>
        <v>2</v>
      </c>
      <c r="C18" s="84">
        <f>'Staff Numbers'!C7+'Staff Numbers'!C10+'Staff Numbers'!C13+'Staff Numbers'!C21</f>
        <v>1</v>
      </c>
      <c r="D18" s="85">
        <f t="shared" si="4"/>
        <v>3</v>
      </c>
      <c r="E18" s="88">
        <f>'Staff Numbers'!F7+'Staff Numbers'!F10+'Staff Numbers'!F13+'Staff Numbers'!F21</f>
        <v>4</v>
      </c>
      <c r="F18" s="88">
        <f>'Staff Numbers'!G7+'Staff Numbers'!G10+'Staff Numbers'!G13+'Staff Numbers'!G21</f>
        <v>0</v>
      </c>
      <c r="G18" s="85">
        <f t="shared" si="5"/>
        <v>4</v>
      </c>
      <c r="H18" s="30">
        <f t="shared" ref="H18:I18" si="9">E18-B18</f>
        <v>2</v>
      </c>
      <c r="I18" s="30">
        <f t="shared" si="9"/>
        <v>-1</v>
      </c>
      <c r="J18" s="13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ht="15.75" customHeight="1" x14ac:dyDescent="0.85">
      <c r="A19" s="89" t="s">
        <v>56</v>
      </c>
      <c r="B19" s="90">
        <f t="shared" ref="B19:G19" si="10">SUM(B15:B18)</f>
        <v>47</v>
      </c>
      <c r="C19" s="90">
        <f t="shared" si="10"/>
        <v>35</v>
      </c>
      <c r="D19" s="91">
        <f t="shared" si="10"/>
        <v>82</v>
      </c>
      <c r="E19" s="90">
        <f t="shared" si="10"/>
        <v>73</v>
      </c>
      <c r="F19" s="90">
        <f t="shared" si="10"/>
        <v>54</v>
      </c>
      <c r="G19" s="91">
        <f t="shared" si="10"/>
        <v>127</v>
      </c>
      <c r="J19" s="13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15.75" customHeight="1" x14ac:dyDescent="0.25">
      <c r="J20" s="13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ht="15.75" customHeight="1" x14ac:dyDescent="0.3">
      <c r="A21" s="46" t="s">
        <v>69</v>
      </c>
      <c r="B21" s="92">
        <v>2025</v>
      </c>
      <c r="C21" s="92">
        <v>2025</v>
      </c>
      <c r="D21" s="92">
        <v>2025</v>
      </c>
      <c r="E21" s="92">
        <v>2026</v>
      </c>
      <c r="J21" s="13"/>
      <c r="Z21" s="15"/>
      <c r="AA21" s="15"/>
      <c r="AB21" s="15"/>
      <c r="AC21" s="15"/>
    </row>
    <row r="22" spans="1:31" ht="15.75" customHeight="1" x14ac:dyDescent="0.3">
      <c r="A22" s="93" t="s">
        <v>1</v>
      </c>
      <c r="B22" s="94" t="s">
        <v>13</v>
      </c>
      <c r="C22" s="94" t="s">
        <v>70</v>
      </c>
      <c r="D22" s="94" t="s">
        <v>71</v>
      </c>
      <c r="E22" s="92" t="s">
        <v>13</v>
      </c>
      <c r="J22" s="13"/>
      <c r="Z22" s="15"/>
      <c r="AA22" s="15"/>
      <c r="AB22" s="15"/>
      <c r="AC22" s="15"/>
    </row>
    <row r="23" spans="1:31" ht="15.75" customHeight="1" collapsed="1" x14ac:dyDescent="0.3">
      <c r="A23" s="95" t="s">
        <v>37</v>
      </c>
      <c r="B23" s="96">
        <f t="shared" ref="B23:C23" si="11">SUBTOTAL(9,B24:B33)</f>
        <v>1136023</v>
      </c>
      <c r="C23" s="96">
        <f t="shared" si="11"/>
        <v>862831.89643368358</v>
      </c>
      <c r="D23" s="97">
        <f>(C23-B23)/B23</f>
        <v>-0.24048025750034677</v>
      </c>
      <c r="E23" s="96">
        <f ca="1">SUBTOTAL(9,E24:E33)</f>
        <v>1251050.8269286379</v>
      </c>
      <c r="F23" s="98">
        <f ca="1">(E23-C23)/C23</f>
        <v>0.4499357662825953</v>
      </c>
      <c r="J23" s="99">
        <f t="shared" ref="J23:J73" ca="1" si="12">E23/$E$75</f>
        <v>0.57328049840916007</v>
      </c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5"/>
      <c r="AA23" s="15"/>
      <c r="AB23" s="15"/>
      <c r="AC23" s="15"/>
      <c r="AD23" s="100"/>
      <c r="AE23" s="100"/>
    </row>
    <row r="24" spans="1:31" ht="15.75" hidden="1" customHeight="1" outlineLevel="1" x14ac:dyDescent="0.85">
      <c r="A24" s="101" t="s">
        <v>37</v>
      </c>
      <c r="B24" s="102">
        <f t="shared" ref="B24:C24" si="13">B82+B139+B196+B253+B310+B367+B424+B481+B538+B595+B652</f>
        <v>1121412</v>
      </c>
      <c r="C24" s="102">
        <f t="shared" si="13"/>
        <v>855460.57271601469</v>
      </c>
      <c r="D24" s="103">
        <f t="shared" ref="D24:D33" si="14">(C24-B24)</f>
        <v>-265951.42728398531</v>
      </c>
      <c r="E24" s="102">
        <f ca="1">SUMIF('Digital Product Summary by COA'!$C$3:$C$47,$A24,'Digital Product Summary by COA'!$E$3:$E$47)</f>
        <v>1229549.0704152279</v>
      </c>
      <c r="F24" s="104"/>
      <c r="J24" s="99">
        <f t="shared" ca="1" si="12"/>
        <v>0.56342755125037669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5"/>
      <c r="AA24" s="15"/>
      <c r="AB24" s="15"/>
      <c r="AC24" s="15"/>
      <c r="AD24" s="100"/>
      <c r="AE24" s="100"/>
    </row>
    <row r="25" spans="1:31" ht="15.75" hidden="1" customHeight="1" outlineLevel="1" x14ac:dyDescent="0.85">
      <c r="A25" s="105" t="s">
        <v>72</v>
      </c>
      <c r="B25" s="102">
        <f t="shared" ref="B25:C25" si="15">B83+B140+B197+B254+B311+B368+B425+B482+B539+B596+B653</f>
        <v>14611</v>
      </c>
      <c r="C25" s="102">
        <f t="shared" si="15"/>
        <v>6986.6873099316726</v>
      </c>
      <c r="D25" s="103">
        <f t="shared" si="14"/>
        <v>-7624.3126900683274</v>
      </c>
      <c r="E25" s="102">
        <f ca="1">SUMIF('Digital Product Summary by COA'!$C$3:$C$47,$A25,'Digital Product Summary by COA'!$E$3:$E$47)</f>
        <v>21501.756513409957</v>
      </c>
      <c r="F25" s="104"/>
      <c r="J25" s="99">
        <f t="shared" ca="1" si="12"/>
        <v>9.8529471587833345E-3</v>
      </c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5"/>
      <c r="AA25" s="15"/>
      <c r="AB25" s="15"/>
      <c r="AC25" s="15"/>
      <c r="AD25" s="100"/>
      <c r="AE25" s="100"/>
    </row>
    <row r="26" spans="1:31" ht="15.75" hidden="1" customHeight="1" outlineLevel="1" x14ac:dyDescent="0.85">
      <c r="A26" s="105" t="s">
        <v>73</v>
      </c>
      <c r="B26" s="102">
        <f t="shared" ref="B26:C26" si="16">B84+B141+B198+B255+B312+B369+B426+B483+B540+B597+B654</f>
        <v>0</v>
      </c>
      <c r="C26" s="102">
        <f t="shared" si="16"/>
        <v>384.63640773713951</v>
      </c>
      <c r="D26" s="103">
        <f t="shared" si="14"/>
        <v>384.63640773713951</v>
      </c>
      <c r="E26" s="102">
        <f ca="1">SUMIF('Digital Product Summary by COA'!$C$3:$C$47,$A26,'Digital Product Summary by COA'!$E$3:$E$47)</f>
        <v>0</v>
      </c>
      <c r="F26" s="104"/>
      <c r="J26" s="99">
        <f t="shared" ca="1" si="12"/>
        <v>0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5"/>
      <c r="AA26" s="15"/>
      <c r="AB26" s="15"/>
      <c r="AC26" s="15"/>
      <c r="AD26" s="100"/>
      <c r="AE26" s="100"/>
    </row>
    <row r="27" spans="1:31" ht="15.75" hidden="1" customHeight="1" outlineLevel="1" x14ac:dyDescent="0.85">
      <c r="A27" s="105" t="s">
        <v>74</v>
      </c>
      <c r="B27" s="102">
        <f t="shared" ref="B27:C27" si="17">B85+B142+B199+B256+B313+B370+B427+B484+B541+B598+B655</f>
        <v>0</v>
      </c>
      <c r="C27" s="102">
        <f t="shared" si="17"/>
        <v>0</v>
      </c>
      <c r="D27" s="103">
        <f t="shared" si="14"/>
        <v>0</v>
      </c>
      <c r="E27" s="102">
        <f ca="1">SUMIF('Digital Product Summary by COA'!$C$3:$C$47,$A27,'Digital Product Summary by COA'!$E$3:$E$47)</f>
        <v>0</v>
      </c>
      <c r="F27" s="104"/>
      <c r="J27" s="99">
        <f t="shared" ca="1" si="12"/>
        <v>0</v>
      </c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5"/>
      <c r="AA27" s="15"/>
      <c r="AB27" s="15"/>
      <c r="AC27" s="15"/>
      <c r="AD27" s="100"/>
      <c r="AE27" s="100"/>
    </row>
    <row r="28" spans="1:31" ht="15.75" hidden="1" customHeight="1" outlineLevel="1" x14ac:dyDescent="0.85">
      <c r="A28" s="105" t="s">
        <v>77</v>
      </c>
      <c r="B28" s="102">
        <f t="shared" ref="B28:C28" si="18">B86+B143+B200+B257+B314+B371+B428+B485+B542+B599+B656</f>
        <v>0</v>
      </c>
      <c r="C28" s="102">
        <f t="shared" si="18"/>
        <v>0</v>
      </c>
      <c r="D28" s="103">
        <f t="shared" si="14"/>
        <v>0</v>
      </c>
      <c r="E28" s="102">
        <f ca="1">SUMIF('Digital Product Summary by COA'!$C$3:$C$47,$A28,'Digital Product Summary by COA'!$E$3:$E$47)</f>
        <v>0</v>
      </c>
      <c r="F28" s="104"/>
      <c r="J28" s="99">
        <f t="shared" ca="1" si="12"/>
        <v>0</v>
      </c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5"/>
      <c r="AA28" s="15"/>
      <c r="AB28" s="15"/>
      <c r="AC28" s="15"/>
      <c r="AD28" s="100"/>
      <c r="AE28" s="100"/>
    </row>
    <row r="29" spans="1:31" ht="15.75" hidden="1" customHeight="1" outlineLevel="1" x14ac:dyDescent="0.85">
      <c r="A29" s="105" t="s">
        <v>78</v>
      </c>
      <c r="B29" s="102">
        <f t="shared" ref="B29:C29" si="19">B87+B144+B201+B258+B315+B372+B429+B486+B543+B600+B657</f>
        <v>0</v>
      </c>
      <c r="C29" s="102">
        <f t="shared" si="19"/>
        <v>0</v>
      </c>
      <c r="D29" s="103">
        <f t="shared" si="14"/>
        <v>0</v>
      </c>
      <c r="E29" s="102">
        <f ca="1">SUMIF('Digital Product Summary by COA'!$C$3:$C$47,$A29,'Digital Product Summary by COA'!$E$3:$E$47)</f>
        <v>0</v>
      </c>
      <c r="F29" s="104"/>
      <c r="J29" s="99">
        <f t="shared" ca="1" si="12"/>
        <v>0</v>
      </c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5"/>
      <c r="AA29" s="15"/>
      <c r="AB29" s="15"/>
      <c r="AC29" s="15"/>
      <c r="AD29" s="100"/>
      <c r="AE29" s="100"/>
    </row>
    <row r="30" spans="1:31" ht="15.75" hidden="1" customHeight="1" outlineLevel="1" x14ac:dyDescent="0.85">
      <c r="A30" s="105" t="s">
        <v>79</v>
      </c>
      <c r="B30" s="102">
        <f t="shared" ref="B30:C30" si="20">B88+B145+B202+B259+B316+B373+B430+B487+B544+B601+B658</f>
        <v>0</v>
      </c>
      <c r="C30" s="102">
        <f t="shared" si="20"/>
        <v>0</v>
      </c>
      <c r="D30" s="103">
        <f t="shared" si="14"/>
        <v>0</v>
      </c>
      <c r="E30" s="102">
        <f ca="1">SUMIF('Digital Product Summary by COA'!$C$3:$C$47,$A30,'Digital Product Summary by COA'!$E$3:$E$47)</f>
        <v>0</v>
      </c>
      <c r="F30" s="104"/>
      <c r="J30" s="99">
        <f t="shared" ca="1" si="12"/>
        <v>0</v>
      </c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5"/>
      <c r="AA30" s="15"/>
      <c r="AB30" s="15"/>
      <c r="AC30" s="15"/>
      <c r="AD30" s="100"/>
      <c r="AE30" s="100"/>
    </row>
    <row r="31" spans="1:31" ht="15.75" hidden="1" customHeight="1" outlineLevel="1" x14ac:dyDescent="0.85">
      <c r="A31" s="105" t="s">
        <v>80</v>
      </c>
      <c r="B31" s="102">
        <f t="shared" ref="B31:C31" si="21">B89+B146+B203+B260+B317+B374+B431+B488+B545+B602+B659</f>
        <v>0</v>
      </c>
      <c r="C31" s="102">
        <f t="shared" si="21"/>
        <v>0</v>
      </c>
      <c r="D31" s="103">
        <f t="shared" si="14"/>
        <v>0</v>
      </c>
      <c r="E31" s="102">
        <f ca="1">SUMIF('Digital Product Summary by COA'!$C$3:$C$47,$A31,'Digital Product Summary by COA'!$E$3:$E$47)</f>
        <v>0</v>
      </c>
      <c r="F31" s="104"/>
      <c r="J31" s="99">
        <f t="shared" ca="1" si="12"/>
        <v>0</v>
      </c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5"/>
      <c r="AA31" s="15"/>
      <c r="AB31" s="15"/>
      <c r="AC31" s="15"/>
      <c r="AD31" s="100"/>
      <c r="AE31" s="100"/>
    </row>
    <row r="32" spans="1:31" ht="15.75" hidden="1" customHeight="1" outlineLevel="1" x14ac:dyDescent="0.85">
      <c r="A32" s="105" t="s">
        <v>82</v>
      </c>
      <c r="B32" s="102">
        <f t="shared" ref="B32:C32" si="22">B90+B147+B204+B261+B318+B375+B432+B489+B546+B603+B660</f>
        <v>0</v>
      </c>
      <c r="C32" s="102">
        <f t="shared" si="22"/>
        <v>0</v>
      </c>
      <c r="D32" s="103">
        <f t="shared" si="14"/>
        <v>0</v>
      </c>
      <c r="E32" s="102">
        <f ca="1">SUMIF('Digital Product Summary by COA'!$C$3:$C$47,$A32,'Digital Product Summary by COA'!$E$3:$E$47)</f>
        <v>0</v>
      </c>
      <c r="F32" s="104"/>
      <c r="J32" s="99">
        <f t="shared" ca="1" si="12"/>
        <v>0</v>
      </c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5"/>
      <c r="AA32" s="15"/>
      <c r="AB32" s="15"/>
      <c r="AC32" s="15"/>
      <c r="AD32" s="100"/>
      <c r="AE32" s="100"/>
    </row>
    <row r="33" spans="1:31" ht="15.75" hidden="1" customHeight="1" outlineLevel="1" x14ac:dyDescent="0.85">
      <c r="A33" s="105" t="s">
        <v>83</v>
      </c>
      <c r="B33" s="102">
        <f t="shared" ref="B33:C33" si="23">B91+B148+B205+B262+B319+B376+B433+B490+B547+B604+B661</f>
        <v>0</v>
      </c>
      <c r="C33" s="102">
        <f t="shared" si="23"/>
        <v>0</v>
      </c>
      <c r="D33" s="103">
        <f t="shared" si="14"/>
        <v>0</v>
      </c>
      <c r="E33" s="102">
        <f ca="1">SUMIF('Digital Product Summary by COA'!$C$3:$C$47,$A33,'Digital Product Summary by COA'!$E$3:$E$47)</f>
        <v>0</v>
      </c>
      <c r="F33" s="104"/>
      <c r="J33" s="99">
        <f t="shared" ca="1" si="12"/>
        <v>0</v>
      </c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5"/>
      <c r="AA33" s="15"/>
      <c r="AB33" s="15"/>
      <c r="AC33" s="15"/>
      <c r="AD33" s="100"/>
      <c r="AE33" s="100"/>
    </row>
    <row r="34" spans="1:31" ht="15.75" customHeight="1" collapsed="1" x14ac:dyDescent="0.3">
      <c r="A34" s="112" t="s">
        <v>84</v>
      </c>
      <c r="B34" s="96">
        <f t="shared" ref="B34:C34" si="24">SUBTOTAL(9,B35)</f>
        <v>434459</v>
      </c>
      <c r="C34" s="96">
        <f t="shared" si="24"/>
        <v>406523.37355558848</v>
      </c>
      <c r="D34" s="113">
        <f>(C34-B34)/B34</f>
        <v>-6.4299799162663276E-2</v>
      </c>
      <c r="E34" s="96">
        <f ca="1">SUBTOTAL(9,E35)</f>
        <v>439613.03084003727</v>
      </c>
      <c r="F34" s="98">
        <f ca="1">(E34-C34)/C34</f>
        <v>8.1396690662668816E-2</v>
      </c>
      <c r="J34" s="99">
        <f t="shared" ca="1" si="12"/>
        <v>0.20144791242883192</v>
      </c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5"/>
      <c r="AA34" s="15"/>
      <c r="AB34" s="15"/>
      <c r="AC34" s="15"/>
      <c r="AD34" s="100"/>
      <c r="AE34" s="100"/>
    </row>
    <row r="35" spans="1:31" ht="15.75" hidden="1" customHeight="1" outlineLevel="1" x14ac:dyDescent="0.85">
      <c r="A35" s="105" t="s">
        <v>85</v>
      </c>
      <c r="B35" s="102">
        <f t="shared" ref="B35:C35" si="25">B93+B150+B207+B264+B321+B378+B435+B492+B549+B606+B663</f>
        <v>434459</v>
      </c>
      <c r="C35" s="102">
        <f t="shared" si="25"/>
        <v>406523.37355558848</v>
      </c>
      <c r="D35" s="103">
        <f>(C35-B35)</f>
        <v>-27935.626444411522</v>
      </c>
      <c r="E35" s="102">
        <f ca="1">SUMIF('Digital Product Summary by COA'!$C$3:$C$47,$A35,'Digital Product Summary by COA'!$E$3:$E$47)</f>
        <v>439613.03084003727</v>
      </c>
      <c r="F35" s="104"/>
      <c r="J35" s="99">
        <f t="shared" ca="1" si="12"/>
        <v>0.20144791242883192</v>
      </c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5"/>
      <c r="AA35" s="15"/>
      <c r="AB35" s="15"/>
      <c r="AC35" s="15"/>
      <c r="AD35" s="100"/>
      <c r="AE35" s="100"/>
    </row>
    <row r="36" spans="1:31" ht="15.75" customHeight="1" collapsed="1" x14ac:dyDescent="0.3">
      <c r="A36" s="112" t="s">
        <v>86</v>
      </c>
      <c r="B36" s="96">
        <f t="shared" ref="B36:C36" si="26">SUBTOTAL(9,B37:B42)</f>
        <v>83637</v>
      </c>
      <c r="C36" s="96">
        <f t="shared" si="26"/>
        <v>54160.168551014322</v>
      </c>
      <c r="D36" s="114">
        <f>(C36-B36)/B36</f>
        <v>-0.35243769442932765</v>
      </c>
      <c r="E36" s="96">
        <f ca="1">SUBTOTAL(9,E37:E42)</f>
        <v>65150.504556752865</v>
      </c>
      <c r="F36" s="98">
        <f ca="1">(E36-C36)/C36</f>
        <v>0.20292285455844863</v>
      </c>
      <c r="G36" s="115" t="s">
        <v>87</v>
      </c>
      <c r="J36" s="99">
        <f t="shared" ca="1" si="12"/>
        <v>2.9854513437793374E-2</v>
      </c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5"/>
      <c r="AA36" s="15"/>
      <c r="AB36" s="15"/>
      <c r="AC36" s="15"/>
      <c r="AD36" s="100"/>
      <c r="AE36" s="100"/>
    </row>
    <row r="37" spans="1:31" ht="15.75" hidden="1" customHeight="1" outlineLevel="1" x14ac:dyDescent="0.85">
      <c r="A37" s="105" t="s">
        <v>88</v>
      </c>
      <c r="B37" s="102">
        <f t="shared" ref="B37:C37" si="27">B95+B152+B209+B266+B323+B380+B437+B494+B551+B608+B665</f>
        <v>25883</v>
      </c>
      <c r="C37" s="102">
        <f t="shared" si="27"/>
        <v>14787.752231014834</v>
      </c>
      <c r="D37" s="103">
        <f t="shared" ref="D37:D42" si="28">(C37-B37)</f>
        <v>-11095.247768985166</v>
      </c>
      <c r="E37" s="102">
        <f ca="1">SUMIF('Digital Product Summary by COA'!$C$3:$C$47,$A37,'Digital Product Summary by COA'!$E$3:$E$47)</f>
        <v>15450.466954022988</v>
      </c>
      <c r="F37" s="104"/>
      <c r="J37" s="99">
        <f t="shared" ca="1" si="12"/>
        <v>7.0800092253660287E-3</v>
      </c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5"/>
      <c r="AA37" s="15"/>
      <c r="AB37" s="15"/>
      <c r="AC37" s="15"/>
      <c r="AD37" s="100"/>
      <c r="AE37" s="100"/>
    </row>
    <row r="38" spans="1:31" ht="15.75" hidden="1" customHeight="1" outlineLevel="1" x14ac:dyDescent="0.85">
      <c r="A38" s="105" t="s">
        <v>89</v>
      </c>
      <c r="B38" s="102">
        <f t="shared" ref="B38:C38" si="29">B96+B153+B210+B267+B324+B381+B438+B495+B552+B609+B666</f>
        <v>12849</v>
      </c>
      <c r="C38" s="102">
        <f t="shared" si="29"/>
        <v>7289.9264164783017</v>
      </c>
      <c r="D38" s="103">
        <f t="shared" si="28"/>
        <v>-5559.0735835216983</v>
      </c>
      <c r="E38" s="102">
        <f ca="1">SUMIF('Digital Product Summary by COA'!$C$3:$C$47,$A38,'Digital Product Summary by COA'!$E$3:$E$47)</f>
        <v>8600.7327586206884</v>
      </c>
      <c r="F38" s="104"/>
      <c r="J38" s="99">
        <f t="shared" ca="1" si="12"/>
        <v>3.9411926809168E-3</v>
      </c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5"/>
      <c r="AA38" s="15"/>
      <c r="AB38" s="15"/>
      <c r="AC38" s="15"/>
      <c r="AD38" s="100"/>
      <c r="AE38" s="100"/>
    </row>
    <row r="39" spans="1:31" ht="15.75" hidden="1" customHeight="1" outlineLevel="1" x14ac:dyDescent="0.85">
      <c r="A39" s="105" t="s">
        <v>90</v>
      </c>
      <c r="B39" s="102">
        <f t="shared" ref="B39:C39" si="30">B97+B154+B211+B268+B325+B382+B439+B496+B553+B610+B667</f>
        <v>27488</v>
      </c>
      <c r="C39" s="102">
        <f t="shared" si="30"/>
        <v>25465.247551610948</v>
      </c>
      <c r="D39" s="103">
        <f t="shared" si="28"/>
        <v>-2022.752448389052</v>
      </c>
      <c r="E39" s="102">
        <f ca="1">SUMIF('Digital Product Summary by COA'!$C$3:$C$47,$A39,'Digital Product Summary by COA'!$E$3:$E$47)</f>
        <v>22907.006711925282</v>
      </c>
      <c r="F39" s="104"/>
      <c r="J39" s="99">
        <f t="shared" ca="1" si="12"/>
        <v>1.0496887849963893E-2</v>
      </c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5"/>
      <c r="AA39" s="15"/>
      <c r="AB39" s="15"/>
      <c r="AC39" s="15"/>
      <c r="AD39" s="100"/>
      <c r="AE39" s="100"/>
    </row>
    <row r="40" spans="1:31" ht="15.75" hidden="1" customHeight="1" outlineLevel="1" x14ac:dyDescent="0.85">
      <c r="A40" s="105" t="s">
        <v>91</v>
      </c>
      <c r="B40" s="102">
        <f t="shared" ref="B40:C40" si="31">B98+B155+B212+B269+B326+B383+B440+B497+B554+B611+B668</f>
        <v>14009</v>
      </c>
      <c r="C40" s="102">
        <f t="shared" si="31"/>
        <v>3252.0521106137971</v>
      </c>
      <c r="D40" s="103">
        <f t="shared" si="28"/>
        <v>-10756.947889386203</v>
      </c>
      <c r="E40" s="102">
        <f ca="1">SUMIF('Digital Product Summary by COA'!$C$3:$C$47,$A40,'Digital Product Summary by COA'!$E$3:$E$47)</f>
        <v>13490.035919540232</v>
      </c>
      <c r="F40" s="104"/>
      <c r="J40" s="99">
        <f t="shared" ca="1" si="12"/>
        <v>6.1816629261159765E-3</v>
      </c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5"/>
      <c r="AA40" s="15"/>
      <c r="AB40" s="15"/>
      <c r="AC40" s="15"/>
      <c r="AD40" s="100"/>
      <c r="AE40" s="100"/>
    </row>
    <row r="41" spans="1:31" ht="15.75" hidden="1" customHeight="1" outlineLevel="1" x14ac:dyDescent="0.85">
      <c r="A41" s="105" t="s">
        <v>92</v>
      </c>
      <c r="B41" s="102">
        <f t="shared" ref="B41:C41" si="32">B99+B156+B213+B270+B327+B384+B441+B498+B555+B612+B669</f>
        <v>614</v>
      </c>
      <c r="C41" s="102">
        <f t="shared" si="32"/>
        <v>944.93865367418198</v>
      </c>
      <c r="D41" s="103">
        <f t="shared" si="28"/>
        <v>330.93865367418198</v>
      </c>
      <c r="E41" s="102">
        <f ca="1">SUMIF('Digital Product Summary by COA'!$C$3:$C$47,$A41,'Digital Product Summary by COA'!$E$3:$E$47)</f>
        <v>842.75862068965512</v>
      </c>
      <c r="F41" s="104"/>
      <c r="J41" s="99">
        <f t="shared" ca="1" si="12"/>
        <v>3.861850147956784E-4</v>
      </c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5"/>
      <c r="AA41" s="15"/>
      <c r="AB41" s="15"/>
      <c r="AC41" s="15"/>
      <c r="AD41" s="100"/>
      <c r="AE41" s="100"/>
    </row>
    <row r="42" spans="1:31" ht="15.75" hidden="1" customHeight="1" outlineLevel="1" x14ac:dyDescent="0.85">
      <c r="A42" s="105" t="s">
        <v>93</v>
      </c>
      <c r="B42" s="102">
        <f t="shared" ref="B42:C42" si="33">B100+B157+B214+B271+B328+B385+B442+B499+B556+B613+B670</f>
        <v>2794</v>
      </c>
      <c r="C42" s="102">
        <f t="shared" si="33"/>
        <v>2420.2515876222637</v>
      </c>
      <c r="D42" s="103">
        <f t="shared" si="28"/>
        <v>-373.74841237773626</v>
      </c>
      <c r="E42" s="102">
        <f ca="1">SUMIF('Digital Product Summary by COA'!$C$3:$C$47,$A42,'Digital Product Summary by COA'!$E$3:$E$47)</f>
        <v>3859.5035919540228</v>
      </c>
      <c r="F42" s="104"/>
      <c r="J42" s="99">
        <f t="shared" ca="1" si="12"/>
        <v>1.7685757406350005E-3</v>
      </c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5"/>
      <c r="AA42" s="15"/>
      <c r="AB42" s="15"/>
      <c r="AC42" s="15"/>
      <c r="AD42" s="100"/>
      <c r="AE42" s="100"/>
    </row>
    <row r="43" spans="1:31" ht="15.75" customHeight="1" collapsed="1" x14ac:dyDescent="0.3">
      <c r="A43" s="112" t="s">
        <v>94</v>
      </c>
      <c r="B43" s="96">
        <f t="shared" ref="B43:C43" si="34">SUBTOTAL(9,B44:B48)</f>
        <v>57831</v>
      </c>
      <c r="C43" s="96">
        <f t="shared" si="34"/>
        <v>29933.126037740276</v>
      </c>
      <c r="D43" s="114">
        <f>(C43-B43)/B43</f>
        <v>-0.48240345078348507</v>
      </c>
      <c r="E43" s="96">
        <f ca="1">SUBTOTAL(9,E44:E48)</f>
        <v>44292.385057471271</v>
      </c>
      <c r="F43" s="98">
        <f ca="1">(E43-C43)/C43</f>
        <v>0.47971130718611071</v>
      </c>
      <c r="J43" s="99">
        <f t="shared" ca="1" si="12"/>
        <v>2.0296505973154969E-2</v>
      </c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5"/>
      <c r="AA43" s="15"/>
      <c r="AB43" s="15"/>
      <c r="AC43" s="15"/>
      <c r="AD43" s="100"/>
      <c r="AE43" s="100"/>
    </row>
    <row r="44" spans="1:31" ht="15.75" hidden="1" customHeight="1" outlineLevel="1" x14ac:dyDescent="0.85">
      <c r="A44" s="105" t="s">
        <v>95</v>
      </c>
      <c r="B44" s="102">
        <f t="shared" ref="B44:C44" si="35">B102+B159+B216+B273+B330+B387+B444+B501+B558+B615+B672</f>
        <v>0</v>
      </c>
      <c r="C44" s="102">
        <f t="shared" si="35"/>
        <v>97.705596809856218</v>
      </c>
      <c r="D44" s="103">
        <f t="shared" ref="D44:D48" si="36">(C44-B44)</f>
        <v>97.705596809856218</v>
      </c>
      <c r="E44" s="102">
        <f ca="1">SUMIF('Digital Product Summary by COA'!$C$3:$C$47,$A44,'Digital Product Summary by COA'!$E$3:$E$47)</f>
        <v>5747.1264367816093</v>
      </c>
      <c r="F44" s="104"/>
      <c r="J44" s="99">
        <f t="shared" ca="1" si="12"/>
        <v>2.6335584751478345E-3</v>
      </c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5"/>
      <c r="AA44" s="15"/>
      <c r="AB44" s="15"/>
      <c r="AC44" s="15"/>
      <c r="AD44" s="100"/>
      <c r="AE44" s="100"/>
    </row>
    <row r="45" spans="1:31" ht="15.75" hidden="1" customHeight="1" outlineLevel="1" x14ac:dyDescent="0.85">
      <c r="A45" s="105" t="s">
        <v>96</v>
      </c>
      <c r="B45" s="102">
        <f t="shared" ref="B45:C45" si="37">B103+B160+B217+B274+B331+B388+B445+B502+B559+B616+B673</f>
        <v>0</v>
      </c>
      <c r="C45" s="102">
        <f t="shared" si="37"/>
        <v>0</v>
      </c>
      <c r="D45" s="103">
        <f t="shared" si="36"/>
        <v>0</v>
      </c>
      <c r="E45" s="102">
        <f ca="1">SUMIF('Digital Product Summary by COA'!$C$3:$C$47,$A45,'Digital Product Summary by COA'!$E$3:$E$47)</f>
        <v>0</v>
      </c>
      <c r="F45" s="104"/>
      <c r="J45" s="99">
        <f t="shared" ca="1" si="12"/>
        <v>0</v>
      </c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5"/>
      <c r="AA45" s="15"/>
      <c r="AB45" s="15"/>
      <c r="AC45" s="15"/>
      <c r="AD45" s="100"/>
      <c r="AE45" s="100"/>
    </row>
    <row r="46" spans="1:31" ht="15.75" hidden="1" customHeight="1" outlineLevel="1" x14ac:dyDescent="0.85">
      <c r="A46" s="105" t="s">
        <v>97</v>
      </c>
      <c r="B46" s="102">
        <f t="shared" ref="B46:C46" si="38">B104+B161+B218+B275+B332+B389+B446+B503+B560+B617+B674</f>
        <v>0</v>
      </c>
      <c r="C46" s="102">
        <f t="shared" si="38"/>
        <v>0</v>
      </c>
      <c r="D46" s="103">
        <f t="shared" si="36"/>
        <v>0</v>
      </c>
      <c r="E46" s="102">
        <f ca="1">SUMIF('Digital Product Summary by COA'!$C$3:$C$47,$A46,'Digital Product Summary by COA'!$E$3:$E$47)</f>
        <v>0</v>
      </c>
      <c r="F46" s="104"/>
      <c r="J46" s="99">
        <f t="shared" ca="1" si="12"/>
        <v>0</v>
      </c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5"/>
      <c r="AA46" s="15"/>
      <c r="AB46" s="15"/>
      <c r="AC46" s="15"/>
      <c r="AD46" s="100"/>
      <c r="AE46" s="100"/>
    </row>
    <row r="47" spans="1:31" ht="15.75" hidden="1" customHeight="1" outlineLevel="1" x14ac:dyDescent="0.85">
      <c r="A47" s="105" t="s">
        <v>98</v>
      </c>
      <c r="B47" s="102">
        <f t="shared" ref="B47:C47" si="39">B105+B162+B219+B276+B333+B390+B447+B504+B561+B618+B675</f>
        <v>57831</v>
      </c>
      <c r="C47" s="102">
        <f t="shared" si="39"/>
        <v>29786.479349013825</v>
      </c>
      <c r="D47" s="103">
        <f t="shared" si="36"/>
        <v>-28044.520650986175</v>
      </c>
      <c r="E47" s="102">
        <f ca="1">SUMIF('Digital Product Summary by COA'!$C$3:$C$47,$A47,'Digital Product Summary by COA'!$E$3:$E$47)</f>
        <v>34482.758620689659</v>
      </c>
      <c r="F47" s="104"/>
      <c r="J47" s="99">
        <f t="shared" ca="1" si="12"/>
        <v>1.5801350850887009E-2</v>
      </c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5"/>
      <c r="AA47" s="15"/>
      <c r="AB47" s="15"/>
      <c r="AC47" s="15"/>
      <c r="AD47" s="100"/>
      <c r="AE47" s="100"/>
    </row>
    <row r="48" spans="1:31" ht="15.75" hidden="1" customHeight="1" outlineLevel="1" x14ac:dyDescent="0.85">
      <c r="A48" s="105" t="s">
        <v>99</v>
      </c>
      <c r="B48" s="102">
        <f t="shared" ref="B48:C48" si="40">B106+B163+B220+B277+B334+B391+B448+B505+B562+B619+B676</f>
        <v>0</v>
      </c>
      <c r="C48" s="102">
        <f t="shared" si="40"/>
        <v>48.941091916592299</v>
      </c>
      <c r="D48" s="103">
        <f t="shared" si="36"/>
        <v>48.941091916592299</v>
      </c>
      <c r="E48" s="102">
        <f ca="1">SUMIF('Digital Product Summary by COA'!$C$3:$C$47,$A48,'Digital Product Summary by COA'!$E$3:$E$47)</f>
        <v>4062.5</v>
      </c>
      <c r="F48" s="104"/>
      <c r="J48" s="99">
        <f t="shared" ca="1" si="12"/>
        <v>1.8615966471201254E-3</v>
      </c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5"/>
      <c r="AA48" s="15"/>
      <c r="AB48" s="15"/>
      <c r="AC48" s="15"/>
      <c r="AD48" s="100"/>
      <c r="AE48" s="100"/>
    </row>
    <row r="49" spans="1:31" ht="15.75" customHeight="1" collapsed="1" x14ac:dyDescent="0.3">
      <c r="A49" s="112" t="s">
        <v>100</v>
      </c>
      <c r="B49" s="96">
        <f t="shared" ref="B49:C49" si="41">SUBTOTAL(9,B50:B52)</f>
        <v>0</v>
      </c>
      <c r="C49" s="96">
        <f t="shared" si="41"/>
        <v>409.77196351451886</v>
      </c>
      <c r="D49" s="113" t="e">
        <f>(C49-B49)/B49</f>
        <v>#DIV/0!</v>
      </c>
      <c r="E49" s="96">
        <f ca="1">SUBTOTAL(9,E50:E52)</f>
        <v>0</v>
      </c>
      <c r="F49" s="98"/>
      <c r="J49" s="99">
        <f t="shared" ca="1" si="12"/>
        <v>0</v>
      </c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5"/>
      <c r="AA49" s="15"/>
      <c r="AB49" s="15"/>
      <c r="AC49" s="15"/>
      <c r="AD49" s="100"/>
      <c r="AE49" s="100"/>
    </row>
    <row r="50" spans="1:31" ht="15.75" hidden="1" customHeight="1" outlineLevel="1" x14ac:dyDescent="0.85">
      <c r="A50" s="105" t="s">
        <v>101</v>
      </c>
      <c r="B50" s="102">
        <f t="shared" ref="B50:C50" si="42">B108+B165+B222+B279+B336+B393+B450+B507+B564+B621+B678</f>
        <v>0</v>
      </c>
      <c r="C50" s="102">
        <f t="shared" si="42"/>
        <v>1.320952816931882</v>
      </c>
      <c r="D50" s="103">
        <f t="shared" ref="D50:D52" si="43">(C50-B50)</f>
        <v>1.320952816931882</v>
      </c>
      <c r="E50" s="102">
        <f ca="1">SUMIF('Digital Product Summary by COA'!$C$3:$C$47,$A50,'Digital Product Summary by COA'!$E$3:$E$47)</f>
        <v>0</v>
      </c>
      <c r="F50" s="104"/>
      <c r="J50" s="99">
        <f t="shared" ca="1" si="12"/>
        <v>0</v>
      </c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5"/>
      <c r="AA50" s="15"/>
      <c r="AB50" s="15"/>
      <c r="AC50" s="15"/>
      <c r="AD50" s="100"/>
      <c r="AE50" s="100"/>
    </row>
    <row r="51" spans="1:31" ht="15.75" hidden="1" customHeight="1" outlineLevel="1" x14ac:dyDescent="0.85">
      <c r="A51" s="105" t="s">
        <v>103</v>
      </c>
      <c r="B51" s="102">
        <f t="shared" ref="B51:C51" si="44">B109+B166+B223+B280+B337+B394+B451+B508+B565+B622+B679</f>
        <v>0</v>
      </c>
      <c r="C51" s="102">
        <f t="shared" si="44"/>
        <v>368.32461277224451</v>
      </c>
      <c r="D51" s="103">
        <f t="shared" si="43"/>
        <v>368.32461277224451</v>
      </c>
      <c r="E51" s="102">
        <f ca="1">SUMIF('Digital Product Summary by COA'!$C$3:$C$47,$A51,'Digital Product Summary by COA'!$E$3:$E$47)</f>
        <v>0</v>
      </c>
      <c r="F51" s="104"/>
      <c r="J51" s="99">
        <f t="shared" ca="1" si="12"/>
        <v>0</v>
      </c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5"/>
      <c r="AA51" s="15"/>
      <c r="AB51" s="15"/>
      <c r="AC51" s="15"/>
      <c r="AD51" s="100"/>
      <c r="AE51" s="100"/>
    </row>
    <row r="52" spans="1:31" ht="15.75" hidden="1" customHeight="1" outlineLevel="1" x14ac:dyDescent="0.85">
      <c r="A52" s="105" t="s">
        <v>104</v>
      </c>
      <c r="B52" s="102">
        <f t="shared" ref="B52:C52" si="45">B110+B167+B224+B281+B338+B395+B452+B509+B566+B623+B680</f>
        <v>0</v>
      </c>
      <c r="C52" s="102">
        <f t="shared" si="45"/>
        <v>40.126397925342474</v>
      </c>
      <c r="D52" s="103">
        <f t="shared" si="43"/>
        <v>40.126397925342474</v>
      </c>
      <c r="E52" s="102">
        <f ca="1">SUMIF('Digital Product Summary by COA'!$C$3:$C$47,$A52,'Digital Product Summary by COA'!$E$3:$E$47)</f>
        <v>0</v>
      </c>
      <c r="F52" s="104"/>
      <c r="J52" s="99">
        <f t="shared" ca="1" si="12"/>
        <v>0</v>
      </c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5"/>
      <c r="AA52" s="15"/>
      <c r="AB52" s="15"/>
      <c r="AC52" s="15"/>
      <c r="AD52" s="100"/>
      <c r="AE52" s="100"/>
    </row>
    <row r="53" spans="1:31" ht="15.75" customHeight="1" collapsed="1" x14ac:dyDescent="0.3">
      <c r="A53" s="112" t="s">
        <v>105</v>
      </c>
      <c r="B53" s="96">
        <f t="shared" ref="B53:C53" si="46">SUBTOTAL(9,B54:B68)</f>
        <v>199796</v>
      </c>
      <c r="C53" s="96">
        <f t="shared" si="46"/>
        <v>313953.67359128367</v>
      </c>
      <c r="D53" s="114">
        <f t="shared" ref="D53:D54" si="47">(C53-B53)/B53</f>
        <v>0.57137116654629561</v>
      </c>
      <c r="E53" s="96">
        <f ca="1">SUBTOTAL(9,E54:E68)</f>
        <v>300232.0517241371</v>
      </c>
      <c r="F53" s="98">
        <f ca="1">(E53-C53)/C53</f>
        <v>-4.3705880903339524E-2</v>
      </c>
      <c r="J53" s="99">
        <f t="shared" ca="1" si="12"/>
        <v>0.13757808759326762</v>
      </c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5"/>
      <c r="AA53" s="15"/>
      <c r="AB53" s="15"/>
      <c r="AC53" s="15"/>
      <c r="AD53" s="100"/>
      <c r="AE53" s="100"/>
    </row>
    <row r="54" spans="1:31" ht="15.75" hidden="1" customHeight="1" outlineLevel="1" x14ac:dyDescent="0.85">
      <c r="A54" s="105" t="s">
        <v>110</v>
      </c>
      <c r="B54" s="102">
        <f t="shared" ref="B54:C54" si="48">B112+B169+B226+B283+B340+B397+B454+B511+B568+B625+B682</f>
        <v>199796</v>
      </c>
      <c r="C54" s="102">
        <f t="shared" si="48"/>
        <v>313801.5222726668</v>
      </c>
      <c r="D54" s="113">
        <f t="shared" si="47"/>
        <v>0.570609633189187</v>
      </c>
      <c r="E54" s="102">
        <f ca="1">SUMIF('Digital Product Summary by COA'!$C$3:$C$47,$A54,'Digital Product Summary by COA'!$E$3:$E$47)</f>
        <v>300013.6609195394</v>
      </c>
      <c r="F54" s="104"/>
      <c r="J54" s="99">
        <f t="shared" ca="1" si="12"/>
        <v>0.13747801237121199</v>
      </c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5"/>
      <c r="AA54" s="15"/>
      <c r="AB54" s="15"/>
      <c r="AC54" s="15"/>
      <c r="AD54" s="100"/>
      <c r="AE54" s="100"/>
    </row>
    <row r="55" spans="1:31" ht="15.75" hidden="1" customHeight="1" outlineLevel="1" x14ac:dyDescent="0.85">
      <c r="A55" s="105" t="s">
        <v>111</v>
      </c>
      <c r="B55" s="102">
        <f t="shared" ref="B55:C55" si="49">B113+B170+B227+B284+B341+B398+B455+B512+B569+B626+B683</f>
        <v>0</v>
      </c>
      <c r="C55" s="102">
        <f t="shared" si="49"/>
        <v>0</v>
      </c>
      <c r="D55" s="103">
        <f t="shared" ref="D55:D68" si="50">(C55-B55)</f>
        <v>0</v>
      </c>
      <c r="E55" s="102">
        <f ca="1">SUMIF('Digital Product Summary by COA'!$C$3:$C$47,$A55,'Digital Product Summary by COA'!$E$3:$E$47)</f>
        <v>0</v>
      </c>
      <c r="F55" s="104"/>
      <c r="J55" s="99">
        <f t="shared" ca="1" si="12"/>
        <v>0</v>
      </c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5"/>
      <c r="AA55" s="15"/>
      <c r="AB55" s="15"/>
      <c r="AC55" s="15"/>
      <c r="AD55" s="100"/>
      <c r="AE55" s="100"/>
    </row>
    <row r="56" spans="1:31" ht="15.75" hidden="1" customHeight="1" outlineLevel="1" x14ac:dyDescent="0.85">
      <c r="A56" s="105" t="s">
        <v>112</v>
      </c>
      <c r="B56" s="102">
        <f t="shared" ref="B56:C56" si="51">B114+B171+B228+B285+B342+B399+B456+B513+B570+B627+B684</f>
        <v>0</v>
      </c>
      <c r="C56" s="102">
        <f t="shared" si="51"/>
        <v>0</v>
      </c>
      <c r="D56" s="103">
        <f t="shared" si="50"/>
        <v>0</v>
      </c>
      <c r="E56" s="102">
        <f ca="1">SUMIF('Digital Product Summary by COA'!$C$3:$C$47,$A56,'Digital Product Summary by COA'!$E$3:$E$47)</f>
        <v>0</v>
      </c>
      <c r="F56" s="104"/>
      <c r="J56" s="99">
        <f t="shared" ca="1" si="12"/>
        <v>0</v>
      </c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5"/>
      <c r="AA56" s="15"/>
      <c r="AB56" s="15"/>
      <c r="AC56" s="15"/>
      <c r="AD56" s="100"/>
      <c r="AE56" s="100"/>
    </row>
    <row r="57" spans="1:31" ht="15.75" hidden="1" customHeight="1" outlineLevel="1" x14ac:dyDescent="0.85">
      <c r="A57" s="105" t="s">
        <v>113</v>
      </c>
      <c r="B57" s="102">
        <f t="shared" ref="B57:C57" si="52">B115+B172+B229+B286+B343+B400+B457+B514+B571+B628+B685</f>
        <v>0</v>
      </c>
      <c r="C57" s="102">
        <f t="shared" si="52"/>
        <v>4.441134470719259</v>
      </c>
      <c r="D57" s="103">
        <f t="shared" si="50"/>
        <v>4.441134470719259</v>
      </c>
      <c r="E57" s="102">
        <f ca="1">SUMIF('Digital Product Summary by COA'!$C$3:$C$47,$A57,'Digital Product Summary by COA'!$E$3:$E$47)</f>
        <v>218.39080459770119</v>
      </c>
      <c r="F57" s="104"/>
      <c r="J57" s="99">
        <f t="shared" ca="1" si="12"/>
        <v>1.0007522205561773E-4</v>
      </c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5"/>
      <c r="AA57" s="15"/>
      <c r="AB57" s="15"/>
      <c r="AC57" s="15"/>
      <c r="AD57" s="100"/>
      <c r="AE57" s="100"/>
    </row>
    <row r="58" spans="1:31" ht="15.75" hidden="1" customHeight="1" outlineLevel="1" x14ac:dyDescent="0.85">
      <c r="A58" s="105" t="s">
        <v>114</v>
      </c>
      <c r="B58" s="102">
        <f t="shared" ref="B58:C58" si="53">B116+B173+B230+B287+B344+B401+B458+B515+B572+B629+B686</f>
        <v>0</v>
      </c>
      <c r="C58" s="102">
        <f t="shared" si="53"/>
        <v>147.71018414613749</v>
      </c>
      <c r="D58" s="103">
        <f t="shared" si="50"/>
        <v>147.71018414613749</v>
      </c>
      <c r="E58" s="102">
        <f ca="1">SUMIF('Digital Product Summary by COA'!$C$3:$C$47,$A58,'Digital Product Summary by COA'!$E$3:$E$47)</f>
        <v>0</v>
      </c>
      <c r="F58" s="104"/>
      <c r="J58" s="99">
        <f t="shared" ca="1" si="12"/>
        <v>0</v>
      </c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5"/>
      <c r="AA58" s="15"/>
      <c r="AB58" s="15"/>
      <c r="AC58" s="15"/>
      <c r="AD58" s="100"/>
      <c r="AE58" s="100"/>
    </row>
    <row r="59" spans="1:31" ht="15.75" hidden="1" customHeight="1" outlineLevel="1" x14ac:dyDescent="0.85">
      <c r="A59" s="105" t="s">
        <v>115</v>
      </c>
      <c r="B59" s="102">
        <f t="shared" ref="B59:C59" si="54">B117+B174+B231+B288+B345+B402+B459+B516+B573+B630+B687</f>
        <v>0</v>
      </c>
      <c r="C59" s="102">
        <f t="shared" si="54"/>
        <v>0</v>
      </c>
      <c r="D59" s="103">
        <f t="shared" si="50"/>
        <v>0</v>
      </c>
      <c r="E59" s="102">
        <f ca="1">SUMIF('Digital Product Summary by COA'!$C$3:$C$47,$A59,'Digital Product Summary by COA'!$E$3:$E$47)</f>
        <v>0</v>
      </c>
      <c r="F59" s="104"/>
      <c r="J59" s="99">
        <f t="shared" ca="1" si="12"/>
        <v>0</v>
      </c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5"/>
      <c r="AA59" s="15"/>
      <c r="AB59" s="15"/>
      <c r="AC59" s="15"/>
      <c r="AD59" s="100"/>
      <c r="AE59" s="100"/>
    </row>
    <row r="60" spans="1:31" ht="15.75" hidden="1" customHeight="1" outlineLevel="1" x14ac:dyDescent="0.85">
      <c r="A60" s="105" t="s">
        <v>117</v>
      </c>
      <c r="B60" s="102">
        <f t="shared" ref="B60:C60" si="55">B118+B175+B232+B289+B346+B403+B460+B517+B574+B631+B688</f>
        <v>0</v>
      </c>
      <c r="C60" s="102">
        <f t="shared" si="55"/>
        <v>0</v>
      </c>
      <c r="D60" s="103">
        <f t="shared" si="50"/>
        <v>0</v>
      </c>
      <c r="E60" s="102">
        <f ca="1">SUMIF('Digital Product Summary by COA'!$C$3:$C$47,$A60,'Digital Product Summary by COA'!$E$3:$E$47)</f>
        <v>0</v>
      </c>
      <c r="F60" s="104"/>
      <c r="J60" s="99">
        <f t="shared" ca="1" si="12"/>
        <v>0</v>
      </c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5"/>
      <c r="AA60" s="15"/>
      <c r="AB60" s="15"/>
      <c r="AC60" s="15"/>
      <c r="AD60" s="100"/>
      <c r="AE60" s="100"/>
    </row>
    <row r="61" spans="1:31" ht="15.75" hidden="1" customHeight="1" outlineLevel="1" x14ac:dyDescent="0.85">
      <c r="A61" s="105" t="s">
        <v>118</v>
      </c>
      <c r="B61" s="102">
        <f t="shared" ref="B61:C61" si="56">B119+B176+B233+B290+B347+B404+B461+B518+B575+B632+B689</f>
        <v>0</v>
      </c>
      <c r="C61" s="102">
        <f t="shared" si="56"/>
        <v>0</v>
      </c>
      <c r="D61" s="103">
        <f t="shared" si="50"/>
        <v>0</v>
      </c>
      <c r="E61" s="102">
        <f ca="1">SUMIF('Digital Product Summary by COA'!$C$3:$C$47,$A61,'Digital Product Summary by COA'!$E$3:$E$47)</f>
        <v>0</v>
      </c>
      <c r="F61" s="104"/>
      <c r="J61" s="99">
        <f t="shared" ca="1" si="12"/>
        <v>0</v>
      </c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5"/>
      <c r="AA61" s="15"/>
      <c r="AB61" s="15"/>
      <c r="AC61" s="15"/>
      <c r="AD61" s="100"/>
      <c r="AE61" s="100"/>
    </row>
    <row r="62" spans="1:31" ht="15.75" hidden="1" customHeight="1" outlineLevel="1" x14ac:dyDescent="0.85">
      <c r="A62" s="105" t="s">
        <v>119</v>
      </c>
      <c r="B62" s="102">
        <f t="shared" ref="B62:C62" si="57">B120+B177+B234+B291+B348+B405+B462+B519+B576+B633+B690</f>
        <v>0</v>
      </c>
      <c r="C62" s="102">
        <f t="shared" si="57"/>
        <v>0</v>
      </c>
      <c r="D62" s="103">
        <f t="shared" si="50"/>
        <v>0</v>
      </c>
      <c r="E62" s="102">
        <f ca="1">SUMIF('Digital Product Summary by COA'!$C$3:$C$47,$A62,'Digital Product Summary by COA'!$E$3:$E$47)</f>
        <v>0</v>
      </c>
      <c r="F62" s="104"/>
      <c r="J62" s="99">
        <f t="shared" ca="1" si="12"/>
        <v>0</v>
      </c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5"/>
      <c r="AA62" s="15"/>
      <c r="AB62" s="15"/>
      <c r="AC62" s="15"/>
      <c r="AD62" s="100"/>
      <c r="AE62" s="100"/>
    </row>
    <row r="63" spans="1:31" ht="15.75" hidden="1" customHeight="1" outlineLevel="1" x14ac:dyDescent="0.85">
      <c r="A63" s="105" t="s">
        <v>120</v>
      </c>
      <c r="B63" s="102">
        <f t="shared" ref="B63:C63" si="58">B121+B178+B235+B292+B349+B406+B463+B520+B577+B634+B691</f>
        <v>0</v>
      </c>
      <c r="C63" s="102">
        <f t="shared" si="58"/>
        <v>0</v>
      </c>
      <c r="D63" s="103">
        <f t="shared" si="50"/>
        <v>0</v>
      </c>
      <c r="E63" s="102">
        <f ca="1">SUMIF('Digital Product Summary by COA'!$C$3:$C$47,$A63,'Digital Product Summary by COA'!$E$3:$E$47)</f>
        <v>0</v>
      </c>
      <c r="F63" s="104"/>
      <c r="J63" s="99">
        <f t="shared" ca="1" si="12"/>
        <v>0</v>
      </c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5"/>
      <c r="AA63" s="15"/>
      <c r="AB63" s="15"/>
      <c r="AC63" s="15"/>
      <c r="AD63" s="100"/>
      <c r="AE63" s="100"/>
    </row>
    <row r="64" spans="1:31" ht="15.75" hidden="1" customHeight="1" outlineLevel="1" x14ac:dyDescent="0.85">
      <c r="A64" s="105" t="s">
        <v>121</v>
      </c>
      <c r="B64" s="102">
        <f t="shared" ref="B64:C64" si="59">B122+B179+B236+B293+B350+B407+B464+B521+B578+B635+B692</f>
        <v>0</v>
      </c>
      <c r="C64" s="102">
        <f t="shared" si="59"/>
        <v>0</v>
      </c>
      <c r="D64" s="103">
        <f t="shared" si="50"/>
        <v>0</v>
      </c>
      <c r="E64" s="102">
        <f ca="1">SUMIF('Digital Product Summary by COA'!$C$3:$C$47,$A64,'Digital Product Summary by COA'!$E$3:$E$47)</f>
        <v>0</v>
      </c>
      <c r="F64" s="104"/>
      <c r="J64" s="99">
        <f t="shared" ca="1" si="12"/>
        <v>0</v>
      </c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5"/>
      <c r="AA64" s="15"/>
      <c r="AB64" s="15"/>
      <c r="AC64" s="15"/>
      <c r="AD64" s="100"/>
      <c r="AE64" s="100"/>
    </row>
    <row r="65" spans="1:31" ht="15.75" hidden="1" customHeight="1" outlineLevel="1" x14ac:dyDescent="0.85">
      <c r="A65" s="105" t="s">
        <v>122</v>
      </c>
      <c r="B65" s="102">
        <f t="shared" ref="B65:C65" si="60">B123+B180+B237+B294+B351+B408+B465+B522+B579+B636+B693</f>
        <v>0</v>
      </c>
      <c r="C65" s="102">
        <f t="shared" si="60"/>
        <v>0</v>
      </c>
      <c r="D65" s="103">
        <f t="shared" si="50"/>
        <v>0</v>
      </c>
      <c r="E65" s="102">
        <f ca="1">SUMIF('Digital Product Summary by COA'!$C$3:$C$47,$A65,'Digital Product Summary by COA'!$E$3:$E$47)</f>
        <v>0</v>
      </c>
      <c r="F65" s="104"/>
      <c r="J65" s="99">
        <f t="shared" ca="1" si="12"/>
        <v>0</v>
      </c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5"/>
      <c r="AA65" s="15"/>
      <c r="AB65" s="15"/>
      <c r="AC65" s="15"/>
      <c r="AD65" s="100"/>
      <c r="AE65" s="100"/>
    </row>
    <row r="66" spans="1:31" ht="15.75" hidden="1" customHeight="1" outlineLevel="1" x14ac:dyDescent="0.3">
      <c r="A66" s="64" t="s">
        <v>123</v>
      </c>
      <c r="B66" s="102">
        <f t="shared" ref="B66:C66" si="61">B124+B181+B238+B295+B352+B409+B466+B523+B580+B637+B694</f>
        <v>0</v>
      </c>
      <c r="C66" s="102">
        <f t="shared" si="61"/>
        <v>0</v>
      </c>
      <c r="D66" s="103">
        <f t="shared" si="50"/>
        <v>0</v>
      </c>
      <c r="E66" s="102">
        <f ca="1">SUMIF('Digital Product Summary by COA'!$C$3:$C$47,$A66,'Digital Product Summary by COA'!$E$3:$E$47)</f>
        <v>0</v>
      </c>
      <c r="F66" s="104"/>
      <c r="J66" s="99">
        <f t="shared" ca="1" si="12"/>
        <v>0</v>
      </c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5"/>
      <c r="AA66" s="15"/>
      <c r="AB66" s="15"/>
      <c r="AC66" s="15"/>
      <c r="AD66" s="100"/>
      <c r="AE66" s="100"/>
    </row>
    <row r="67" spans="1:31" ht="15.75" hidden="1" customHeight="1" outlineLevel="1" x14ac:dyDescent="0.3">
      <c r="A67" s="123" t="s">
        <v>124</v>
      </c>
      <c r="B67" s="102">
        <f t="shared" ref="B67:C67" si="62">B125+B182+B239+B296+B353+B410+B467+B524+B581+B638+B695</f>
        <v>0</v>
      </c>
      <c r="C67" s="102">
        <f t="shared" si="62"/>
        <v>0</v>
      </c>
      <c r="D67" s="103">
        <f t="shared" si="50"/>
        <v>0</v>
      </c>
      <c r="E67" s="102">
        <f ca="1">SUMIF('Digital Product Summary by COA'!$C$3:$C$47,$A67,'Digital Product Summary by COA'!$E$3:$E$47)</f>
        <v>0</v>
      </c>
      <c r="F67" s="104"/>
      <c r="J67" s="99">
        <f t="shared" ca="1" si="12"/>
        <v>0</v>
      </c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5"/>
      <c r="AA67" s="15"/>
      <c r="AB67" s="15"/>
      <c r="AC67" s="15"/>
      <c r="AD67" s="100"/>
      <c r="AE67" s="100"/>
    </row>
    <row r="68" spans="1:31" ht="15.75" hidden="1" customHeight="1" outlineLevel="1" x14ac:dyDescent="0.3">
      <c r="A68" s="123" t="s">
        <v>125</v>
      </c>
      <c r="B68" s="102">
        <f t="shared" ref="B68:C68" si="63">B126+B183+B240+B297+B354+B411+B468+B525+B582+B639+B696</f>
        <v>0</v>
      </c>
      <c r="C68" s="102">
        <f t="shared" si="63"/>
        <v>0</v>
      </c>
      <c r="D68" s="103">
        <f t="shared" si="50"/>
        <v>0</v>
      </c>
      <c r="E68" s="102">
        <f ca="1">SUMIF('Digital Product Summary by COA'!$C$3:$C$47,$A68,'Digital Product Summary by COA'!$E$3:$E$47)</f>
        <v>0</v>
      </c>
      <c r="F68" s="104"/>
      <c r="J68" s="99">
        <f t="shared" ca="1" si="12"/>
        <v>0</v>
      </c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5"/>
      <c r="AA68" s="15"/>
      <c r="AB68" s="15"/>
      <c r="AC68" s="15"/>
      <c r="AD68" s="100"/>
      <c r="AE68" s="100"/>
    </row>
    <row r="69" spans="1:31" ht="15.75" customHeight="1" collapsed="1" x14ac:dyDescent="0.3">
      <c r="A69" s="112" t="s">
        <v>126</v>
      </c>
      <c r="B69" s="96">
        <f t="shared" ref="B69:C69" si="64">SUBTOTAL(9,B70:B72)</f>
        <v>12500</v>
      </c>
      <c r="C69" s="96">
        <f t="shared" si="64"/>
        <v>3546.0379758846611</v>
      </c>
      <c r="D69" s="114">
        <f>(C69-B69)/B69</f>
        <v>-0.71631696192922711</v>
      </c>
      <c r="E69" s="96">
        <f ca="1">SUBTOTAL(9,E70:E72)</f>
        <v>36041.206896551725</v>
      </c>
      <c r="F69" s="98">
        <f ca="1">(E69-C69)/C69</f>
        <v>9.1637960849982747</v>
      </c>
      <c r="G69" s="24" t="s">
        <v>127</v>
      </c>
      <c r="J69" s="99">
        <f t="shared" ca="1" si="12"/>
        <v>1.6515492902592844E-2</v>
      </c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5"/>
      <c r="AA69" s="15"/>
      <c r="AB69" s="15"/>
      <c r="AC69" s="15"/>
      <c r="AD69" s="100"/>
      <c r="AE69" s="100"/>
    </row>
    <row r="70" spans="1:31" ht="15.75" hidden="1" customHeight="1" outlineLevel="1" x14ac:dyDescent="0.3">
      <c r="A70" s="123" t="s">
        <v>128</v>
      </c>
      <c r="B70" s="102">
        <f t="shared" ref="B70:C70" si="65">B128+B185+B242+B299+B356+B413+B470+B527+B584+B641+B698</f>
        <v>0</v>
      </c>
      <c r="C70" s="102">
        <f t="shared" si="65"/>
        <v>0</v>
      </c>
      <c r="D70" s="103">
        <f t="shared" ref="D70:D72" si="66">(C70-B70)</f>
        <v>0</v>
      </c>
      <c r="E70" s="102">
        <f ca="1">SUMIF('Digital Product Summary by COA'!$C$3:$C$47,$A70,'Digital Product Summary by COA'!$E$3:$E$47)</f>
        <v>0</v>
      </c>
      <c r="F70" s="104"/>
      <c r="J70" s="99">
        <f t="shared" ca="1" si="12"/>
        <v>0</v>
      </c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5"/>
      <c r="AA70" s="15"/>
      <c r="AB70" s="15"/>
      <c r="AC70" s="15"/>
      <c r="AD70" s="100"/>
      <c r="AE70" s="100"/>
    </row>
    <row r="71" spans="1:31" ht="15.75" hidden="1" customHeight="1" outlineLevel="1" x14ac:dyDescent="0.3">
      <c r="A71" s="123" t="s">
        <v>129</v>
      </c>
      <c r="B71" s="102">
        <f t="shared" ref="B71:C71" si="67">B129+B186+B243+B300+B357+B414+B471+B528+B585+B642+B699</f>
        <v>0</v>
      </c>
      <c r="C71" s="102">
        <f t="shared" si="67"/>
        <v>0</v>
      </c>
      <c r="D71" s="103">
        <f t="shared" si="66"/>
        <v>0</v>
      </c>
      <c r="E71" s="102">
        <f ca="1">SUMIF('Digital Product Summary by COA'!$C$3:$C$47,$A71,'Digital Product Summary by COA'!$E$3:$E$47)</f>
        <v>0</v>
      </c>
      <c r="F71" s="104"/>
      <c r="J71" s="99">
        <f t="shared" ca="1" si="12"/>
        <v>0</v>
      </c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5"/>
      <c r="AA71" s="15"/>
      <c r="AB71" s="15"/>
      <c r="AC71" s="15"/>
      <c r="AD71" s="100"/>
      <c r="AE71" s="100"/>
    </row>
    <row r="72" spans="1:31" ht="15.75" hidden="1" customHeight="1" outlineLevel="1" x14ac:dyDescent="0.3">
      <c r="A72" s="123" t="s">
        <v>134</v>
      </c>
      <c r="B72" s="102">
        <f t="shared" ref="B72:C72" si="68">B130+B187+B244+B301+B358+B415+B472+B529+B586+B643+B700</f>
        <v>12500</v>
      </c>
      <c r="C72" s="102">
        <f t="shared" si="68"/>
        <v>3546.0379758846611</v>
      </c>
      <c r="D72" s="103">
        <f t="shared" si="66"/>
        <v>-8953.9620241153389</v>
      </c>
      <c r="E72" s="102">
        <f ca="1">SUMIF('Digital Product Summary by COA'!$C$3:$C$47,$A72,'Digital Product Summary by COA'!$E$3:$E$47)</f>
        <v>36041.206896551725</v>
      </c>
      <c r="F72" s="104"/>
      <c r="J72" s="99">
        <f t="shared" ca="1" si="12"/>
        <v>1.6515492902592844E-2</v>
      </c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5"/>
      <c r="AA72" s="15"/>
      <c r="AB72" s="15"/>
      <c r="AC72" s="15"/>
      <c r="AD72" s="100"/>
      <c r="AE72" s="100"/>
    </row>
    <row r="73" spans="1:31" ht="15.75" customHeight="1" collapsed="1" x14ac:dyDescent="0.3">
      <c r="A73" s="112" t="s">
        <v>135</v>
      </c>
      <c r="B73" s="96">
        <f t="shared" ref="B73:C73" si="69">SUBTOTAL(9,B74)</f>
        <v>37977</v>
      </c>
      <c r="C73" s="96">
        <f t="shared" si="69"/>
        <v>21815.139599670503</v>
      </c>
      <c r="D73" s="114">
        <f>(C73-B73)/B73</f>
        <v>-0.42556969745713186</v>
      </c>
      <c r="E73" s="96">
        <f ca="1">SUBTOTAL(9,E74)</f>
        <v>45886.494252873563</v>
      </c>
      <c r="F73" s="98"/>
      <c r="J73" s="99">
        <f t="shared" ca="1" si="12"/>
        <v>2.1026989255199097E-2</v>
      </c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5"/>
      <c r="AA73" s="15"/>
      <c r="AB73" s="15"/>
      <c r="AC73" s="15"/>
      <c r="AD73" s="100"/>
      <c r="AE73" s="100"/>
    </row>
    <row r="74" spans="1:31" ht="15.75" hidden="1" customHeight="1" outlineLevel="1" x14ac:dyDescent="0.3">
      <c r="A74" s="129" t="s">
        <v>138</v>
      </c>
      <c r="B74" s="102">
        <f t="shared" ref="B74:C74" si="70">B132+B189+B246+B303+B360+B417+B474+B531+B588+B645+B702</f>
        <v>37977</v>
      </c>
      <c r="C74" s="102">
        <f t="shared" si="70"/>
        <v>21815.139599670503</v>
      </c>
      <c r="D74" s="132"/>
      <c r="E74" s="102">
        <f ca="1">SUMIF('Digital Product Summary by COA'!$C$3:$C$47,$A74,'Digital Product Summary by COA'!$E$3:$E$47)</f>
        <v>45886.494252873563</v>
      </c>
      <c r="F74" s="104"/>
      <c r="J74" s="99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5"/>
      <c r="AA74" s="15"/>
      <c r="AB74" s="15"/>
      <c r="AC74" s="15"/>
      <c r="AD74" s="100"/>
      <c r="AE74" s="100"/>
    </row>
    <row r="75" spans="1:31" ht="15.75" customHeight="1" x14ac:dyDescent="0.3">
      <c r="A75" s="134"/>
      <c r="B75" s="135">
        <f t="shared" ref="B75:C75" si="71">SUBTOTAL(9,B24:B74)</f>
        <v>1962223</v>
      </c>
      <c r="C75" s="135">
        <f t="shared" si="71"/>
        <v>1693173.1877083804</v>
      </c>
      <c r="D75" s="138">
        <f>(C75-B75)/B75</f>
        <v>-0.13711479902723575</v>
      </c>
      <c r="E75" s="135">
        <f ca="1">SUBTOTAL(9,E24:E74)</f>
        <v>2182266.500256462</v>
      </c>
      <c r="F75" s="98">
        <f ca="1">(E75-C75)/C75</f>
        <v>0.28886195227910699</v>
      </c>
      <c r="G75" s="69" t="s">
        <v>139</v>
      </c>
      <c r="H75" s="142" t="e">
        <f ca="1">E81+E92+E195+E206+E309+E320+E366+E377+E480+E491</f>
        <v>#NAME?</v>
      </c>
      <c r="I75" s="144" t="e">
        <f ca="1">H75/H78</f>
        <v>#NAME?</v>
      </c>
      <c r="J75" s="99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5"/>
      <c r="AA75" s="15"/>
      <c r="AB75" s="15"/>
      <c r="AC75" s="15"/>
      <c r="AD75" s="100"/>
      <c r="AE75" s="100"/>
    </row>
    <row r="76" spans="1:31" ht="15.75" customHeight="1" x14ac:dyDescent="0.25">
      <c r="A76" s="100"/>
      <c r="B76" s="145"/>
      <c r="C76" s="145"/>
      <c r="D76" s="145"/>
      <c r="E76" s="50">
        <f ca="1">'Shared Summary by Dept_US$'!C21</f>
        <v>2182266.5002564634</v>
      </c>
      <c r="G76" s="69" t="s">
        <v>68</v>
      </c>
      <c r="H76" s="142" t="e">
        <f ca="1">E138+E149+E252+E263+E423+E537+E548+E651+E662+E708+E719</f>
        <v>#NAME?</v>
      </c>
      <c r="I76" s="144" t="e">
        <f ca="1">H76/H78</f>
        <v>#NAME?</v>
      </c>
      <c r="J76" s="13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5"/>
      <c r="AA76" s="15"/>
      <c r="AB76" s="15"/>
      <c r="AC76" s="15"/>
      <c r="AD76" s="100"/>
      <c r="AE76" s="100"/>
    </row>
    <row r="77" spans="1:31" ht="15.75" customHeight="1" x14ac:dyDescent="0.3">
      <c r="A77" s="100"/>
      <c r="B77" s="146"/>
      <c r="C77" s="146"/>
      <c r="D77" s="146"/>
      <c r="E77" s="149">
        <f ca="1">E75-E76</f>
        <v>0</v>
      </c>
      <c r="G77" s="69" t="s">
        <v>140</v>
      </c>
      <c r="I77" s="144"/>
      <c r="J77" s="150"/>
      <c r="K77" s="146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5"/>
      <c r="AA77" s="15"/>
      <c r="AB77" s="15"/>
      <c r="AC77" s="15"/>
      <c r="AD77" s="100"/>
      <c r="AE77" s="100"/>
    </row>
    <row r="78" spans="1:31" ht="15.75" customHeight="1" x14ac:dyDescent="0.3">
      <c r="A78" s="100"/>
      <c r="B78" s="145"/>
      <c r="C78" s="145"/>
      <c r="D78" s="145"/>
      <c r="E78" s="151"/>
      <c r="H78" s="153" t="e">
        <f ca="1">SUM(H75:H77)</f>
        <v>#NAME?</v>
      </c>
      <c r="I78" s="144" t="e">
        <f ca="1">H78/H78</f>
        <v>#NAME?</v>
      </c>
      <c r="J78" s="13"/>
      <c r="K78" s="145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5"/>
      <c r="AA78" s="15"/>
      <c r="AB78" s="15"/>
      <c r="AC78" s="15"/>
      <c r="AD78" s="100"/>
      <c r="AE78" s="100"/>
    </row>
    <row r="79" spans="1:31" ht="15.75" customHeight="1" x14ac:dyDescent="0.3">
      <c r="A79" s="154" t="s">
        <v>31</v>
      </c>
      <c r="B79" s="92">
        <v>2025</v>
      </c>
      <c r="C79" s="92">
        <v>2025</v>
      </c>
      <c r="D79" s="92">
        <v>2025</v>
      </c>
      <c r="E79" s="92">
        <v>2026</v>
      </c>
      <c r="J79" s="155" t="s">
        <v>15</v>
      </c>
      <c r="K79" s="155" t="s">
        <v>15</v>
      </c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5"/>
      <c r="AA79" s="15"/>
      <c r="AB79" s="15"/>
      <c r="AC79" s="15"/>
      <c r="AD79" s="100"/>
      <c r="AE79" s="100"/>
    </row>
    <row r="80" spans="1:31" ht="15.75" customHeight="1" x14ac:dyDescent="0.3">
      <c r="A80" s="156" t="s">
        <v>141</v>
      </c>
      <c r="B80" s="94" t="s">
        <v>13</v>
      </c>
      <c r="C80" s="94" t="s">
        <v>142</v>
      </c>
      <c r="D80" s="94" t="s">
        <v>71</v>
      </c>
      <c r="E80" s="92" t="s">
        <v>13</v>
      </c>
      <c r="J80" s="157" t="s">
        <v>143</v>
      </c>
      <c r="K80" s="158">
        <v>45992</v>
      </c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5"/>
      <c r="AA80" s="15"/>
      <c r="AB80" s="15"/>
      <c r="AC80" s="15"/>
      <c r="AD80" s="100"/>
      <c r="AE80" s="100"/>
    </row>
    <row r="81" spans="1:31" ht="15.75" customHeight="1" collapsed="1" x14ac:dyDescent="0.3">
      <c r="A81" s="159" t="s">
        <v>37</v>
      </c>
      <c r="B81" s="96">
        <f t="shared" ref="B81:E81" si="72">SUBTOTAL(9,B82:B91)</f>
        <v>70668</v>
      </c>
      <c r="C81" s="96">
        <f t="shared" si="72"/>
        <v>42326</v>
      </c>
      <c r="D81" s="96">
        <f t="shared" si="72"/>
        <v>-28342</v>
      </c>
      <c r="E81" s="96" t="e">
        <f t="shared" ca="1" si="72"/>
        <v>#NAME?</v>
      </c>
      <c r="F81" s="160"/>
      <c r="J81" s="161">
        <f t="shared" ref="J81:K81" si="73">SUBTOTAL(9,J82:J91)</f>
        <v>39040</v>
      </c>
      <c r="K81" s="96">
        <f t="shared" si="73"/>
        <v>3286</v>
      </c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5"/>
      <c r="AA81" s="15"/>
      <c r="AB81" s="15"/>
      <c r="AC81" s="15"/>
      <c r="AD81" s="100"/>
      <c r="AE81" s="100"/>
    </row>
    <row r="82" spans="1:31" ht="15.75" hidden="1" customHeight="1" outlineLevel="1" x14ac:dyDescent="0.85">
      <c r="A82" s="162" t="s">
        <v>37</v>
      </c>
      <c r="B82" s="102">
        <v>70668</v>
      </c>
      <c r="C82" s="102">
        <f t="shared" ref="C82:C91" si="74">J82+K82</f>
        <v>42326</v>
      </c>
      <c r="D82" s="102">
        <f t="shared" ref="D82:D91" si="75">C82-B82</f>
        <v>-28342</v>
      </c>
      <c r="E82" s="102" t="e">
        <f ca="1">SUMIFS('Digital Product Summary by COA'!$S$54:$S$325,'Digital Product Summary by COA'!$T$54:$T$325,$A$80,'Digital Product Summary by COA'!$C$54:$C$325,$A82)</f>
        <v>#NAME?</v>
      </c>
      <c r="F82" s="160"/>
      <c r="J82" s="163">
        <v>39040</v>
      </c>
      <c r="K82" s="164">
        <v>3286</v>
      </c>
      <c r="Z82" s="15"/>
      <c r="AA82" s="15"/>
      <c r="AB82" s="15"/>
      <c r="AC82" s="15"/>
    </row>
    <row r="83" spans="1:31" ht="15.75" hidden="1" customHeight="1" outlineLevel="1" x14ac:dyDescent="0.85">
      <c r="A83" s="165" t="s">
        <v>72</v>
      </c>
      <c r="B83" s="102">
        <v>0</v>
      </c>
      <c r="C83" s="102">
        <f t="shared" si="74"/>
        <v>0</v>
      </c>
      <c r="D83" s="102">
        <f t="shared" si="75"/>
        <v>0</v>
      </c>
      <c r="E83" s="102" t="e">
        <f ca="1">SUMIFS('Digital Product Summary by COA'!$S$54:$S$325,'Digital Product Summary by COA'!$T$54:$T$325,$A$80,'Digital Product Summary by COA'!$C$54:$C$325,$A83)</f>
        <v>#NAME?</v>
      </c>
      <c r="F83" s="160"/>
      <c r="J83" s="163"/>
      <c r="K83" s="164"/>
      <c r="Z83" s="15"/>
      <c r="AA83" s="15"/>
      <c r="AB83" s="15"/>
      <c r="AC83" s="15"/>
    </row>
    <row r="84" spans="1:31" ht="15.75" hidden="1" customHeight="1" outlineLevel="1" x14ac:dyDescent="0.85">
      <c r="A84" s="165" t="s">
        <v>73</v>
      </c>
      <c r="B84" s="102">
        <v>0</v>
      </c>
      <c r="C84" s="102">
        <f t="shared" si="74"/>
        <v>0</v>
      </c>
      <c r="D84" s="102">
        <f t="shared" si="75"/>
        <v>0</v>
      </c>
      <c r="E84" s="102">
        <f ca="1">SUMIFS('Digital Product Summary by COA'!$S$54:$S$325,'Digital Product Summary by COA'!$T$54:$T$325,$A$80,'Digital Product Summary by COA'!$C$54:$C$325,$A84)</f>
        <v>0</v>
      </c>
      <c r="F84" s="160"/>
      <c r="J84" s="163"/>
      <c r="K84" s="164"/>
      <c r="Z84" s="15"/>
      <c r="AA84" s="15"/>
      <c r="AB84" s="15"/>
      <c r="AC84" s="15"/>
    </row>
    <row r="85" spans="1:31" ht="15.75" hidden="1" customHeight="1" outlineLevel="1" x14ac:dyDescent="0.85">
      <c r="A85" s="165" t="s">
        <v>74</v>
      </c>
      <c r="B85" s="102">
        <v>0</v>
      </c>
      <c r="C85" s="102">
        <f t="shared" si="74"/>
        <v>0</v>
      </c>
      <c r="D85" s="102">
        <f t="shared" si="75"/>
        <v>0</v>
      </c>
      <c r="E85" s="102">
        <f ca="1">SUMIFS('Digital Product Summary by COA'!$S$54:$S$325,'Digital Product Summary by COA'!$T$54:$T$325,$A$80,'Digital Product Summary by COA'!$C$54:$C$325,$A85)</f>
        <v>0</v>
      </c>
      <c r="F85" s="160"/>
      <c r="J85" s="163"/>
      <c r="K85" s="164"/>
      <c r="Z85" s="15"/>
      <c r="AA85" s="15"/>
      <c r="AB85" s="15"/>
      <c r="AC85" s="15"/>
    </row>
    <row r="86" spans="1:31" ht="15.75" hidden="1" customHeight="1" outlineLevel="1" x14ac:dyDescent="0.85">
      <c r="A86" s="165" t="s">
        <v>77</v>
      </c>
      <c r="B86" s="102">
        <v>0</v>
      </c>
      <c r="C86" s="102">
        <f t="shared" si="74"/>
        <v>0</v>
      </c>
      <c r="D86" s="102">
        <f t="shared" si="75"/>
        <v>0</v>
      </c>
      <c r="E86" s="102" t="e">
        <f ca="1">SUMIFS('Digital Product Summary by COA'!$S$54:$S$325,'Digital Product Summary by COA'!$T$54:$T$325,$A$80,'Digital Product Summary by COA'!$C$54:$C$325,$A86)</f>
        <v>#NAME?</v>
      </c>
      <c r="F86" s="160"/>
      <c r="J86" s="163"/>
      <c r="K86" s="164"/>
      <c r="Z86" s="15"/>
      <c r="AA86" s="15"/>
      <c r="AB86" s="15"/>
      <c r="AC86" s="15"/>
    </row>
    <row r="87" spans="1:31" ht="15.75" hidden="1" customHeight="1" outlineLevel="1" x14ac:dyDescent="0.85">
      <c r="A87" s="165" t="s">
        <v>78</v>
      </c>
      <c r="B87" s="102">
        <v>0</v>
      </c>
      <c r="C87" s="102">
        <f t="shared" si="74"/>
        <v>0</v>
      </c>
      <c r="D87" s="102">
        <f t="shared" si="75"/>
        <v>0</v>
      </c>
      <c r="E87" s="102">
        <f ca="1">SUMIFS('Digital Product Summary by COA'!$S$54:$S$325,'Digital Product Summary by COA'!$T$54:$T$325,$A$80,'Digital Product Summary by COA'!$C$54:$C$325,$A87)</f>
        <v>0</v>
      </c>
      <c r="F87" s="160"/>
      <c r="J87" s="163"/>
      <c r="K87" s="164"/>
      <c r="Z87" s="15"/>
      <c r="AA87" s="15"/>
      <c r="AB87" s="15"/>
      <c r="AC87" s="15"/>
    </row>
    <row r="88" spans="1:31" ht="15.75" hidden="1" customHeight="1" outlineLevel="1" x14ac:dyDescent="0.85">
      <c r="A88" s="165" t="s">
        <v>79</v>
      </c>
      <c r="B88" s="102">
        <v>0</v>
      </c>
      <c r="C88" s="102">
        <f t="shared" si="74"/>
        <v>0</v>
      </c>
      <c r="D88" s="102">
        <f t="shared" si="75"/>
        <v>0</v>
      </c>
      <c r="E88" s="102">
        <f ca="1">SUMIFS('Digital Product Summary by COA'!$S$54:$S$325,'Digital Product Summary by COA'!$T$54:$T$325,$A$80,'Digital Product Summary by COA'!$C$54:$C$325,$A88)</f>
        <v>0</v>
      </c>
      <c r="F88" s="160"/>
      <c r="J88" s="163"/>
      <c r="K88" s="164"/>
      <c r="Z88" s="15"/>
      <c r="AA88" s="15"/>
      <c r="AB88" s="15"/>
      <c r="AC88" s="15"/>
    </row>
    <row r="89" spans="1:31" ht="15.75" hidden="1" customHeight="1" outlineLevel="1" x14ac:dyDescent="0.85">
      <c r="A89" s="165" t="s">
        <v>80</v>
      </c>
      <c r="B89" s="102">
        <v>0</v>
      </c>
      <c r="C89" s="102">
        <f t="shared" si="74"/>
        <v>0</v>
      </c>
      <c r="D89" s="102">
        <f t="shared" si="75"/>
        <v>0</v>
      </c>
      <c r="E89" s="102">
        <f ca="1">SUMIFS('Digital Product Summary by COA'!$S$54:$S$325,'Digital Product Summary by COA'!$T$54:$T$325,$A$80,'Digital Product Summary by COA'!$C$54:$C$325,$A89)</f>
        <v>0</v>
      </c>
      <c r="F89" s="160"/>
      <c r="J89" s="163"/>
      <c r="K89" s="164"/>
      <c r="Z89" s="15"/>
      <c r="AA89" s="15"/>
      <c r="AB89" s="15"/>
      <c r="AC89" s="15"/>
    </row>
    <row r="90" spans="1:31" ht="15.75" hidden="1" customHeight="1" outlineLevel="1" x14ac:dyDescent="0.85">
      <c r="A90" s="165" t="s">
        <v>82</v>
      </c>
      <c r="B90" s="102">
        <v>0</v>
      </c>
      <c r="C90" s="102">
        <f t="shared" si="74"/>
        <v>0</v>
      </c>
      <c r="D90" s="102">
        <f t="shared" si="75"/>
        <v>0</v>
      </c>
      <c r="E90" s="102">
        <f ca="1">SUMIFS('Digital Product Summary by COA'!$S$54:$S$325,'Digital Product Summary by COA'!$T$54:$T$325,$A$80,'Digital Product Summary by COA'!$C$54:$C$325,$A90)</f>
        <v>0</v>
      </c>
      <c r="F90" s="160"/>
      <c r="J90" s="163"/>
      <c r="K90" s="164"/>
      <c r="Z90" s="15"/>
      <c r="AA90" s="15"/>
      <c r="AB90" s="15"/>
      <c r="AC90" s="15"/>
    </row>
    <row r="91" spans="1:31" ht="15.75" hidden="1" customHeight="1" outlineLevel="1" x14ac:dyDescent="0.85">
      <c r="A91" s="165" t="s">
        <v>83</v>
      </c>
      <c r="B91" s="102">
        <v>0</v>
      </c>
      <c r="C91" s="102">
        <f t="shared" si="74"/>
        <v>0</v>
      </c>
      <c r="D91" s="102">
        <f t="shared" si="75"/>
        <v>0</v>
      </c>
      <c r="E91" s="102">
        <f ca="1">SUMIFS('Digital Product Summary by COA'!$S$54:$S$325,'Digital Product Summary by COA'!$T$54:$T$325,$A$80,'Digital Product Summary by COA'!$C$54:$C$325,$A91)</f>
        <v>0</v>
      </c>
      <c r="F91" s="160"/>
      <c r="J91" s="163"/>
      <c r="K91" s="164"/>
      <c r="Z91" s="15"/>
      <c r="AA91" s="15"/>
      <c r="AB91" s="15"/>
      <c r="AC91" s="15"/>
    </row>
    <row r="92" spans="1:31" ht="15.75" customHeight="1" collapsed="1" x14ac:dyDescent="0.3">
      <c r="A92" s="166" t="s">
        <v>84</v>
      </c>
      <c r="B92" s="168">
        <f t="shared" ref="B92:E92" si="76">SUBTOTAL(9,B93)</f>
        <v>93913</v>
      </c>
      <c r="C92" s="168">
        <f t="shared" si="76"/>
        <v>73646</v>
      </c>
      <c r="D92" s="168">
        <f t="shared" si="76"/>
        <v>-20267</v>
      </c>
      <c r="E92" s="168" t="e">
        <f t="shared" ca="1" si="76"/>
        <v>#NAME?</v>
      </c>
      <c r="F92" s="160"/>
      <c r="J92" s="169">
        <f t="shared" ref="J92:K92" si="77">SUBTOTAL(9,J93)</f>
        <v>68123</v>
      </c>
      <c r="K92" s="168">
        <f t="shared" si="77"/>
        <v>5523</v>
      </c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5"/>
      <c r="AA92" s="15"/>
      <c r="AB92" s="15"/>
      <c r="AC92" s="15"/>
      <c r="AD92" s="100"/>
      <c r="AE92" s="100"/>
    </row>
    <row r="93" spans="1:31" ht="15.75" hidden="1" customHeight="1" outlineLevel="1" x14ac:dyDescent="0.85">
      <c r="A93" s="165" t="s">
        <v>85</v>
      </c>
      <c r="B93" s="102">
        <v>93913</v>
      </c>
      <c r="C93" s="102">
        <f>J93+K93</f>
        <v>73646</v>
      </c>
      <c r="D93" s="145">
        <f>C93-B93</f>
        <v>-20267</v>
      </c>
      <c r="E93" s="102" t="e">
        <f ca="1">SUMIFS('Digital Product Summary by COA'!$S$54:$S$325,'Digital Product Summary by COA'!$T$54:$T$325,$A$80,'Digital Product Summary by COA'!$C$54:$C$325,$A93)</f>
        <v>#NAME?</v>
      </c>
      <c r="F93" s="160"/>
      <c r="J93" s="163">
        <v>68123</v>
      </c>
      <c r="K93" s="164">
        <v>5523</v>
      </c>
      <c r="Z93" s="15"/>
      <c r="AA93" s="15"/>
      <c r="AB93" s="15"/>
      <c r="AC93" s="15"/>
    </row>
    <row r="94" spans="1:31" ht="15.75" customHeight="1" collapsed="1" x14ac:dyDescent="0.3">
      <c r="A94" s="166" t="s">
        <v>86</v>
      </c>
      <c r="B94" s="168">
        <f t="shared" ref="B94:E94" si="78">SUBTOTAL(9,B95:B100)</f>
        <v>15085</v>
      </c>
      <c r="C94" s="168">
        <f t="shared" si="78"/>
        <v>6950</v>
      </c>
      <c r="D94" s="168">
        <f t="shared" si="78"/>
        <v>-8135</v>
      </c>
      <c r="E94" s="168" t="e">
        <f t="shared" ca="1" si="78"/>
        <v>#NAME?</v>
      </c>
      <c r="F94" s="160"/>
      <c r="J94" s="169">
        <f t="shared" ref="J94:K94" si="79">SUBTOTAL(9,J95:J100)</f>
        <v>6587</v>
      </c>
      <c r="K94" s="168">
        <f t="shared" si="79"/>
        <v>363</v>
      </c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5"/>
      <c r="AA94" s="15"/>
      <c r="AB94" s="15"/>
      <c r="AC94" s="15"/>
      <c r="AD94" s="100"/>
      <c r="AE94" s="100"/>
    </row>
    <row r="95" spans="1:31" ht="15.75" hidden="1" customHeight="1" outlineLevel="1" x14ac:dyDescent="0.85">
      <c r="A95" s="165" t="s">
        <v>88</v>
      </c>
      <c r="B95" s="102">
        <v>3814</v>
      </c>
      <c r="C95" s="102">
        <f t="shared" ref="C95:C100" si="80">J95+K95</f>
        <v>1023</v>
      </c>
      <c r="D95" s="102">
        <f t="shared" ref="D95:D100" si="81">C95-B95</f>
        <v>-2791</v>
      </c>
      <c r="E95" s="102" t="e">
        <f ca="1">SUMIFS('Digital Product Summary by COA'!$S$54:$S$325,'Digital Product Summary by COA'!$T$54:$T$325,$A$80,'Digital Product Summary by COA'!$C$54:$C$325,$A95)</f>
        <v>#NAME?</v>
      </c>
      <c r="F95" s="160"/>
      <c r="J95" s="163">
        <v>1023</v>
      </c>
      <c r="K95" s="164"/>
      <c r="Z95" s="15"/>
      <c r="AA95" s="15"/>
      <c r="AB95" s="15"/>
      <c r="AC95" s="15"/>
    </row>
    <row r="96" spans="1:31" ht="15.75" hidden="1" customHeight="1" outlineLevel="1" x14ac:dyDescent="0.85">
      <c r="A96" s="165" t="s">
        <v>89</v>
      </c>
      <c r="B96" s="139">
        <v>4568</v>
      </c>
      <c r="C96" s="102">
        <f t="shared" si="80"/>
        <v>4283</v>
      </c>
      <c r="D96" s="102">
        <f t="shared" si="81"/>
        <v>-285</v>
      </c>
      <c r="E96" s="102" t="e">
        <f ca="1">SUMIFS('Digital Product Summary by COA'!$S$54:$S$325,'Digital Product Summary by COA'!$T$54:$T$325,$A$80,'Digital Product Summary by COA'!$C$54:$C$325,$A96)</f>
        <v>#NAME?</v>
      </c>
      <c r="F96" s="160"/>
      <c r="J96" s="163">
        <v>4283</v>
      </c>
      <c r="K96" s="164"/>
      <c r="Z96" s="15"/>
      <c r="AA96" s="15"/>
      <c r="AB96" s="15"/>
      <c r="AC96" s="15"/>
    </row>
    <row r="97" spans="1:31" ht="15.75" hidden="1" customHeight="1" outlineLevel="1" x14ac:dyDescent="0.85">
      <c r="A97" s="165" t="s">
        <v>90</v>
      </c>
      <c r="B97" s="139">
        <v>3631</v>
      </c>
      <c r="C97" s="102">
        <f t="shared" si="80"/>
        <v>697</v>
      </c>
      <c r="D97" s="102">
        <f t="shared" si="81"/>
        <v>-2934</v>
      </c>
      <c r="E97" s="102" t="e">
        <f ca="1">SUMIFS('Digital Product Summary by COA'!$S$54:$S$325,'Digital Product Summary by COA'!$T$54:$T$325,$A$80,'Digital Product Summary by COA'!$C$54:$C$325,$A97)</f>
        <v>#NAME?</v>
      </c>
      <c r="F97" s="160"/>
      <c r="J97" s="163">
        <v>454</v>
      </c>
      <c r="K97" s="164">
        <v>243</v>
      </c>
      <c r="Z97" s="15"/>
      <c r="AA97" s="15"/>
      <c r="AB97" s="15"/>
      <c r="AC97" s="15"/>
    </row>
    <row r="98" spans="1:31" ht="15.75" hidden="1" customHeight="1" outlineLevel="1" x14ac:dyDescent="0.85">
      <c r="A98" s="165" t="s">
        <v>91</v>
      </c>
      <c r="B98" s="139">
        <v>1589</v>
      </c>
      <c r="C98" s="102">
        <f t="shared" si="80"/>
        <v>127</v>
      </c>
      <c r="D98" s="102">
        <f t="shared" si="81"/>
        <v>-1462</v>
      </c>
      <c r="E98" s="102" t="e">
        <f ca="1">SUMIFS('Digital Product Summary by COA'!$S$54:$S$325,'Digital Product Summary by COA'!$T$54:$T$325,$A$80,'Digital Product Summary by COA'!$C$54:$C$325,$A98)</f>
        <v>#NAME?</v>
      </c>
      <c r="F98" s="160"/>
      <c r="J98" s="163">
        <v>127</v>
      </c>
      <c r="K98" s="164"/>
      <c r="Z98" s="15"/>
      <c r="AA98" s="15"/>
      <c r="AB98" s="15"/>
      <c r="AC98" s="15"/>
    </row>
    <row r="99" spans="1:31" ht="15.75" hidden="1" customHeight="1" outlineLevel="1" x14ac:dyDescent="0.85">
      <c r="A99" s="165" t="s">
        <v>92</v>
      </c>
      <c r="B99" s="139">
        <v>0</v>
      </c>
      <c r="C99" s="102">
        <f t="shared" si="80"/>
        <v>1</v>
      </c>
      <c r="D99" s="102">
        <f t="shared" si="81"/>
        <v>1</v>
      </c>
      <c r="E99" s="102" t="e">
        <f ca="1">SUMIFS('Digital Product Summary by COA'!$S$54:$S$325,'Digital Product Summary by COA'!$T$54:$T$325,$A$80,'Digital Product Summary by COA'!$C$54:$C$325,$A99)</f>
        <v>#NAME?</v>
      </c>
      <c r="F99" s="160"/>
      <c r="J99" s="163">
        <v>1</v>
      </c>
      <c r="K99" s="164"/>
      <c r="Z99" s="15"/>
      <c r="AA99" s="15"/>
      <c r="AB99" s="15"/>
      <c r="AC99" s="15"/>
    </row>
    <row r="100" spans="1:31" ht="15.75" hidden="1" customHeight="1" outlineLevel="1" x14ac:dyDescent="0.85">
      <c r="A100" s="165" t="s">
        <v>93</v>
      </c>
      <c r="B100" s="172">
        <v>1483</v>
      </c>
      <c r="C100" s="102">
        <f t="shared" si="80"/>
        <v>819</v>
      </c>
      <c r="D100" s="102">
        <f t="shared" si="81"/>
        <v>-664</v>
      </c>
      <c r="E100" s="102" t="e">
        <f ca="1">SUMIFS('Digital Product Summary by COA'!$S$54:$S$325,'Digital Product Summary by COA'!$T$54:$T$325,$A$80,'Digital Product Summary by COA'!$C$54:$C$325,$A100)</f>
        <v>#NAME?</v>
      </c>
      <c r="F100" s="160"/>
      <c r="J100" s="163">
        <v>699</v>
      </c>
      <c r="K100" s="164">
        <v>120</v>
      </c>
      <c r="Z100" s="15"/>
      <c r="AA100" s="15"/>
      <c r="AB100" s="15"/>
      <c r="AC100" s="15"/>
    </row>
    <row r="101" spans="1:31" ht="15.75" customHeight="1" collapsed="1" x14ac:dyDescent="0.3">
      <c r="A101" s="166" t="s">
        <v>94</v>
      </c>
      <c r="B101" s="168">
        <f t="shared" ref="B101:E101" si="82">SUBTOTAL(9,B102:B106)</f>
        <v>0</v>
      </c>
      <c r="C101" s="168">
        <f t="shared" si="82"/>
        <v>15</v>
      </c>
      <c r="D101" s="168">
        <f t="shared" si="82"/>
        <v>15</v>
      </c>
      <c r="E101" s="168" t="e">
        <f t="shared" ca="1" si="82"/>
        <v>#NAME?</v>
      </c>
      <c r="F101" s="160"/>
      <c r="J101" s="169">
        <f t="shared" ref="J101:K101" si="83">SUBTOTAL(9,J102:J106)</f>
        <v>15</v>
      </c>
      <c r="K101" s="168">
        <f t="shared" si="83"/>
        <v>0</v>
      </c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5"/>
      <c r="AA101" s="15"/>
      <c r="AB101" s="15"/>
      <c r="AC101" s="15"/>
      <c r="AD101" s="100"/>
      <c r="AE101" s="100"/>
    </row>
    <row r="102" spans="1:31" ht="15.75" hidden="1" customHeight="1" outlineLevel="1" x14ac:dyDescent="0.85">
      <c r="A102" s="165" t="s">
        <v>95</v>
      </c>
      <c r="B102" s="102">
        <v>0</v>
      </c>
      <c r="C102" s="102">
        <f t="shared" ref="C102:C106" si="84">J102+K102</f>
        <v>14</v>
      </c>
      <c r="D102" s="102">
        <f t="shared" ref="D102:D106" si="85">C102-B102</f>
        <v>14</v>
      </c>
      <c r="E102" s="102" t="e">
        <f ca="1">SUMIFS('Digital Product Summary by COA'!$S$54:$S$325,'Digital Product Summary by COA'!$T$54:$T$325,$A$80,'Digital Product Summary by COA'!$C$54:$C$325,$A102)</f>
        <v>#NAME?</v>
      </c>
      <c r="F102" s="160"/>
      <c r="J102" s="163">
        <v>14</v>
      </c>
      <c r="K102" s="164"/>
      <c r="Z102" s="15"/>
      <c r="AA102" s="15"/>
      <c r="AB102" s="15"/>
      <c r="AC102" s="15"/>
    </row>
    <row r="103" spans="1:31" ht="15.75" hidden="1" customHeight="1" outlineLevel="1" x14ac:dyDescent="0.85">
      <c r="A103" s="165" t="s">
        <v>96</v>
      </c>
      <c r="B103" s="139">
        <v>0</v>
      </c>
      <c r="C103" s="102">
        <f t="shared" si="84"/>
        <v>0</v>
      </c>
      <c r="D103" s="102">
        <f t="shared" si="85"/>
        <v>0</v>
      </c>
      <c r="E103" s="102">
        <f ca="1">SUMIFS('Digital Product Summary by COA'!$S$54:$S$325,'Digital Product Summary by COA'!$T$54:$T$325,$A$80,'Digital Product Summary by COA'!$C$54:$C$325,$A103)</f>
        <v>0</v>
      </c>
      <c r="F103" s="160"/>
      <c r="J103" s="163"/>
      <c r="K103" s="164"/>
      <c r="Z103" s="15"/>
      <c r="AA103" s="15"/>
      <c r="AB103" s="15"/>
      <c r="AC103" s="15"/>
    </row>
    <row r="104" spans="1:31" ht="15.75" hidden="1" customHeight="1" outlineLevel="1" x14ac:dyDescent="0.85">
      <c r="A104" s="165" t="s">
        <v>97</v>
      </c>
      <c r="B104" s="139">
        <v>0</v>
      </c>
      <c r="C104" s="102">
        <f t="shared" si="84"/>
        <v>0</v>
      </c>
      <c r="D104" s="102">
        <f t="shared" si="85"/>
        <v>0</v>
      </c>
      <c r="E104" s="102">
        <f ca="1">SUMIFS('Digital Product Summary by COA'!$S$54:$S$325,'Digital Product Summary by COA'!$T$54:$T$325,$A$80,'Digital Product Summary by COA'!$C$54:$C$325,$A104)</f>
        <v>0</v>
      </c>
      <c r="F104" s="160"/>
      <c r="J104" s="163"/>
      <c r="K104" s="164"/>
      <c r="Z104" s="15"/>
      <c r="AA104" s="15"/>
      <c r="AB104" s="15"/>
      <c r="AC104" s="15"/>
    </row>
    <row r="105" spans="1:31" ht="15.75" hidden="1" customHeight="1" outlineLevel="1" x14ac:dyDescent="0.85">
      <c r="A105" s="165" t="s">
        <v>98</v>
      </c>
      <c r="B105" s="139">
        <v>0</v>
      </c>
      <c r="C105" s="102">
        <f t="shared" si="84"/>
        <v>0</v>
      </c>
      <c r="D105" s="102">
        <f t="shared" si="85"/>
        <v>0</v>
      </c>
      <c r="E105" s="102">
        <f ca="1">SUMIFS('Digital Product Summary by COA'!$S$54:$S$325,'Digital Product Summary by COA'!$T$54:$T$325,$A$80,'Digital Product Summary by COA'!$C$54:$C$325,$A105)</f>
        <v>0</v>
      </c>
      <c r="F105" s="160"/>
      <c r="J105" s="163"/>
      <c r="K105" s="164"/>
      <c r="Z105" s="15"/>
      <c r="AA105" s="15"/>
      <c r="AB105" s="15"/>
      <c r="AC105" s="15"/>
    </row>
    <row r="106" spans="1:31" ht="15.75" hidden="1" customHeight="1" outlineLevel="1" x14ac:dyDescent="0.85">
      <c r="A106" s="165" t="s">
        <v>99</v>
      </c>
      <c r="B106" s="172">
        <v>0</v>
      </c>
      <c r="C106" s="102">
        <f t="shared" si="84"/>
        <v>1</v>
      </c>
      <c r="D106" s="102">
        <f t="shared" si="85"/>
        <v>1</v>
      </c>
      <c r="E106" s="102" t="e">
        <f ca="1">SUMIFS('Digital Product Summary by COA'!$S$54:$S$325,'Digital Product Summary by COA'!$T$54:$T$325,$A$80,'Digital Product Summary by COA'!$C$54:$C$325,$A106)</f>
        <v>#NAME?</v>
      </c>
      <c r="F106" s="160"/>
      <c r="J106" s="163">
        <v>1</v>
      </c>
      <c r="K106" s="164"/>
      <c r="Z106" s="15"/>
      <c r="AA106" s="15"/>
      <c r="AB106" s="15"/>
      <c r="AC106" s="15"/>
    </row>
    <row r="107" spans="1:31" ht="15.75" customHeight="1" collapsed="1" x14ac:dyDescent="0.3">
      <c r="A107" s="166" t="s">
        <v>100</v>
      </c>
      <c r="B107" s="168">
        <f t="shared" ref="B107:E107" si="86">SUBTOTAL(9,B108:B110)</f>
        <v>0</v>
      </c>
      <c r="C107" s="168">
        <f t="shared" si="86"/>
        <v>363</v>
      </c>
      <c r="D107" s="168">
        <f t="shared" si="86"/>
        <v>363</v>
      </c>
      <c r="E107" s="168" t="e">
        <f t="shared" ca="1" si="86"/>
        <v>#NAME?</v>
      </c>
      <c r="F107" s="160"/>
      <c r="J107" s="169">
        <f t="shared" ref="J107:K107" si="87">SUBTOTAL(9,J108:J110)</f>
        <v>363</v>
      </c>
      <c r="K107" s="168">
        <f t="shared" si="87"/>
        <v>0</v>
      </c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5"/>
      <c r="AA107" s="15"/>
      <c r="AB107" s="15"/>
      <c r="AC107" s="15"/>
      <c r="AD107" s="100"/>
      <c r="AE107" s="100"/>
    </row>
    <row r="108" spans="1:31" ht="15.75" hidden="1" customHeight="1" outlineLevel="1" x14ac:dyDescent="0.85">
      <c r="A108" s="165" t="s">
        <v>101</v>
      </c>
      <c r="B108" s="102">
        <v>0</v>
      </c>
      <c r="C108" s="102">
        <f t="shared" ref="C108:C110" si="88">J108+K108</f>
        <v>0</v>
      </c>
      <c r="D108" s="102">
        <f t="shared" ref="D108:D110" si="89">C108-B108</f>
        <v>0</v>
      </c>
      <c r="E108" s="102" t="e">
        <f ca="1">SUMIFS('Digital Product Summary by COA'!$S$54:$S$325,'Digital Product Summary by COA'!$T$54:$T$325,$A$80,'Digital Product Summary by COA'!$C$54:$C$325,$A108)</f>
        <v>#NAME?</v>
      </c>
      <c r="F108" s="160"/>
      <c r="J108" s="163"/>
      <c r="K108" s="164"/>
      <c r="Z108" s="15"/>
      <c r="AA108" s="15"/>
      <c r="AB108" s="15"/>
      <c r="AC108" s="15"/>
    </row>
    <row r="109" spans="1:31" ht="15.75" hidden="1" customHeight="1" outlineLevel="1" x14ac:dyDescent="0.85">
      <c r="A109" s="165" t="s">
        <v>103</v>
      </c>
      <c r="B109" s="139">
        <v>0</v>
      </c>
      <c r="C109" s="102">
        <f t="shared" si="88"/>
        <v>353</v>
      </c>
      <c r="D109" s="102">
        <f t="shared" si="89"/>
        <v>353</v>
      </c>
      <c r="E109" s="102" t="e">
        <f ca="1">SUMIFS('Digital Product Summary by COA'!$S$54:$S$325,'Digital Product Summary by COA'!$T$54:$T$325,$A$80,'Digital Product Summary by COA'!$C$54:$C$325,$A109)</f>
        <v>#NAME?</v>
      </c>
      <c r="F109" s="160"/>
      <c r="J109" s="163">
        <v>353</v>
      </c>
      <c r="K109" s="164">
        <v>0</v>
      </c>
      <c r="Z109" s="15"/>
      <c r="AA109" s="15"/>
      <c r="AB109" s="15"/>
      <c r="AC109" s="15"/>
    </row>
    <row r="110" spans="1:31" ht="15.75" hidden="1" customHeight="1" outlineLevel="1" x14ac:dyDescent="0.85">
      <c r="A110" s="165" t="s">
        <v>104</v>
      </c>
      <c r="B110" s="172">
        <v>0</v>
      </c>
      <c r="C110" s="102">
        <f t="shared" si="88"/>
        <v>10</v>
      </c>
      <c r="D110" s="102">
        <f t="shared" si="89"/>
        <v>10</v>
      </c>
      <c r="E110" s="102" t="e">
        <f ca="1">SUMIFS('Digital Product Summary by COA'!$S$54:$S$325,'Digital Product Summary by COA'!$T$54:$T$325,$A$80,'Digital Product Summary by COA'!$C$54:$C$325,$A110)</f>
        <v>#NAME?</v>
      </c>
      <c r="F110" s="160"/>
      <c r="J110" s="163">
        <v>10</v>
      </c>
      <c r="K110" s="164"/>
      <c r="Z110" s="15"/>
      <c r="AA110" s="15"/>
      <c r="AB110" s="15"/>
      <c r="AC110" s="15"/>
    </row>
    <row r="111" spans="1:31" ht="15.75" customHeight="1" collapsed="1" x14ac:dyDescent="0.3">
      <c r="A111" s="166" t="s">
        <v>105</v>
      </c>
      <c r="B111" s="168">
        <f t="shared" ref="B111:E111" si="90">SUBTOTAL(9,B112:B126)</f>
        <v>5085</v>
      </c>
      <c r="C111" s="168">
        <f t="shared" si="90"/>
        <v>1</v>
      </c>
      <c r="D111" s="168">
        <f t="shared" si="90"/>
        <v>-5084</v>
      </c>
      <c r="E111" s="168" t="e">
        <f t="shared" ca="1" si="90"/>
        <v>#NAME?</v>
      </c>
      <c r="F111" s="160"/>
      <c r="J111" s="169">
        <f t="shared" ref="J111:K111" si="91">SUBTOTAL(9,J112:J126)</f>
        <v>1</v>
      </c>
      <c r="K111" s="168">
        <f t="shared" si="91"/>
        <v>0</v>
      </c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5"/>
      <c r="AA111" s="15"/>
      <c r="AB111" s="15"/>
      <c r="AC111" s="15"/>
      <c r="AD111" s="100"/>
      <c r="AE111" s="100"/>
    </row>
    <row r="112" spans="1:31" ht="15.75" hidden="1" customHeight="1" outlineLevel="1" x14ac:dyDescent="0.85">
      <c r="A112" s="165" t="s">
        <v>110</v>
      </c>
      <c r="B112" s="102">
        <v>5085</v>
      </c>
      <c r="C112" s="102">
        <f t="shared" ref="C112:C126" si="92">J112+K112</f>
        <v>1</v>
      </c>
      <c r="D112" s="102">
        <f t="shared" ref="D112:D126" si="93">C112-B112</f>
        <v>-5084</v>
      </c>
      <c r="E112" s="102" t="e">
        <f ca="1">SUMIFS('Digital Product Summary by COA'!$S$54:$S$325,'Digital Product Summary by COA'!$T$54:$T$325,$A$80,'Digital Product Summary by COA'!$C$54:$C$325,$A112)</f>
        <v>#NAME?</v>
      </c>
      <c r="F112" s="160"/>
      <c r="J112" s="163">
        <v>1</v>
      </c>
      <c r="K112" s="164"/>
      <c r="Z112" s="15"/>
      <c r="AA112" s="15"/>
      <c r="AB112" s="15"/>
      <c r="AC112" s="15"/>
    </row>
    <row r="113" spans="1:31" ht="15.75" hidden="1" customHeight="1" outlineLevel="1" x14ac:dyDescent="0.85">
      <c r="A113" s="165" t="s">
        <v>111</v>
      </c>
      <c r="B113" s="139">
        <v>0</v>
      </c>
      <c r="C113" s="102">
        <f t="shared" si="92"/>
        <v>0</v>
      </c>
      <c r="D113" s="102">
        <f t="shared" si="93"/>
        <v>0</v>
      </c>
      <c r="E113" s="102">
        <f ca="1">SUMIFS('Digital Product Summary by COA'!$S$54:$S$325,'Digital Product Summary by COA'!$T$54:$T$325,$A$80,'Digital Product Summary by COA'!$C$54:$C$325,$A113)</f>
        <v>0</v>
      </c>
      <c r="F113" s="160"/>
      <c r="J113" s="163"/>
      <c r="K113" s="164"/>
      <c r="Z113" s="15"/>
      <c r="AA113" s="15"/>
      <c r="AB113" s="15"/>
      <c r="AC113" s="15"/>
    </row>
    <row r="114" spans="1:31" ht="15.75" hidden="1" customHeight="1" outlineLevel="1" x14ac:dyDescent="0.85">
      <c r="A114" s="165" t="s">
        <v>112</v>
      </c>
      <c r="B114" s="139">
        <v>0</v>
      </c>
      <c r="C114" s="102">
        <f t="shared" si="92"/>
        <v>0</v>
      </c>
      <c r="D114" s="102">
        <f t="shared" si="93"/>
        <v>0</v>
      </c>
      <c r="E114" s="102">
        <f ca="1">SUMIFS('Digital Product Summary by COA'!$S$54:$S$325,'Digital Product Summary by COA'!$T$54:$T$325,$A$80,'Digital Product Summary by COA'!$C$54:$C$325,$A114)</f>
        <v>0</v>
      </c>
      <c r="F114" s="160"/>
      <c r="J114" s="163"/>
      <c r="K114" s="164"/>
      <c r="Z114" s="15"/>
      <c r="AA114" s="15"/>
      <c r="AB114" s="15"/>
      <c r="AC114" s="15"/>
    </row>
    <row r="115" spans="1:31" ht="15.75" hidden="1" customHeight="1" outlineLevel="1" x14ac:dyDescent="0.85">
      <c r="A115" s="165" t="s">
        <v>113</v>
      </c>
      <c r="B115" s="139">
        <v>0</v>
      </c>
      <c r="C115" s="102">
        <f t="shared" si="92"/>
        <v>0</v>
      </c>
      <c r="D115" s="102">
        <f t="shared" si="93"/>
        <v>0</v>
      </c>
      <c r="E115" s="102" t="e">
        <f ca="1">SUMIFS('Digital Product Summary by COA'!$S$54:$S$325,'Digital Product Summary by COA'!$T$54:$T$325,$A$80,'Digital Product Summary by COA'!$C$54:$C$325,$A115)</f>
        <v>#NAME?</v>
      </c>
      <c r="F115" s="160"/>
      <c r="J115" s="163"/>
      <c r="K115" s="164"/>
      <c r="Z115" s="15"/>
      <c r="AA115" s="15"/>
      <c r="AB115" s="15"/>
      <c r="AC115" s="15"/>
    </row>
    <row r="116" spans="1:31" ht="15.75" hidden="1" customHeight="1" outlineLevel="1" x14ac:dyDescent="0.85">
      <c r="A116" s="165" t="s">
        <v>114</v>
      </c>
      <c r="B116" s="139">
        <v>0</v>
      </c>
      <c r="C116" s="102">
        <f t="shared" si="92"/>
        <v>0</v>
      </c>
      <c r="D116" s="102">
        <f t="shared" si="93"/>
        <v>0</v>
      </c>
      <c r="E116" s="102" t="e">
        <f ca="1">SUMIFS('Digital Product Summary by COA'!$S$54:$S$325,'Digital Product Summary by COA'!$T$54:$T$325,$A$80,'Digital Product Summary by COA'!$C$54:$C$325,$A116)</f>
        <v>#NAME?</v>
      </c>
      <c r="F116" s="160"/>
      <c r="J116" s="163"/>
      <c r="K116" s="164"/>
      <c r="Z116" s="15"/>
      <c r="AA116" s="15"/>
      <c r="AB116" s="15"/>
      <c r="AC116" s="15"/>
    </row>
    <row r="117" spans="1:31" ht="15.75" hidden="1" customHeight="1" outlineLevel="1" x14ac:dyDescent="0.85">
      <c r="A117" s="165" t="s">
        <v>115</v>
      </c>
      <c r="B117" s="139">
        <v>0</v>
      </c>
      <c r="C117" s="102">
        <f t="shared" si="92"/>
        <v>0</v>
      </c>
      <c r="D117" s="102">
        <f t="shared" si="93"/>
        <v>0</v>
      </c>
      <c r="E117" s="102">
        <f ca="1">SUMIFS('Digital Product Summary by COA'!$S$54:$S$325,'Digital Product Summary by COA'!$T$54:$T$325,$A$80,'Digital Product Summary by COA'!$C$54:$C$325,$A117)</f>
        <v>0</v>
      </c>
      <c r="F117" s="160"/>
      <c r="J117" s="163"/>
      <c r="K117" s="164"/>
      <c r="Z117" s="15"/>
      <c r="AA117" s="15"/>
      <c r="AB117" s="15"/>
      <c r="AC117" s="15"/>
    </row>
    <row r="118" spans="1:31" ht="15.75" hidden="1" customHeight="1" outlineLevel="1" x14ac:dyDescent="0.85">
      <c r="A118" s="165" t="s">
        <v>117</v>
      </c>
      <c r="B118" s="139">
        <v>0</v>
      </c>
      <c r="C118" s="102">
        <f t="shared" si="92"/>
        <v>0</v>
      </c>
      <c r="D118" s="102">
        <f t="shared" si="93"/>
        <v>0</v>
      </c>
      <c r="E118" s="102">
        <f ca="1">SUMIFS('Digital Product Summary by COA'!$S$54:$S$325,'Digital Product Summary by COA'!$T$54:$T$325,$A$80,'Digital Product Summary by COA'!$C$54:$C$325,$A118)</f>
        <v>0</v>
      </c>
      <c r="F118" s="160"/>
      <c r="J118" s="163"/>
      <c r="K118" s="164"/>
      <c r="Z118" s="15"/>
      <c r="AA118" s="15"/>
      <c r="AB118" s="15"/>
      <c r="AC118" s="15"/>
    </row>
    <row r="119" spans="1:31" ht="15.75" hidden="1" customHeight="1" outlineLevel="1" x14ac:dyDescent="0.85">
      <c r="A119" s="165" t="s">
        <v>118</v>
      </c>
      <c r="B119" s="139">
        <v>0</v>
      </c>
      <c r="C119" s="102">
        <f t="shared" si="92"/>
        <v>0</v>
      </c>
      <c r="D119" s="102">
        <f t="shared" si="93"/>
        <v>0</v>
      </c>
      <c r="E119" s="102">
        <f ca="1">SUMIFS('Digital Product Summary by COA'!$S$54:$S$325,'Digital Product Summary by COA'!$T$54:$T$325,$A$80,'Digital Product Summary by COA'!$C$54:$C$325,$A119)</f>
        <v>0</v>
      </c>
      <c r="F119" s="160"/>
      <c r="J119" s="163"/>
      <c r="K119" s="164"/>
      <c r="Z119" s="15"/>
      <c r="AA119" s="15"/>
      <c r="AB119" s="15"/>
      <c r="AC119" s="15"/>
    </row>
    <row r="120" spans="1:31" ht="15.75" hidden="1" customHeight="1" outlineLevel="1" x14ac:dyDescent="0.85">
      <c r="A120" s="165" t="s">
        <v>119</v>
      </c>
      <c r="B120" s="139">
        <v>0</v>
      </c>
      <c r="C120" s="102">
        <f t="shared" si="92"/>
        <v>0</v>
      </c>
      <c r="D120" s="102">
        <f t="shared" si="93"/>
        <v>0</v>
      </c>
      <c r="E120" s="102">
        <f ca="1">SUMIFS('Digital Product Summary by COA'!$S$54:$S$325,'Digital Product Summary by COA'!$T$54:$T$325,$A$80,'Digital Product Summary by COA'!$C$54:$C$325,$A120)</f>
        <v>0</v>
      </c>
      <c r="F120" s="160"/>
      <c r="J120" s="163"/>
      <c r="K120" s="164"/>
      <c r="Z120" s="15"/>
      <c r="AA120" s="15"/>
      <c r="AB120" s="15"/>
      <c r="AC120" s="15"/>
    </row>
    <row r="121" spans="1:31" ht="15.75" hidden="1" customHeight="1" outlineLevel="1" x14ac:dyDescent="0.85">
      <c r="A121" s="165" t="s">
        <v>120</v>
      </c>
      <c r="B121" s="139">
        <v>0</v>
      </c>
      <c r="C121" s="102">
        <f t="shared" si="92"/>
        <v>0</v>
      </c>
      <c r="D121" s="102">
        <f t="shared" si="93"/>
        <v>0</v>
      </c>
      <c r="E121" s="102">
        <f ca="1">SUMIFS('Digital Product Summary by COA'!$S$54:$S$325,'Digital Product Summary by COA'!$T$54:$T$325,$A$80,'Digital Product Summary by COA'!$C$54:$C$325,$A121)</f>
        <v>0</v>
      </c>
      <c r="F121" s="160"/>
      <c r="J121" s="163"/>
      <c r="K121" s="164"/>
      <c r="Z121" s="15"/>
      <c r="AA121" s="15"/>
      <c r="AB121" s="15"/>
      <c r="AC121" s="15"/>
    </row>
    <row r="122" spans="1:31" ht="15.75" hidden="1" customHeight="1" outlineLevel="1" x14ac:dyDescent="0.85">
      <c r="A122" s="165" t="s">
        <v>121</v>
      </c>
      <c r="B122" s="139">
        <v>0</v>
      </c>
      <c r="C122" s="102">
        <f t="shared" si="92"/>
        <v>0</v>
      </c>
      <c r="D122" s="102">
        <f t="shared" si="93"/>
        <v>0</v>
      </c>
      <c r="E122" s="102">
        <f ca="1">SUMIFS('Digital Product Summary by COA'!$S$54:$S$325,'Digital Product Summary by COA'!$T$54:$T$325,$A$80,'Digital Product Summary by COA'!$C$54:$C$325,$A122)</f>
        <v>0</v>
      </c>
      <c r="F122" s="160"/>
      <c r="J122" s="163"/>
      <c r="K122" s="164"/>
      <c r="Z122" s="15"/>
      <c r="AA122" s="15"/>
      <c r="AB122" s="15"/>
      <c r="AC122" s="15"/>
    </row>
    <row r="123" spans="1:31" ht="15.75" hidden="1" customHeight="1" outlineLevel="1" x14ac:dyDescent="0.85">
      <c r="A123" s="165" t="s">
        <v>122</v>
      </c>
      <c r="B123" s="139">
        <v>0</v>
      </c>
      <c r="C123" s="102">
        <f t="shared" si="92"/>
        <v>0</v>
      </c>
      <c r="D123" s="102">
        <f t="shared" si="93"/>
        <v>0</v>
      </c>
      <c r="E123" s="102">
        <f ca="1">SUMIFS('Digital Product Summary by COA'!$S$54:$S$325,'Digital Product Summary by COA'!$T$54:$T$325,$A$80,'Digital Product Summary by COA'!$C$54:$C$325,$A123)</f>
        <v>0</v>
      </c>
      <c r="F123" s="160"/>
      <c r="J123" s="163"/>
      <c r="K123" s="164"/>
      <c r="Z123" s="15"/>
      <c r="AA123" s="15"/>
      <c r="AB123" s="15"/>
      <c r="AC123" s="15"/>
    </row>
    <row r="124" spans="1:31" ht="15.75" hidden="1" customHeight="1" outlineLevel="1" x14ac:dyDescent="0.85">
      <c r="A124" s="165" t="s">
        <v>144</v>
      </c>
      <c r="B124" s="139">
        <v>0</v>
      </c>
      <c r="C124" s="102">
        <f t="shared" si="92"/>
        <v>0</v>
      </c>
      <c r="D124" s="102">
        <f t="shared" si="93"/>
        <v>0</v>
      </c>
      <c r="E124" s="102">
        <f ca="1">SUMIFS('Digital Product Summary by COA'!$S$54:$S$325,'Digital Product Summary by COA'!$T$54:$T$325,$A$80,'Digital Product Summary by COA'!$C$54:$C$325,$A124)</f>
        <v>0</v>
      </c>
      <c r="F124" s="160"/>
      <c r="J124" s="163"/>
      <c r="K124" s="164"/>
      <c r="Z124" s="15"/>
      <c r="AA124" s="15"/>
      <c r="AB124" s="15"/>
      <c r="AC124" s="15"/>
    </row>
    <row r="125" spans="1:31" ht="15.75" hidden="1" customHeight="1" outlineLevel="1" x14ac:dyDescent="0.25">
      <c r="A125" s="129" t="s">
        <v>124</v>
      </c>
      <c r="B125" s="139">
        <v>0</v>
      </c>
      <c r="C125" s="102">
        <f t="shared" si="92"/>
        <v>0</v>
      </c>
      <c r="D125" s="102">
        <f t="shared" si="93"/>
        <v>0</v>
      </c>
      <c r="E125" s="102">
        <f ca="1">SUMIFS('Digital Product Summary by COA'!$S$54:$S$325,'Digital Product Summary by COA'!$T$54:$T$325,$A$80,'Digital Product Summary by COA'!$C$54:$C$325,$A125)</f>
        <v>0</v>
      </c>
      <c r="F125" s="160"/>
      <c r="J125" s="163"/>
      <c r="K125" s="164"/>
      <c r="Z125" s="15"/>
      <c r="AA125" s="15"/>
      <c r="AB125" s="15"/>
      <c r="AC125" s="15"/>
    </row>
    <row r="126" spans="1:31" ht="15.75" hidden="1" customHeight="1" outlineLevel="1" x14ac:dyDescent="0.25">
      <c r="A126" s="129" t="s">
        <v>125</v>
      </c>
      <c r="B126" s="172"/>
      <c r="C126" s="102">
        <f t="shared" si="92"/>
        <v>0</v>
      </c>
      <c r="D126" s="102">
        <f t="shared" si="93"/>
        <v>0</v>
      </c>
      <c r="E126" s="102">
        <f ca="1">SUMIFS('Digital Product Summary by COA'!$S$54:$S$325,'Digital Product Summary by COA'!$T$54:$T$325,$A$80,'Digital Product Summary by COA'!$C$54:$C$325,$A126)</f>
        <v>0</v>
      </c>
      <c r="F126" s="160"/>
      <c r="J126" s="163"/>
      <c r="K126" s="164"/>
      <c r="Z126" s="15"/>
      <c r="AA126" s="15"/>
      <c r="AB126" s="15"/>
      <c r="AC126" s="15"/>
    </row>
    <row r="127" spans="1:31" ht="15.75" customHeight="1" collapsed="1" x14ac:dyDescent="0.3">
      <c r="A127" s="166" t="s">
        <v>126</v>
      </c>
      <c r="B127" s="168">
        <f t="shared" ref="B127:E127" si="94">SUBTOTAL(9,B128:B130)</f>
        <v>0</v>
      </c>
      <c r="C127" s="168">
        <f t="shared" si="94"/>
        <v>0</v>
      </c>
      <c r="D127" s="168">
        <f t="shared" si="94"/>
        <v>0</v>
      </c>
      <c r="E127" s="168" t="e">
        <f t="shared" ca="1" si="94"/>
        <v>#NAME?</v>
      </c>
      <c r="F127" s="160"/>
      <c r="J127" s="169">
        <f t="shared" ref="J127:K127" si="95">SUBTOTAL(9,J128:J130)</f>
        <v>0</v>
      </c>
      <c r="K127" s="168">
        <f t="shared" si="95"/>
        <v>0</v>
      </c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5"/>
      <c r="AA127" s="15"/>
      <c r="AB127" s="15"/>
      <c r="AC127" s="15"/>
      <c r="AD127" s="100"/>
      <c r="AE127" s="100"/>
    </row>
    <row r="128" spans="1:31" ht="15.75" hidden="1" customHeight="1" outlineLevel="1" x14ac:dyDescent="0.25">
      <c r="A128" s="129" t="s">
        <v>128</v>
      </c>
      <c r="B128" s="102">
        <v>0</v>
      </c>
      <c r="C128" s="102">
        <f t="shared" ref="C128:C130" si="96">J128+K128</f>
        <v>0</v>
      </c>
      <c r="D128" s="102">
        <f t="shared" ref="D128:D130" si="97">C128-B128</f>
        <v>0</v>
      </c>
      <c r="E128" s="102">
        <f ca="1">SUMIFS('Digital Product Summary by COA'!$S$54:$S$325,'Digital Product Summary by COA'!$T$54:$T$325,$A$80,'Digital Product Summary by COA'!$C$54:$C$325,$A128)</f>
        <v>0</v>
      </c>
      <c r="F128" s="160"/>
      <c r="J128" s="163"/>
      <c r="K128" s="164"/>
      <c r="Z128" s="15"/>
      <c r="AA128" s="15"/>
      <c r="AB128" s="15"/>
      <c r="AC128" s="15"/>
    </row>
    <row r="129" spans="1:31" ht="15.75" hidden="1" customHeight="1" outlineLevel="1" x14ac:dyDescent="0.25">
      <c r="A129" s="129" t="s">
        <v>129</v>
      </c>
      <c r="B129" s="139">
        <v>0</v>
      </c>
      <c r="C129" s="102">
        <f t="shared" si="96"/>
        <v>0</v>
      </c>
      <c r="D129" s="102">
        <f t="shared" si="97"/>
        <v>0</v>
      </c>
      <c r="E129" s="102">
        <f ca="1">SUMIFS('Digital Product Summary by COA'!$S$54:$S$325,'Digital Product Summary by COA'!$T$54:$T$325,$A$80,'Digital Product Summary by COA'!$C$54:$C$325,$A129)</f>
        <v>0</v>
      </c>
      <c r="F129" s="160"/>
      <c r="J129" s="163"/>
      <c r="K129" s="164"/>
      <c r="Z129" s="15"/>
      <c r="AA129" s="15"/>
      <c r="AB129" s="15"/>
      <c r="AC129" s="15"/>
    </row>
    <row r="130" spans="1:31" ht="15.75" hidden="1" customHeight="1" outlineLevel="1" x14ac:dyDescent="0.25">
      <c r="A130" s="129" t="s">
        <v>134</v>
      </c>
      <c r="B130" s="172">
        <v>0</v>
      </c>
      <c r="C130" s="102">
        <f t="shared" si="96"/>
        <v>0</v>
      </c>
      <c r="D130" s="102">
        <f t="shared" si="97"/>
        <v>0</v>
      </c>
      <c r="E130" s="102" t="e">
        <f ca="1">SUMIFS('Digital Product Summary by COA'!$S$54:$S$325,'Digital Product Summary by COA'!$T$54:$T$325,$A$80,'Digital Product Summary by COA'!$C$54:$C$325,$A130)</f>
        <v>#NAME?</v>
      </c>
      <c r="F130" s="160"/>
      <c r="J130" s="163"/>
      <c r="K130" s="164"/>
      <c r="Z130" s="15"/>
      <c r="AA130" s="15"/>
      <c r="AB130" s="15"/>
      <c r="AC130" s="15"/>
    </row>
    <row r="131" spans="1:31" ht="15.75" customHeight="1" collapsed="1" x14ac:dyDescent="0.3">
      <c r="A131" s="166" t="s">
        <v>135</v>
      </c>
      <c r="B131" s="168">
        <f t="shared" ref="B131:E131" si="98">SUBTOTAL(9,B132)</f>
        <v>6737</v>
      </c>
      <c r="C131" s="168">
        <f t="shared" si="98"/>
        <v>1065</v>
      </c>
      <c r="D131" s="168">
        <f t="shared" si="98"/>
        <v>-5672</v>
      </c>
      <c r="E131" s="168" t="e">
        <f t="shared" ca="1" si="98"/>
        <v>#NAME?</v>
      </c>
      <c r="F131" s="160"/>
      <c r="J131" s="169">
        <f t="shared" ref="J131:K131" si="99">SUBTOTAL(9,J132)</f>
        <v>1065</v>
      </c>
      <c r="K131" s="168">
        <f t="shared" si="99"/>
        <v>0</v>
      </c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5"/>
      <c r="AA131" s="15"/>
      <c r="AB131" s="15"/>
      <c r="AC131" s="15"/>
      <c r="AD131" s="100"/>
      <c r="AE131" s="100"/>
    </row>
    <row r="132" spans="1:31" ht="15.75" hidden="1" customHeight="1" outlineLevel="1" x14ac:dyDescent="0.25">
      <c r="A132" s="129" t="s">
        <v>138</v>
      </c>
      <c r="B132" s="102">
        <v>6737</v>
      </c>
      <c r="C132" s="102">
        <f>J132+K132</f>
        <v>1065</v>
      </c>
      <c r="D132" s="102">
        <f>C132-B132</f>
        <v>-5672</v>
      </c>
      <c r="E132" s="102" t="e">
        <f ca="1">SUMIFS('Digital Product Summary by COA'!$S$54:$S$325,'Digital Product Summary by COA'!$T$54:$T$325,$A$80,'Digital Product Summary by COA'!$C$54:$C$325,$A132)</f>
        <v>#NAME?</v>
      </c>
      <c r="F132" s="160"/>
      <c r="J132" s="163">
        <v>1065</v>
      </c>
      <c r="K132" s="164"/>
      <c r="Z132" s="15"/>
      <c r="AA132" s="15"/>
      <c r="AB132" s="15"/>
      <c r="AC132" s="15"/>
    </row>
    <row r="133" spans="1:31" ht="15.75" customHeight="1" x14ac:dyDescent="0.3">
      <c r="A133" s="134"/>
      <c r="B133" s="173">
        <f t="shared" ref="B133:E133" si="100">SUBTOTAL(9,B82:B132)</f>
        <v>191488</v>
      </c>
      <c r="C133" s="173">
        <f t="shared" si="100"/>
        <v>124366</v>
      </c>
      <c r="D133" s="173">
        <f t="shared" si="100"/>
        <v>-67122</v>
      </c>
      <c r="E133" s="174" t="e">
        <f t="shared" ca="1" si="100"/>
        <v>#NAME?</v>
      </c>
      <c r="F133" s="160"/>
      <c r="J133" s="175">
        <f t="shared" ref="J133:K133" si="101">SUBTOTAL(9,J82:J132)</f>
        <v>115194</v>
      </c>
      <c r="K133" s="173">
        <f t="shared" si="101"/>
        <v>9172</v>
      </c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5"/>
      <c r="AA133" s="15"/>
      <c r="AB133" s="15"/>
      <c r="AC133" s="15"/>
      <c r="AD133" s="100"/>
      <c r="AE133" s="100"/>
    </row>
    <row r="134" spans="1:31" ht="15.75" customHeight="1" x14ac:dyDescent="0.25">
      <c r="B134" s="145"/>
      <c r="C134" s="145"/>
      <c r="D134" s="145"/>
      <c r="E134" s="50">
        <f ca="1">'Shared Summary by Dept_US$'!C11</f>
        <v>185576.22924999983</v>
      </c>
      <c r="J134" s="13"/>
      <c r="K134" s="145"/>
      <c r="Z134" s="15"/>
      <c r="AA134" s="15"/>
      <c r="AB134" s="15"/>
      <c r="AC134" s="15"/>
    </row>
    <row r="135" spans="1:31" ht="15.75" customHeight="1" x14ac:dyDescent="0.25">
      <c r="A135" s="15"/>
      <c r="B135" s="145"/>
      <c r="C135" s="145"/>
      <c r="D135" s="145"/>
      <c r="E135" s="50" t="e">
        <f ca="1">E133-E134</f>
        <v>#NAME?</v>
      </c>
      <c r="J135" s="13"/>
      <c r="K135" s="145"/>
      <c r="Z135" s="15"/>
      <c r="AA135" s="15"/>
      <c r="AB135" s="15"/>
      <c r="AC135" s="15"/>
    </row>
    <row r="136" spans="1:31" ht="15.75" customHeight="1" x14ac:dyDescent="0.3">
      <c r="A136" s="154" t="s">
        <v>36</v>
      </c>
      <c r="B136" s="92">
        <v>2025</v>
      </c>
      <c r="C136" s="92">
        <v>2025</v>
      </c>
      <c r="D136" s="92">
        <v>2025</v>
      </c>
      <c r="E136" s="92">
        <v>2026</v>
      </c>
      <c r="J136" s="155" t="s">
        <v>15</v>
      </c>
      <c r="K136" s="155" t="s">
        <v>15</v>
      </c>
      <c r="Z136" s="15"/>
      <c r="AA136" s="15"/>
      <c r="AB136" s="15"/>
      <c r="AC136" s="15"/>
    </row>
    <row r="137" spans="1:31" ht="15.75" customHeight="1" x14ac:dyDescent="0.3">
      <c r="A137" s="156" t="s">
        <v>145</v>
      </c>
      <c r="B137" s="94" t="s">
        <v>13</v>
      </c>
      <c r="C137" s="94" t="s">
        <v>142</v>
      </c>
      <c r="D137" s="94" t="s">
        <v>71</v>
      </c>
      <c r="E137" s="92" t="s">
        <v>13</v>
      </c>
      <c r="J137" s="157" t="s">
        <v>143</v>
      </c>
      <c r="K137" s="158">
        <v>45992</v>
      </c>
      <c r="Z137" s="15"/>
      <c r="AA137" s="15"/>
      <c r="AB137" s="15"/>
      <c r="AC137" s="15"/>
    </row>
    <row r="138" spans="1:31" ht="15.75" customHeight="1" collapsed="1" x14ac:dyDescent="0.3">
      <c r="A138" s="159" t="s">
        <v>37</v>
      </c>
      <c r="B138" s="96">
        <f t="shared" ref="B138:E138" si="102">SUBTOTAL(9,B139:B148)</f>
        <v>28405</v>
      </c>
      <c r="C138" s="96">
        <f t="shared" si="102"/>
        <v>25426</v>
      </c>
      <c r="D138" s="96">
        <f t="shared" si="102"/>
        <v>-2979</v>
      </c>
      <c r="E138" s="176" t="e">
        <f t="shared" ca="1" si="102"/>
        <v>#NAME?</v>
      </c>
      <c r="F138" s="160"/>
      <c r="J138" s="161">
        <f t="shared" ref="J138:K138" si="103">SUBTOTAL(9,J139:J148)</f>
        <v>18222</v>
      </c>
      <c r="K138" s="96">
        <f t="shared" si="103"/>
        <v>7204</v>
      </c>
      <c r="Z138" s="15"/>
      <c r="AA138" s="15"/>
      <c r="AB138" s="15"/>
      <c r="AC138" s="15"/>
    </row>
    <row r="139" spans="1:31" ht="15.75" hidden="1" customHeight="1" outlineLevel="1" x14ac:dyDescent="0.85">
      <c r="A139" s="162" t="s">
        <v>37</v>
      </c>
      <c r="B139" s="102">
        <v>28405</v>
      </c>
      <c r="C139" s="102">
        <f t="shared" ref="C139:C148" si="104">J139+K139</f>
        <v>25426</v>
      </c>
      <c r="D139" s="102">
        <f t="shared" ref="D139:D148" si="105">C139-B139</f>
        <v>-2979</v>
      </c>
      <c r="E139" s="102" t="e">
        <f ca="1">SUMIFS('Digital Product Summary by COA'!$S$54:$S$325,'Digital Product Summary by COA'!$T$54:$T$325,$A$137,'Digital Product Summary by COA'!$C$54:$C$325,$A139)</f>
        <v>#NAME?</v>
      </c>
      <c r="J139" s="163">
        <v>18222</v>
      </c>
      <c r="K139" s="164">
        <v>7204</v>
      </c>
      <c r="Z139" s="15"/>
      <c r="AA139" s="15"/>
      <c r="AB139" s="15"/>
      <c r="AC139" s="15"/>
    </row>
    <row r="140" spans="1:31" ht="15.75" hidden="1" customHeight="1" outlineLevel="1" x14ac:dyDescent="0.85">
      <c r="A140" s="165" t="s">
        <v>72</v>
      </c>
      <c r="B140" s="139">
        <v>0</v>
      </c>
      <c r="C140" s="102">
        <f t="shared" si="104"/>
        <v>0</v>
      </c>
      <c r="D140" s="102">
        <f t="shared" si="105"/>
        <v>0</v>
      </c>
      <c r="E140" s="102" t="e">
        <f ca="1">SUMIFS('Digital Product Summary by COA'!$S$54:$S$325,'Digital Product Summary by COA'!$T$54:$T$325,$A$137,'Digital Product Summary by COA'!$C$54:$C$325,$A140)</f>
        <v>#NAME?</v>
      </c>
      <c r="J140" s="163"/>
      <c r="K140" s="164"/>
      <c r="Z140" s="15"/>
      <c r="AA140" s="15"/>
      <c r="AB140" s="15"/>
      <c r="AC140" s="15"/>
    </row>
    <row r="141" spans="1:31" ht="15.75" hidden="1" customHeight="1" outlineLevel="1" x14ac:dyDescent="0.85">
      <c r="A141" s="165" t="s">
        <v>73</v>
      </c>
      <c r="B141" s="139">
        <v>0</v>
      </c>
      <c r="C141" s="102">
        <f t="shared" si="104"/>
        <v>0</v>
      </c>
      <c r="D141" s="102">
        <f t="shared" si="105"/>
        <v>0</v>
      </c>
      <c r="E141" s="102">
        <f ca="1">SUMIFS('Digital Product Summary by COA'!$S$54:$S$325,'Digital Product Summary by COA'!$T$54:$T$325,$A$137,'Digital Product Summary by COA'!$C$54:$C$325,$A141)</f>
        <v>0</v>
      </c>
      <c r="J141" s="163"/>
      <c r="K141" s="164"/>
      <c r="Z141" s="15"/>
      <c r="AA141" s="15"/>
      <c r="AB141" s="15"/>
      <c r="AC141" s="15"/>
    </row>
    <row r="142" spans="1:31" ht="15.75" hidden="1" customHeight="1" outlineLevel="1" x14ac:dyDescent="0.85">
      <c r="A142" s="165" t="s">
        <v>74</v>
      </c>
      <c r="B142" s="139">
        <v>0</v>
      </c>
      <c r="C142" s="102">
        <f t="shared" si="104"/>
        <v>0</v>
      </c>
      <c r="D142" s="102">
        <f t="shared" si="105"/>
        <v>0</v>
      </c>
      <c r="E142" s="102">
        <f ca="1">SUMIFS('Digital Product Summary by COA'!$S$54:$S$325,'Digital Product Summary by COA'!$T$54:$T$325,$A$137,'Digital Product Summary by COA'!$C$54:$C$325,$A142)</f>
        <v>0</v>
      </c>
      <c r="J142" s="163"/>
      <c r="K142" s="164"/>
      <c r="Z142" s="15"/>
      <c r="AA142" s="15"/>
      <c r="AB142" s="15"/>
      <c r="AC142" s="15"/>
    </row>
    <row r="143" spans="1:31" ht="15.75" hidden="1" customHeight="1" outlineLevel="1" x14ac:dyDescent="0.85">
      <c r="A143" s="165" t="s">
        <v>77</v>
      </c>
      <c r="B143" s="102">
        <v>0</v>
      </c>
      <c r="C143" s="102">
        <f t="shared" si="104"/>
        <v>0</v>
      </c>
      <c r="D143" s="102">
        <f t="shared" si="105"/>
        <v>0</v>
      </c>
      <c r="E143" s="102" t="e">
        <f ca="1">SUMIFS('Digital Product Summary by COA'!$S$54:$S$325,'Digital Product Summary by COA'!$T$54:$T$325,$A$137,'Digital Product Summary by COA'!$C$54:$C$325,$A143)</f>
        <v>#NAME?</v>
      </c>
      <c r="J143" s="163"/>
      <c r="K143" s="164"/>
      <c r="Z143" s="15"/>
      <c r="AA143" s="15"/>
      <c r="AB143" s="15"/>
      <c r="AC143" s="15"/>
    </row>
    <row r="144" spans="1:31" ht="15.75" hidden="1" customHeight="1" outlineLevel="1" x14ac:dyDescent="0.85">
      <c r="A144" s="165" t="s">
        <v>78</v>
      </c>
      <c r="B144" s="139">
        <v>0</v>
      </c>
      <c r="C144" s="102">
        <f t="shared" si="104"/>
        <v>0</v>
      </c>
      <c r="D144" s="102">
        <f t="shared" si="105"/>
        <v>0</v>
      </c>
      <c r="E144" s="102">
        <f ca="1">SUMIFS('Digital Product Summary by COA'!$S$54:$S$325,'Digital Product Summary by COA'!$T$54:$T$325,$A$137,'Digital Product Summary by COA'!$C$54:$C$325,$A144)</f>
        <v>0</v>
      </c>
      <c r="J144" s="163"/>
      <c r="K144" s="164"/>
      <c r="Z144" s="15"/>
      <c r="AA144" s="15"/>
      <c r="AB144" s="15"/>
      <c r="AC144" s="15"/>
    </row>
    <row r="145" spans="1:29" ht="15.75" hidden="1" customHeight="1" outlineLevel="1" x14ac:dyDescent="0.85">
      <c r="A145" s="165" t="s">
        <v>79</v>
      </c>
      <c r="B145" s="102">
        <v>0</v>
      </c>
      <c r="C145" s="102">
        <f t="shared" si="104"/>
        <v>0</v>
      </c>
      <c r="D145" s="102">
        <f t="shared" si="105"/>
        <v>0</v>
      </c>
      <c r="E145" s="102">
        <f ca="1">SUMIFS('Digital Product Summary by COA'!$S$54:$S$325,'Digital Product Summary by COA'!$T$54:$T$325,$A$137,'Digital Product Summary by COA'!$C$54:$C$325,$A145)</f>
        <v>0</v>
      </c>
      <c r="J145" s="163"/>
      <c r="K145" s="164"/>
      <c r="Z145" s="15"/>
      <c r="AA145" s="15"/>
      <c r="AB145" s="15"/>
      <c r="AC145" s="15"/>
    </row>
    <row r="146" spans="1:29" ht="15.75" hidden="1" customHeight="1" outlineLevel="1" x14ac:dyDescent="0.85">
      <c r="A146" s="165" t="s">
        <v>80</v>
      </c>
      <c r="B146" s="139">
        <v>0</v>
      </c>
      <c r="C146" s="102">
        <f t="shared" si="104"/>
        <v>0</v>
      </c>
      <c r="D146" s="102">
        <f t="shared" si="105"/>
        <v>0</v>
      </c>
      <c r="E146" s="102">
        <f ca="1">SUMIFS('Digital Product Summary by COA'!$S$54:$S$325,'Digital Product Summary by COA'!$T$54:$T$325,$A$137,'Digital Product Summary by COA'!$C$54:$C$325,$A146)</f>
        <v>0</v>
      </c>
      <c r="J146" s="163"/>
      <c r="K146" s="164"/>
      <c r="Z146" s="15"/>
      <c r="AA146" s="15"/>
      <c r="AB146" s="15"/>
      <c r="AC146" s="15"/>
    </row>
    <row r="147" spans="1:29" ht="15.75" hidden="1" customHeight="1" outlineLevel="1" x14ac:dyDescent="0.85">
      <c r="A147" s="165" t="s">
        <v>82</v>
      </c>
      <c r="B147" s="139">
        <v>0</v>
      </c>
      <c r="C147" s="102">
        <f t="shared" si="104"/>
        <v>0</v>
      </c>
      <c r="D147" s="102">
        <f t="shared" si="105"/>
        <v>0</v>
      </c>
      <c r="E147" s="102">
        <f ca="1">SUMIFS('Digital Product Summary by COA'!$S$54:$S$325,'Digital Product Summary by COA'!$T$54:$T$325,$A$137,'Digital Product Summary by COA'!$C$54:$C$325,$A147)</f>
        <v>0</v>
      </c>
      <c r="J147" s="163"/>
      <c r="K147" s="164"/>
      <c r="Z147" s="15"/>
      <c r="AA147" s="15"/>
      <c r="AB147" s="15"/>
      <c r="AC147" s="15"/>
    </row>
    <row r="148" spans="1:29" ht="15.75" hidden="1" customHeight="1" outlineLevel="1" x14ac:dyDescent="0.85">
      <c r="A148" s="165" t="s">
        <v>83</v>
      </c>
      <c r="B148" s="172">
        <v>0</v>
      </c>
      <c r="C148" s="102">
        <f t="shared" si="104"/>
        <v>0</v>
      </c>
      <c r="D148" s="102">
        <f t="shared" si="105"/>
        <v>0</v>
      </c>
      <c r="E148" s="102">
        <f ca="1">SUMIFS('Digital Product Summary by COA'!$S$54:$S$325,'Digital Product Summary by COA'!$T$54:$T$325,$A$137,'Digital Product Summary by COA'!$C$54:$C$325,$A148)</f>
        <v>0</v>
      </c>
      <c r="J148" s="163"/>
      <c r="K148" s="164"/>
      <c r="Z148" s="15"/>
      <c r="AA148" s="15"/>
      <c r="AB148" s="15"/>
      <c r="AC148" s="15"/>
    </row>
    <row r="149" spans="1:29" ht="15.75" customHeight="1" collapsed="1" x14ac:dyDescent="0.3">
      <c r="A149" s="166" t="s">
        <v>84</v>
      </c>
      <c r="B149" s="168">
        <f t="shared" ref="B149:E149" si="106">SUBTOTAL(9,B150)</f>
        <v>0</v>
      </c>
      <c r="C149" s="168">
        <f t="shared" si="106"/>
        <v>0</v>
      </c>
      <c r="D149" s="168">
        <f t="shared" si="106"/>
        <v>0</v>
      </c>
      <c r="E149" s="168" t="e">
        <f t="shared" ca="1" si="106"/>
        <v>#NAME?</v>
      </c>
      <c r="F149" s="160"/>
      <c r="J149" s="169">
        <f t="shared" ref="J149:K149" si="107">SUBTOTAL(9,J150)</f>
        <v>0</v>
      </c>
      <c r="K149" s="168">
        <f t="shared" si="107"/>
        <v>0</v>
      </c>
      <c r="Z149" s="15"/>
      <c r="AA149" s="15"/>
      <c r="AB149" s="15"/>
      <c r="AC149" s="15"/>
    </row>
    <row r="150" spans="1:29" ht="15.75" hidden="1" customHeight="1" outlineLevel="1" x14ac:dyDescent="0.85">
      <c r="A150" s="165" t="s">
        <v>85</v>
      </c>
      <c r="B150" s="102">
        <v>0</v>
      </c>
      <c r="C150" s="102">
        <f>J150+K150</f>
        <v>0</v>
      </c>
      <c r="D150" s="145">
        <f>C150-B150</f>
        <v>0</v>
      </c>
      <c r="E150" s="102" t="e">
        <f ca="1">SUMIFS('Digital Product Summary by COA'!$S$54:$S$325,'Digital Product Summary by COA'!$T$54:$T$325,$A$137,'Digital Product Summary by COA'!$C$54:$C$325,$A150)</f>
        <v>#NAME?</v>
      </c>
      <c r="J150" s="163"/>
      <c r="K150" s="164"/>
      <c r="Z150" s="15"/>
      <c r="AA150" s="15"/>
      <c r="AB150" s="15"/>
      <c r="AC150" s="15"/>
    </row>
    <row r="151" spans="1:29" ht="15.75" customHeight="1" collapsed="1" x14ac:dyDescent="0.3">
      <c r="A151" s="166" t="s">
        <v>86</v>
      </c>
      <c r="B151" s="168">
        <f t="shared" ref="B151:E151" si="108">SUBTOTAL(9,B152:B157)</f>
        <v>496</v>
      </c>
      <c r="C151" s="168">
        <f t="shared" si="108"/>
        <v>0</v>
      </c>
      <c r="D151" s="168">
        <f t="shared" si="108"/>
        <v>-496</v>
      </c>
      <c r="E151" s="177" t="e">
        <f t="shared" ca="1" si="108"/>
        <v>#NAME?</v>
      </c>
      <c r="F151" s="160"/>
      <c r="J151" s="169">
        <f t="shared" ref="J151:K151" si="109">SUBTOTAL(9,J152:J157)</f>
        <v>0</v>
      </c>
      <c r="K151" s="168">
        <f t="shared" si="109"/>
        <v>0</v>
      </c>
      <c r="Z151" s="15"/>
      <c r="AA151" s="15"/>
      <c r="AB151" s="15"/>
      <c r="AC151" s="15"/>
    </row>
    <row r="152" spans="1:29" ht="15.75" hidden="1" customHeight="1" outlineLevel="1" x14ac:dyDescent="0.85">
      <c r="A152" s="165" t="s">
        <v>88</v>
      </c>
      <c r="B152" s="102">
        <v>191</v>
      </c>
      <c r="C152" s="102">
        <f t="shared" ref="C152:C157" si="110">J152+K152</f>
        <v>0</v>
      </c>
      <c r="D152" s="102">
        <f t="shared" ref="D152:D157" si="111">C152-B152</f>
        <v>-191</v>
      </c>
      <c r="E152" s="102" t="e">
        <f ca="1">SUMIFS('Digital Product Summary by COA'!$S$54:$S$325,'Digital Product Summary by COA'!$T$54:$T$325,$A$137,'Digital Product Summary by COA'!$C$54:$C$325,$A152)</f>
        <v>#NAME?</v>
      </c>
      <c r="J152" s="163"/>
      <c r="K152" s="164"/>
      <c r="Z152" s="15"/>
      <c r="AA152" s="15"/>
      <c r="AB152" s="15"/>
      <c r="AC152" s="15"/>
    </row>
    <row r="153" spans="1:29" ht="15.75" hidden="1" customHeight="1" outlineLevel="1" x14ac:dyDescent="0.85">
      <c r="A153" s="165" t="s">
        <v>89</v>
      </c>
      <c r="B153" s="102">
        <v>76</v>
      </c>
      <c r="C153" s="102">
        <f t="shared" si="110"/>
        <v>0</v>
      </c>
      <c r="D153" s="102">
        <f t="shared" si="111"/>
        <v>-76</v>
      </c>
      <c r="E153" s="102" t="e">
        <f ca="1">SUMIFS('Digital Product Summary by COA'!$S$54:$S$325,'Digital Product Summary by COA'!$T$54:$T$325,$A$137,'Digital Product Summary by COA'!$C$54:$C$325,$A153)</f>
        <v>#NAME?</v>
      </c>
      <c r="J153" s="163"/>
      <c r="K153" s="164"/>
      <c r="Z153" s="15"/>
      <c r="AA153" s="15"/>
      <c r="AB153" s="15"/>
      <c r="AC153" s="15"/>
    </row>
    <row r="154" spans="1:29" ht="15.75" hidden="1" customHeight="1" outlineLevel="1" x14ac:dyDescent="0.85">
      <c r="A154" s="165" t="s">
        <v>90</v>
      </c>
      <c r="B154" s="102">
        <v>229</v>
      </c>
      <c r="C154" s="102">
        <f t="shared" si="110"/>
        <v>0</v>
      </c>
      <c r="D154" s="102">
        <f t="shared" si="111"/>
        <v>-229</v>
      </c>
      <c r="E154" s="102" t="e">
        <f ca="1">SUMIFS('Digital Product Summary by COA'!$S$54:$S$325,'Digital Product Summary by COA'!$T$54:$T$325,$A$137,'Digital Product Summary by COA'!$C$54:$C$325,$A154)</f>
        <v>#NAME?</v>
      </c>
      <c r="J154" s="163"/>
      <c r="K154" s="164"/>
      <c r="Z154" s="15"/>
      <c r="AA154" s="15"/>
      <c r="AB154" s="15"/>
      <c r="AC154" s="15"/>
    </row>
    <row r="155" spans="1:29" ht="15.75" hidden="1" customHeight="1" outlineLevel="1" x14ac:dyDescent="0.85">
      <c r="A155" s="165" t="s">
        <v>91</v>
      </c>
      <c r="B155" s="102">
        <v>0</v>
      </c>
      <c r="C155" s="102">
        <f t="shared" si="110"/>
        <v>0</v>
      </c>
      <c r="D155" s="102">
        <f t="shared" si="111"/>
        <v>0</v>
      </c>
      <c r="E155" s="102" t="e">
        <f ca="1">SUMIFS('Digital Product Summary by COA'!$S$54:$S$325,'Digital Product Summary by COA'!$T$54:$T$325,$A$137,'Digital Product Summary by COA'!$C$54:$C$325,$A155)</f>
        <v>#NAME?</v>
      </c>
      <c r="J155" s="163"/>
      <c r="K155" s="164"/>
      <c r="Z155" s="15"/>
      <c r="AA155" s="15"/>
      <c r="AB155" s="15"/>
      <c r="AC155" s="15"/>
    </row>
    <row r="156" spans="1:29" ht="15.75" hidden="1" customHeight="1" outlineLevel="1" x14ac:dyDescent="0.85">
      <c r="A156" s="165" t="s">
        <v>92</v>
      </c>
      <c r="B156" s="102">
        <v>0</v>
      </c>
      <c r="C156" s="102">
        <f t="shared" si="110"/>
        <v>0</v>
      </c>
      <c r="D156" s="102">
        <f t="shared" si="111"/>
        <v>0</v>
      </c>
      <c r="E156" s="102" t="e">
        <f ca="1">SUMIFS('Digital Product Summary by COA'!$S$54:$S$325,'Digital Product Summary by COA'!$T$54:$T$325,$A$137,'Digital Product Summary by COA'!$C$54:$C$325,$A156)</f>
        <v>#NAME?</v>
      </c>
      <c r="J156" s="163"/>
      <c r="K156" s="164"/>
      <c r="Z156" s="15"/>
      <c r="AA156" s="15"/>
      <c r="AB156" s="15"/>
      <c r="AC156" s="15"/>
    </row>
    <row r="157" spans="1:29" ht="15.75" hidden="1" customHeight="1" outlineLevel="1" x14ac:dyDescent="0.85">
      <c r="A157" s="165" t="s">
        <v>93</v>
      </c>
      <c r="B157" s="102">
        <v>0</v>
      </c>
      <c r="C157" s="102">
        <f t="shared" si="110"/>
        <v>0</v>
      </c>
      <c r="D157" s="102">
        <f t="shared" si="111"/>
        <v>0</v>
      </c>
      <c r="E157" s="102" t="e">
        <f ca="1">SUMIFS('Digital Product Summary by COA'!$S$54:$S$325,'Digital Product Summary by COA'!$T$54:$T$325,$A$137,'Digital Product Summary by COA'!$C$54:$C$325,$A157)</f>
        <v>#NAME?</v>
      </c>
      <c r="J157" s="163"/>
      <c r="K157" s="164"/>
      <c r="Z157" s="15"/>
      <c r="AA157" s="15"/>
      <c r="AB157" s="15"/>
      <c r="AC157" s="15"/>
    </row>
    <row r="158" spans="1:29" ht="15.75" customHeight="1" collapsed="1" x14ac:dyDescent="0.3">
      <c r="A158" s="166" t="s">
        <v>94</v>
      </c>
      <c r="B158" s="168">
        <f t="shared" ref="B158:E158" si="112">SUBTOTAL(9,B159:B163)</f>
        <v>0</v>
      </c>
      <c r="C158" s="168">
        <f t="shared" si="112"/>
        <v>0</v>
      </c>
      <c r="D158" s="168">
        <f t="shared" si="112"/>
        <v>0</v>
      </c>
      <c r="E158" s="168" t="e">
        <f t="shared" ca="1" si="112"/>
        <v>#NAME?</v>
      </c>
      <c r="F158" s="160"/>
      <c r="J158" s="169">
        <f t="shared" ref="J158:K158" si="113">SUBTOTAL(9,J159:J163)</f>
        <v>0</v>
      </c>
      <c r="K158" s="168">
        <f t="shared" si="113"/>
        <v>0</v>
      </c>
      <c r="Z158" s="15"/>
      <c r="AA158" s="15"/>
      <c r="AB158" s="15"/>
      <c r="AC158" s="15"/>
    </row>
    <row r="159" spans="1:29" ht="15.75" hidden="1" customHeight="1" outlineLevel="1" x14ac:dyDescent="0.85">
      <c r="A159" s="165" t="s">
        <v>95</v>
      </c>
      <c r="B159" s="102">
        <v>0</v>
      </c>
      <c r="C159" s="102">
        <f t="shared" ref="C159:C163" si="114">J159+K159</f>
        <v>0</v>
      </c>
      <c r="D159" s="102">
        <f t="shared" ref="D159:D163" si="115">C159-B159</f>
        <v>0</v>
      </c>
      <c r="E159" s="102" t="e">
        <f ca="1">SUMIFS('Digital Product Summary by COA'!$S$54:$S$325,'Digital Product Summary by COA'!$T$54:$T$325,$A$137,'Digital Product Summary by COA'!$C$54:$C$325,$A159)</f>
        <v>#NAME?</v>
      </c>
      <c r="J159" s="163"/>
      <c r="K159" s="164"/>
      <c r="Z159" s="15"/>
      <c r="AA159" s="15"/>
      <c r="AB159" s="15"/>
      <c r="AC159" s="15"/>
    </row>
    <row r="160" spans="1:29" ht="15.75" hidden="1" customHeight="1" outlineLevel="1" x14ac:dyDescent="0.85">
      <c r="A160" s="165" t="s">
        <v>96</v>
      </c>
      <c r="B160" s="102">
        <v>0</v>
      </c>
      <c r="C160" s="102">
        <f t="shared" si="114"/>
        <v>0</v>
      </c>
      <c r="D160" s="102">
        <f t="shared" si="115"/>
        <v>0</v>
      </c>
      <c r="E160" s="102">
        <f ca="1">SUMIFS('Digital Product Summary by COA'!$S$54:$S$325,'Digital Product Summary by COA'!$T$54:$T$325,$A$137,'Digital Product Summary by COA'!$C$54:$C$325,$A160)</f>
        <v>0</v>
      </c>
      <c r="J160" s="163"/>
      <c r="K160" s="164"/>
      <c r="Z160" s="15"/>
      <c r="AA160" s="15"/>
      <c r="AB160" s="15"/>
      <c r="AC160" s="15"/>
    </row>
    <row r="161" spans="1:29" ht="15.75" hidden="1" customHeight="1" outlineLevel="1" x14ac:dyDescent="0.85">
      <c r="A161" s="165" t="s">
        <v>97</v>
      </c>
      <c r="B161" s="102">
        <v>0</v>
      </c>
      <c r="C161" s="102">
        <f t="shared" si="114"/>
        <v>0</v>
      </c>
      <c r="D161" s="102">
        <f t="shared" si="115"/>
        <v>0</v>
      </c>
      <c r="E161" s="102">
        <f ca="1">SUMIFS('Digital Product Summary by COA'!$S$54:$S$325,'Digital Product Summary by COA'!$T$54:$T$325,$A$137,'Digital Product Summary by COA'!$C$54:$C$325,$A161)</f>
        <v>0</v>
      </c>
      <c r="J161" s="163"/>
      <c r="K161" s="164"/>
      <c r="Z161" s="15"/>
      <c r="AA161" s="15"/>
      <c r="AB161" s="15"/>
      <c r="AC161" s="15"/>
    </row>
    <row r="162" spans="1:29" ht="15.75" hidden="1" customHeight="1" outlineLevel="1" x14ac:dyDescent="0.85">
      <c r="A162" s="165" t="s">
        <v>98</v>
      </c>
      <c r="B162" s="102">
        <v>0</v>
      </c>
      <c r="C162" s="102">
        <f t="shared" si="114"/>
        <v>0</v>
      </c>
      <c r="D162" s="102">
        <f t="shared" si="115"/>
        <v>0</v>
      </c>
      <c r="E162" s="102">
        <f ca="1">SUMIFS('Digital Product Summary by COA'!$S$54:$S$325,'Digital Product Summary by COA'!$T$54:$T$325,$A$137,'Digital Product Summary by COA'!$C$54:$C$325,$A162)</f>
        <v>0</v>
      </c>
      <c r="J162" s="163"/>
      <c r="K162" s="164"/>
      <c r="Z162" s="15"/>
      <c r="AA162" s="15"/>
      <c r="AB162" s="15"/>
      <c r="AC162" s="15"/>
    </row>
    <row r="163" spans="1:29" ht="15.75" hidden="1" customHeight="1" outlineLevel="1" x14ac:dyDescent="0.85">
      <c r="A163" s="165" t="s">
        <v>99</v>
      </c>
      <c r="B163" s="102">
        <v>0</v>
      </c>
      <c r="C163" s="102">
        <f t="shared" si="114"/>
        <v>0</v>
      </c>
      <c r="D163" s="102">
        <f t="shared" si="115"/>
        <v>0</v>
      </c>
      <c r="E163" s="102" t="e">
        <f ca="1">SUMIFS('Digital Product Summary by COA'!$S$54:$S$325,'Digital Product Summary by COA'!$T$54:$T$325,$A$137,'Digital Product Summary by COA'!$C$54:$C$325,$A163)</f>
        <v>#NAME?</v>
      </c>
      <c r="J163" s="163"/>
      <c r="K163" s="164"/>
      <c r="Z163" s="15"/>
      <c r="AA163" s="15"/>
      <c r="AB163" s="15"/>
      <c r="AC163" s="15"/>
    </row>
    <row r="164" spans="1:29" ht="15.75" customHeight="1" collapsed="1" x14ac:dyDescent="0.3">
      <c r="A164" s="166" t="s">
        <v>100</v>
      </c>
      <c r="B164" s="168">
        <f t="shared" ref="B164:E164" si="116">SUBTOTAL(9,B165:B167)</f>
        <v>0</v>
      </c>
      <c r="C164" s="168">
        <f t="shared" si="116"/>
        <v>0</v>
      </c>
      <c r="D164" s="168">
        <f t="shared" si="116"/>
        <v>0</v>
      </c>
      <c r="E164" s="168" t="e">
        <f t="shared" ca="1" si="116"/>
        <v>#NAME?</v>
      </c>
      <c r="J164" s="169">
        <f t="shared" ref="J164:K164" si="117">SUBTOTAL(9,J165:J167)</f>
        <v>0</v>
      </c>
      <c r="K164" s="168">
        <f t="shared" si="117"/>
        <v>0</v>
      </c>
      <c r="Z164" s="15"/>
      <c r="AA164" s="15"/>
      <c r="AB164" s="15"/>
      <c r="AC164" s="15"/>
    </row>
    <row r="165" spans="1:29" ht="15.75" hidden="1" customHeight="1" outlineLevel="1" x14ac:dyDescent="0.85">
      <c r="A165" s="165" t="s">
        <v>101</v>
      </c>
      <c r="B165" s="102">
        <v>0</v>
      </c>
      <c r="C165" s="102">
        <f t="shared" ref="C165:C167" si="118">J165+K165</f>
        <v>0</v>
      </c>
      <c r="D165" s="102">
        <f t="shared" ref="D165:D167" si="119">C165-B165</f>
        <v>0</v>
      </c>
      <c r="E165" s="102" t="e">
        <f ca="1">SUMIFS('Digital Product Summary by COA'!$S$54:$S$325,'Digital Product Summary by COA'!$T$54:$T$325,$A$137,'Digital Product Summary by COA'!$C$54:$C$325,$A165)</f>
        <v>#NAME?</v>
      </c>
      <c r="J165" s="163"/>
      <c r="K165" s="164"/>
      <c r="Z165" s="15"/>
      <c r="AA165" s="15"/>
      <c r="AB165" s="15"/>
      <c r="AC165" s="15"/>
    </row>
    <row r="166" spans="1:29" ht="15.75" hidden="1" customHeight="1" outlineLevel="1" x14ac:dyDescent="0.85">
      <c r="A166" s="165" t="s">
        <v>103</v>
      </c>
      <c r="B166" s="102">
        <v>0</v>
      </c>
      <c r="C166" s="102">
        <f t="shared" si="118"/>
        <v>0</v>
      </c>
      <c r="D166" s="102">
        <f t="shared" si="119"/>
        <v>0</v>
      </c>
      <c r="E166" s="102" t="e">
        <f ca="1">SUMIFS('Digital Product Summary by COA'!$S$54:$S$325,'Digital Product Summary by COA'!$T$54:$T$325,$A$137,'Digital Product Summary by COA'!$C$54:$C$325,$A166)</f>
        <v>#NAME?</v>
      </c>
      <c r="J166" s="163"/>
      <c r="K166" s="164"/>
      <c r="Z166" s="15"/>
      <c r="AA166" s="15"/>
      <c r="AB166" s="15"/>
      <c r="AC166" s="15"/>
    </row>
    <row r="167" spans="1:29" ht="15.75" hidden="1" customHeight="1" outlineLevel="1" x14ac:dyDescent="0.85">
      <c r="A167" s="165" t="s">
        <v>104</v>
      </c>
      <c r="B167" s="102">
        <v>0</v>
      </c>
      <c r="C167" s="102">
        <f t="shared" si="118"/>
        <v>0</v>
      </c>
      <c r="D167" s="102">
        <f t="shared" si="119"/>
        <v>0</v>
      </c>
      <c r="E167" s="102" t="e">
        <f ca="1">SUMIFS('Digital Product Summary by COA'!$S$54:$S$325,'Digital Product Summary by COA'!$T$54:$T$325,$A$137,'Digital Product Summary by COA'!$C$54:$C$325,$A167)</f>
        <v>#NAME?</v>
      </c>
      <c r="J167" s="163"/>
      <c r="K167" s="164"/>
      <c r="Z167" s="15"/>
      <c r="AA167" s="15"/>
      <c r="AB167" s="15"/>
      <c r="AC167" s="15"/>
    </row>
    <row r="168" spans="1:29" ht="15.75" customHeight="1" collapsed="1" x14ac:dyDescent="0.3">
      <c r="A168" s="166" t="s">
        <v>105</v>
      </c>
      <c r="B168" s="168">
        <f t="shared" ref="B168:E168" si="120">SUBTOTAL(9,B169:B183)</f>
        <v>15314</v>
      </c>
      <c r="C168" s="168">
        <f t="shared" si="120"/>
        <v>15007</v>
      </c>
      <c r="D168" s="168">
        <f t="shared" si="120"/>
        <v>-307</v>
      </c>
      <c r="E168" s="168" t="e">
        <f t="shared" ca="1" si="120"/>
        <v>#NAME?</v>
      </c>
      <c r="F168" s="160"/>
      <c r="J168" s="169">
        <f t="shared" ref="J168:K168" si="121">SUBTOTAL(9,J169:J183)</f>
        <v>13617</v>
      </c>
      <c r="K168" s="168">
        <f t="shared" si="121"/>
        <v>1390</v>
      </c>
      <c r="Z168" s="15"/>
      <c r="AA168" s="15"/>
      <c r="AB168" s="15"/>
      <c r="AC168" s="15"/>
    </row>
    <row r="169" spans="1:29" ht="15.75" hidden="1" customHeight="1" outlineLevel="1" x14ac:dyDescent="0.85">
      <c r="A169" s="165" t="s">
        <v>110</v>
      </c>
      <c r="B169" s="102">
        <v>15314</v>
      </c>
      <c r="C169" s="102">
        <f t="shared" ref="C169:C183" si="122">J169+K169</f>
        <v>15007</v>
      </c>
      <c r="D169" s="102">
        <f t="shared" ref="D169:D183" si="123">C169-B169</f>
        <v>-307</v>
      </c>
      <c r="E169" s="102" t="e">
        <f ca="1">SUMIFS('Digital Product Summary by COA'!$S$54:$S$325,'Digital Product Summary by COA'!$T$54:$T$325,$A$137,'Digital Product Summary by COA'!$C$54:$C$325,$A169)</f>
        <v>#NAME?</v>
      </c>
      <c r="J169" s="163">
        <v>13617</v>
      </c>
      <c r="K169" s="164">
        <v>1390</v>
      </c>
      <c r="Z169" s="15"/>
      <c r="AA169" s="15"/>
      <c r="AB169" s="15"/>
      <c r="AC169" s="15"/>
    </row>
    <row r="170" spans="1:29" ht="15.75" hidden="1" customHeight="1" outlineLevel="1" x14ac:dyDescent="0.85">
      <c r="A170" s="165" t="s">
        <v>111</v>
      </c>
      <c r="B170" s="102">
        <v>0</v>
      </c>
      <c r="C170" s="102">
        <f t="shared" si="122"/>
        <v>0</v>
      </c>
      <c r="D170" s="102">
        <f t="shared" si="123"/>
        <v>0</v>
      </c>
      <c r="E170" s="102">
        <f ca="1">SUMIFS('Digital Product Summary by COA'!$S$54:$S$325,'Digital Product Summary by COA'!$T$54:$T$325,$A$137,'Digital Product Summary by COA'!$C$54:$C$325,$A170)</f>
        <v>0</v>
      </c>
      <c r="J170" s="163"/>
      <c r="K170" s="164"/>
      <c r="Z170" s="15"/>
      <c r="AA170" s="15"/>
      <c r="AB170" s="15"/>
      <c r="AC170" s="15"/>
    </row>
    <row r="171" spans="1:29" ht="15.75" hidden="1" customHeight="1" outlineLevel="1" x14ac:dyDescent="0.85">
      <c r="A171" s="165" t="s">
        <v>112</v>
      </c>
      <c r="B171" s="102">
        <v>0</v>
      </c>
      <c r="C171" s="102">
        <f t="shared" si="122"/>
        <v>0</v>
      </c>
      <c r="D171" s="102">
        <f t="shared" si="123"/>
        <v>0</v>
      </c>
      <c r="E171" s="102">
        <f ca="1">SUMIFS('Digital Product Summary by COA'!$S$54:$S$325,'Digital Product Summary by COA'!$T$54:$T$325,$A$137,'Digital Product Summary by COA'!$C$54:$C$325,$A171)</f>
        <v>0</v>
      </c>
      <c r="J171" s="163"/>
      <c r="K171" s="164"/>
      <c r="Z171" s="15"/>
      <c r="AA171" s="15"/>
      <c r="AB171" s="15"/>
      <c r="AC171" s="15"/>
    </row>
    <row r="172" spans="1:29" ht="15.75" hidden="1" customHeight="1" outlineLevel="1" x14ac:dyDescent="0.85">
      <c r="A172" s="165" t="s">
        <v>113</v>
      </c>
      <c r="B172" s="102">
        <v>0</v>
      </c>
      <c r="C172" s="102">
        <f t="shared" si="122"/>
        <v>0</v>
      </c>
      <c r="D172" s="102">
        <f t="shared" si="123"/>
        <v>0</v>
      </c>
      <c r="E172" s="102" t="e">
        <f ca="1">SUMIFS('Digital Product Summary by COA'!$S$54:$S$325,'Digital Product Summary by COA'!$T$54:$T$325,$A$137,'Digital Product Summary by COA'!$C$54:$C$325,$A172)</f>
        <v>#NAME?</v>
      </c>
      <c r="J172" s="163"/>
      <c r="K172" s="164"/>
      <c r="Z172" s="15"/>
      <c r="AA172" s="15"/>
      <c r="AB172" s="15"/>
      <c r="AC172" s="15"/>
    </row>
    <row r="173" spans="1:29" ht="15.75" hidden="1" customHeight="1" outlineLevel="1" x14ac:dyDescent="0.85">
      <c r="A173" s="165" t="s">
        <v>114</v>
      </c>
      <c r="B173" s="102">
        <v>0</v>
      </c>
      <c r="C173" s="102">
        <f t="shared" si="122"/>
        <v>0</v>
      </c>
      <c r="D173" s="102">
        <f t="shared" si="123"/>
        <v>0</v>
      </c>
      <c r="E173" s="102" t="e">
        <f ca="1">SUMIFS('Digital Product Summary by COA'!$S$54:$S$325,'Digital Product Summary by COA'!$T$54:$T$325,$A$137,'Digital Product Summary by COA'!$C$54:$C$325,$A173)</f>
        <v>#NAME?</v>
      </c>
      <c r="J173" s="163"/>
      <c r="K173" s="164"/>
      <c r="Z173" s="15"/>
      <c r="AA173" s="15"/>
      <c r="AB173" s="15"/>
      <c r="AC173" s="15"/>
    </row>
    <row r="174" spans="1:29" ht="15.75" hidden="1" customHeight="1" outlineLevel="1" x14ac:dyDescent="0.85">
      <c r="A174" s="165" t="s">
        <v>115</v>
      </c>
      <c r="B174" s="102">
        <v>0</v>
      </c>
      <c r="C174" s="102">
        <f t="shared" si="122"/>
        <v>0</v>
      </c>
      <c r="D174" s="102">
        <f t="shared" si="123"/>
        <v>0</v>
      </c>
      <c r="E174" s="102">
        <f ca="1">SUMIFS('Digital Product Summary by COA'!$S$54:$S$325,'Digital Product Summary by COA'!$T$54:$T$325,$A$137,'Digital Product Summary by COA'!$C$54:$C$325,$A174)</f>
        <v>0</v>
      </c>
      <c r="J174" s="163"/>
      <c r="K174" s="164"/>
      <c r="Z174" s="15"/>
      <c r="AA174" s="15"/>
      <c r="AB174" s="15"/>
      <c r="AC174" s="15"/>
    </row>
    <row r="175" spans="1:29" ht="15.75" hidden="1" customHeight="1" outlineLevel="1" x14ac:dyDescent="0.85">
      <c r="A175" s="165" t="s">
        <v>117</v>
      </c>
      <c r="B175" s="102">
        <v>0</v>
      </c>
      <c r="C175" s="102">
        <f t="shared" si="122"/>
        <v>0</v>
      </c>
      <c r="D175" s="102">
        <f t="shared" si="123"/>
        <v>0</v>
      </c>
      <c r="E175" s="102">
        <f ca="1">SUMIFS('Digital Product Summary by COA'!$S$54:$S$325,'Digital Product Summary by COA'!$T$54:$T$325,$A$137,'Digital Product Summary by COA'!$C$54:$C$325,$A175)</f>
        <v>0</v>
      </c>
      <c r="J175" s="163"/>
      <c r="K175" s="164"/>
      <c r="Z175" s="15"/>
      <c r="AA175" s="15"/>
      <c r="AB175" s="15"/>
      <c r="AC175" s="15"/>
    </row>
    <row r="176" spans="1:29" ht="15.75" hidden="1" customHeight="1" outlineLevel="1" x14ac:dyDescent="0.85">
      <c r="A176" s="165" t="s">
        <v>118</v>
      </c>
      <c r="B176" s="102">
        <v>0</v>
      </c>
      <c r="C176" s="102">
        <f t="shared" si="122"/>
        <v>0</v>
      </c>
      <c r="D176" s="102">
        <f t="shared" si="123"/>
        <v>0</v>
      </c>
      <c r="E176" s="102">
        <f ca="1">SUMIFS('Digital Product Summary by COA'!$S$54:$S$325,'Digital Product Summary by COA'!$T$54:$T$325,$A$137,'Digital Product Summary by COA'!$C$54:$C$325,$A176)</f>
        <v>0</v>
      </c>
      <c r="J176" s="163"/>
      <c r="K176" s="164"/>
      <c r="Z176" s="15"/>
      <c r="AA176" s="15"/>
      <c r="AB176" s="15"/>
      <c r="AC176" s="15"/>
    </row>
    <row r="177" spans="1:29" ht="15.75" hidden="1" customHeight="1" outlineLevel="1" x14ac:dyDescent="0.85">
      <c r="A177" s="165" t="s">
        <v>119</v>
      </c>
      <c r="B177" s="102">
        <v>0</v>
      </c>
      <c r="C177" s="102">
        <f t="shared" si="122"/>
        <v>0</v>
      </c>
      <c r="D177" s="102">
        <f t="shared" si="123"/>
        <v>0</v>
      </c>
      <c r="E177" s="102">
        <f ca="1">SUMIFS('Digital Product Summary by COA'!$S$54:$S$325,'Digital Product Summary by COA'!$T$54:$T$325,$A$137,'Digital Product Summary by COA'!$C$54:$C$325,$A177)</f>
        <v>0</v>
      </c>
      <c r="J177" s="163"/>
      <c r="K177" s="164"/>
      <c r="Z177" s="15"/>
      <c r="AA177" s="15"/>
      <c r="AB177" s="15"/>
      <c r="AC177" s="15"/>
    </row>
    <row r="178" spans="1:29" ht="15.75" hidden="1" customHeight="1" outlineLevel="1" x14ac:dyDescent="0.85">
      <c r="A178" s="165" t="s">
        <v>120</v>
      </c>
      <c r="B178" s="102">
        <v>0</v>
      </c>
      <c r="C178" s="102">
        <f t="shared" si="122"/>
        <v>0</v>
      </c>
      <c r="D178" s="102">
        <f t="shared" si="123"/>
        <v>0</v>
      </c>
      <c r="E178" s="102">
        <f ca="1">SUMIFS('Digital Product Summary by COA'!$S$54:$S$325,'Digital Product Summary by COA'!$T$54:$T$325,$A$137,'Digital Product Summary by COA'!$C$54:$C$325,$A178)</f>
        <v>0</v>
      </c>
      <c r="J178" s="163"/>
      <c r="K178" s="164"/>
      <c r="Z178" s="15"/>
      <c r="AA178" s="15"/>
      <c r="AB178" s="15"/>
      <c r="AC178" s="15"/>
    </row>
    <row r="179" spans="1:29" ht="15.75" hidden="1" customHeight="1" outlineLevel="1" x14ac:dyDescent="0.85">
      <c r="A179" s="165" t="s">
        <v>121</v>
      </c>
      <c r="B179" s="102">
        <v>0</v>
      </c>
      <c r="C179" s="102">
        <f t="shared" si="122"/>
        <v>0</v>
      </c>
      <c r="D179" s="102">
        <f t="shared" si="123"/>
        <v>0</v>
      </c>
      <c r="E179" s="102">
        <f ca="1">SUMIFS('Digital Product Summary by COA'!$S$54:$S$325,'Digital Product Summary by COA'!$T$54:$T$325,$A$137,'Digital Product Summary by COA'!$C$54:$C$325,$A179)</f>
        <v>0</v>
      </c>
      <c r="J179" s="163"/>
      <c r="K179" s="164"/>
      <c r="Z179" s="15"/>
      <c r="AA179" s="15"/>
      <c r="AB179" s="15"/>
      <c r="AC179" s="15"/>
    </row>
    <row r="180" spans="1:29" ht="15.75" hidden="1" customHeight="1" outlineLevel="1" x14ac:dyDescent="0.85">
      <c r="A180" s="165" t="s">
        <v>122</v>
      </c>
      <c r="B180" s="102">
        <v>0</v>
      </c>
      <c r="C180" s="102">
        <f t="shared" si="122"/>
        <v>0</v>
      </c>
      <c r="D180" s="102">
        <f t="shared" si="123"/>
        <v>0</v>
      </c>
      <c r="E180" s="102">
        <f ca="1">SUMIFS('Digital Product Summary by COA'!$S$54:$S$325,'Digital Product Summary by COA'!$T$54:$T$325,$A$137,'Digital Product Summary by COA'!$C$54:$C$325,$A180)</f>
        <v>0</v>
      </c>
      <c r="J180" s="163"/>
      <c r="K180" s="164"/>
      <c r="Z180" s="15"/>
      <c r="AA180" s="15"/>
      <c r="AB180" s="15"/>
      <c r="AC180" s="15"/>
    </row>
    <row r="181" spans="1:29" ht="15.75" hidden="1" customHeight="1" outlineLevel="1" x14ac:dyDescent="0.85">
      <c r="A181" s="165" t="s">
        <v>144</v>
      </c>
      <c r="B181" s="102">
        <v>0</v>
      </c>
      <c r="C181" s="102">
        <f t="shared" si="122"/>
        <v>0</v>
      </c>
      <c r="D181" s="102">
        <f t="shared" si="123"/>
        <v>0</v>
      </c>
      <c r="E181" s="102">
        <f ca="1">SUMIFS('Digital Product Summary by COA'!$S$54:$S$325,'Digital Product Summary by COA'!$T$54:$T$325,$A$137,'Digital Product Summary by COA'!$C$54:$C$325,$A181)</f>
        <v>0</v>
      </c>
      <c r="J181" s="163"/>
      <c r="K181" s="164"/>
      <c r="Z181" s="15"/>
      <c r="AA181" s="15"/>
      <c r="AB181" s="15"/>
      <c r="AC181" s="15"/>
    </row>
    <row r="182" spans="1:29" ht="15.75" hidden="1" customHeight="1" outlineLevel="1" x14ac:dyDescent="0.25">
      <c r="A182" s="129" t="s">
        <v>124</v>
      </c>
      <c r="B182" s="102">
        <v>0</v>
      </c>
      <c r="C182" s="102">
        <f t="shared" si="122"/>
        <v>0</v>
      </c>
      <c r="D182" s="102">
        <f t="shared" si="123"/>
        <v>0</v>
      </c>
      <c r="E182" s="102">
        <f ca="1">SUMIFS('Digital Product Summary by COA'!$S$54:$S$325,'Digital Product Summary by COA'!$T$54:$T$325,$A$137,'Digital Product Summary by COA'!$C$54:$C$325,$A182)</f>
        <v>0</v>
      </c>
      <c r="J182" s="163"/>
      <c r="K182" s="164"/>
      <c r="Z182" s="15"/>
      <c r="AA182" s="15"/>
      <c r="AB182" s="15"/>
      <c r="AC182" s="15"/>
    </row>
    <row r="183" spans="1:29" ht="15.75" hidden="1" customHeight="1" outlineLevel="1" x14ac:dyDescent="0.25">
      <c r="A183" s="129" t="s">
        <v>125</v>
      </c>
      <c r="B183" s="102">
        <v>0</v>
      </c>
      <c r="C183" s="102">
        <f t="shared" si="122"/>
        <v>0</v>
      </c>
      <c r="D183" s="102">
        <f t="shared" si="123"/>
        <v>0</v>
      </c>
      <c r="E183" s="102">
        <f ca="1">SUMIFS('Digital Product Summary by COA'!$S$54:$S$325,'Digital Product Summary by COA'!$T$54:$T$325,$A$137,'Digital Product Summary by COA'!$C$54:$C$325,$A183)</f>
        <v>0</v>
      </c>
      <c r="J183" s="163"/>
      <c r="K183" s="164"/>
      <c r="Z183" s="15"/>
      <c r="AA183" s="15"/>
      <c r="AB183" s="15"/>
      <c r="AC183" s="15"/>
    </row>
    <row r="184" spans="1:29" ht="15.75" customHeight="1" collapsed="1" x14ac:dyDescent="0.3">
      <c r="A184" s="166" t="s">
        <v>126</v>
      </c>
      <c r="B184" s="168">
        <f t="shared" ref="B184:E184" si="124">SUBTOTAL(9,B185:B187)</f>
        <v>0</v>
      </c>
      <c r="C184" s="168">
        <f t="shared" si="124"/>
        <v>0</v>
      </c>
      <c r="D184" s="168">
        <f t="shared" si="124"/>
        <v>0</v>
      </c>
      <c r="E184" s="168" t="e">
        <f t="shared" ca="1" si="124"/>
        <v>#NAME?</v>
      </c>
      <c r="F184" s="160"/>
      <c r="J184" s="169">
        <f t="shared" ref="J184:K184" si="125">SUBTOTAL(9,J185:J187)</f>
        <v>0</v>
      </c>
      <c r="K184" s="168">
        <f t="shared" si="125"/>
        <v>0</v>
      </c>
      <c r="Z184" s="15"/>
      <c r="AA184" s="15"/>
      <c r="AB184" s="15"/>
      <c r="AC184" s="15"/>
    </row>
    <row r="185" spans="1:29" ht="15.75" hidden="1" customHeight="1" outlineLevel="1" x14ac:dyDescent="0.25">
      <c r="A185" s="129" t="s">
        <v>128</v>
      </c>
      <c r="B185" s="102">
        <v>0</v>
      </c>
      <c r="C185" s="102">
        <f t="shared" ref="C185:C187" si="126">J185+K185</f>
        <v>0</v>
      </c>
      <c r="D185" s="102">
        <f t="shared" ref="D185:D187" si="127">C185-B185</f>
        <v>0</v>
      </c>
      <c r="E185" s="102">
        <f ca="1">SUMIFS('Digital Product Summary by COA'!$S$54:$S$325,'Digital Product Summary by COA'!$T$54:$T$325,$A$137,'Digital Product Summary by COA'!$C$54:$C$325,$A185)</f>
        <v>0</v>
      </c>
      <c r="J185" s="163"/>
      <c r="K185" s="164"/>
      <c r="Z185" s="15"/>
      <c r="AA185" s="15"/>
      <c r="AB185" s="15"/>
      <c r="AC185" s="15"/>
    </row>
    <row r="186" spans="1:29" ht="15.75" hidden="1" customHeight="1" outlineLevel="1" x14ac:dyDescent="0.25">
      <c r="A186" s="129" t="s">
        <v>129</v>
      </c>
      <c r="B186" s="102">
        <v>0</v>
      </c>
      <c r="C186" s="102">
        <f t="shared" si="126"/>
        <v>0</v>
      </c>
      <c r="D186" s="102">
        <f t="shared" si="127"/>
        <v>0</v>
      </c>
      <c r="E186" s="102">
        <f ca="1">SUMIFS('Digital Product Summary by COA'!$S$54:$S$325,'Digital Product Summary by COA'!$T$54:$T$325,$A$137,'Digital Product Summary by COA'!$C$54:$C$325,$A186)</f>
        <v>0</v>
      </c>
      <c r="J186" s="163"/>
      <c r="K186" s="164"/>
      <c r="Z186" s="15"/>
      <c r="AA186" s="15"/>
      <c r="AB186" s="15"/>
      <c r="AC186" s="15"/>
    </row>
    <row r="187" spans="1:29" ht="15.75" hidden="1" customHeight="1" outlineLevel="1" x14ac:dyDescent="0.25">
      <c r="A187" s="129" t="s">
        <v>134</v>
      </c>
      <c r="B187" s="102">
        <v>0</v>
      </c>
      <c r="C187" s="102">
        <f t="shared" si="126"/>
        <v>0</v>
      </c>
      <c r="D187" s="102">
        <f t="shared" si="127"/>
        <v>0</v>
      </c>
      <c r="E187" s="102" t="e">
        <f ca="1">SUMIFS('Digital Product Summary by COA'!$S$54:$S$325,'Digital Product Summary by COA'!$T$54:$T$325,$A$137,'Digital Product Summary by COA'!$C$54:$C$325,$A187)</f>
        <v>#NAME?</v>
      </c>
      <c r="J187" s="163"/>
      <c r="K187" s="164"/>
      <c r="Z187" s="15"/>
      <c r="AA187" s="15"/>
      <c r="AB187" s="15"/>
      <c r="AC187" s="15"/>
    </row>
    <row r="188" spans="1:29" ht="15.75" customHeight="1" collapsed="1" x14ac:dyDescent="0.3">
      <c r="A188" s="166" t="s">
        <v>135</v>
      </c>
      <c r="B188" s="168">
        <f t="shared" ref="B188:E188" si="128">SUBTOTAL(9,B189)</f>
        <v>1924</v>
      </c>
      <c r="C188" s="168">
        <f t="shared" si="128"/>
        <v>0</v>
      </c>
      <c r="D188" s="168">
        <f t="shared" si="128"/>
        <v>-1924</v>
      </c>
      <c r="E188" s="168" t="e">
        <f t="shared" ca="1" si="128"/>
        <v>#NAME?</v>
      </c>
      <c r="F188" s="160"/>
      <c r="J188" s="169">
        <f t="shared" ref="J188:K188" si="129">SUBTOTAL(9,J189)</f>
        <v>0</v>
      </c>
      <c r="K188" s="168">
        <f t="shared" si="129"/>
        <v>0</v>
      </c>
      <c r="Z188" s="15"/>
      <c r="AA188" s="15"/>
      <c r="AB188" s="15"/>
      <c r="AC188" s="15"/>
    </row>
    <row r="189" spans="1:29" ht="15.75" hidden="1" customHeight="1" outlineLevel="1" x14ac:dyDescent="0.25">
      <c r="A189" s="129" t="s">
        <v>138</v>
      </c>
      <c r="B189" s="102">
        <v>1924</v>
      </c>
      <c r="C189" s="102">
        <f>J189+K189</f>
        <v>0</v>
      </c>
      <c r="D189" s="102">
        <f>C189-B189</f>
        <v>-1924</v>
      </c>
      <c r="E189" s="102" t="e">
        <f ca="1">SUMIFS('Digital Product Summary by COA'!$S$54:$S$325,'Digital Product Summary by COA'!$T$54:$T$325,$A$137,'Digital Product Summary by COA'!$C$54:$C$325,$A189)</f>
        <v>#NAME?</v>
      </c>
      <c r="J189" s="163"/>
      <c r="K189" s="164"/>
      <c r="Z189" s="15"/>
      <c r="AA189" s="15"/>
      <c r="AB189" s="15"/>
      <c r="AC189" s="15"/>
    </row>
    <row r="190" spans="1:29" ht="15.75" customHeight="1" x14ac:dyDescent="0.3">
      <c r="A190" s="134"/>
      <c r="B190" s="173">
        <f t="shared" ref="B190:E190" si="130">SUBTOTAL(9,B139:B189)</f>
        <v>46139</v>
      </c>
      <c r="C190" s="173">
        <f t="shared" si="130"/>
        <v>40433</v>
      </c>
      <c r="D190" s="173">
        <f t="shared" si="130"/>
        <v>-5706</v>
      </c>
      <c r="E190" s="174" t="e">
        <f t="shared" ca="1" si="130"/>
        <v>#NAME?</v>
      </c>
      <c r="F190" s="160"/>
      <c r="J190" s="175">
        <f t="shared" ref="J190:K190" si="131">SUBTOTAL(9,J139:J189)</f>
        <v>31839</v>
      </c>
      <c r="K190" s="173">
        <f t="shared" si="131"/>
        <v>8594</v>
      </c>
      <c r="Z190" s="15"/>
      <c r="AA190" s="15"/>
      <c r="AB190" s="15"/>
      <c r="AC190" s="15"/>
    </row>
    <row r="191" spans="1:29" ht="15.75" customHeight="1" x14ac:dyDescent="0.25">
      <c r="B191" s="145"/>
      <c r="C191" s="145"/>
      <c r="D191" s="145"/>
      <c r="E191" s="50">
        <f ca="1">'Shared Summary by Dept_US$'!C12</f>
        <v>15175.000000000002</v>
      </c>
      <c r="J191" s="13"/>
      <c r="K191" s="145"/>
      <c r="Z191" s="15"/>
      <c r="AA191" s="15"/>
      <c r="AB191" s="15"/>
      <c r="AC191" s="15"/>
    </row>
    <row r="192" spans="1:29" ht="15.75" customHeight="1" x14ac:dyDescent="0.25">
      <c r="A192" s="15"/>
      <c r="B192" s="145"/>
      <c r="C192" s="145"/>
      <c r="D192" s="145"/>
      <c r="E192" s="50" t="e">
        <f ca="1">E190-E191</f>
        <v>#NAME?</v>
      </c>
      <c r="J192" s="13"/>
      <c r="K192" s="145"/>
      <c r="Z192" s="15"/>
      <c r="AA192" s="15"/>
      <c r="AB192" s="15"/>
      <c r="AC192" s="15"/>
    </row>
    <row r="193" spans="1:29" ht="15.75" customHeight="1" x14ac:dyDescent="0.3">
      <c r="A193" s="154" t="s">
        <v>26</v>
      </c>
      <c r="B193" s="92">
        <v>2025</v>
      </c>
      <c r="C193" s="92">
        <v>2025</v>
      </c>
      <c r="D193" s="92">
        <v>2025</v>
      </c>
      <c r="E193" s="92">
        <v>2026</v>
      </c>
      <c r="J193" s="155" t="s">
        <v>15</v>
      </c>
      <c r="K193" s="155" t="s">
        <v>15</v>
      </c>
      <c r="Z193" s="15"/>
      <c r="AA193" s="15"/>
      <c r="AB193" s="15"/>
      <c r="AC193" s="15"/>
    </row>
    <row r="194" spans="1:29" ht="15.75" customHeight="1" x14ac:dyDescent="0.3">
      <c r="A194" s="156" t="s">
        <v>162</v>
      </c>
      <c r="B194" s="94" t="s">
        <v>13</v>
      </c>
      <c r="C194" s="94" t="s">
        <v>142</v>
      </c>
      <c r="D194" s="94" t="s">
        <v>71</v>
      </c>
      <c r="E194" s="92" t="s">
        <v>13</v>
      </c>
      <c r="J194" s="157" t="s">
        <v>143</v>
      </c>
      <c r="K194" s="158">
        <v>45992</v>
      </c>
      <c r="Z194" s="15"/>
      <c r="AA194" s="15"/>
      <c r="AB194" s="15"/>
      <c r="AC194" s="15"/>
    </row>
    <row r="195" spans="1:29" ht="15.75" customHeight="1" collapsed="1" x14ac:dyDescent="0.3">
      <c r="A195" s="159" t="s">
        <v>37</v>
      </c>
      <c r="B195" s="96">
        <f t="shared" ref="B195:E195" si="132">SUBTOTAL(9,B196:B205)</f>
        <v>75499</v>
      </c>
      <c r="C195" s="96">
        <f t="shared" si="132"/>
        <v>73533</v>
      </c>
      <c r="D195" s="96">
        <f t="shared" si="132"/>
        <v>-1966</v>
      </c>
      <c r="E195" s="96" t="e">
        <f t="shared" ca="1" si="132"/>
        <v>#NAME?</v>
      </c>
      <c r="F195" s="160"/>
      <c r="J195" s="161">
        <f t="shared" ref="J195:K195" si="133">SUBTOTAL(9,J196:J205)</f>
        <v>72362</v>
      </c>
      <c r="K195" s="96">
        <f t="shared" si="133"/>
        <v>1171</v>
      </c>
      <c r="Z195" s="15"/>
      <c r="AA195" s="15"/>
      <c r="AB195" s="15"/>
      <c r="AC195" s="15"/>
    </row>
    <row r="196" spans="1:29" ht="15.75" hidden="1" customHeight="1" outlineLevel="1" x14ac:dyDescent="0.85">
      <c r="A196" s="162" t="s">
        <v>37</v>
      </c>
      <c r="B196" s="102">
        <v>75499</v>
      </c>
      <c r="C196" s="102">
        <f t="shared" ref="C196:C205" si="134">J196+K196</f>
        <v>73533</v>
      </c>
      <c r="D196" s="102">
        <f t="shared" ref="D196:D205" si="135">C196-B196</f>
        <v>-1966</v>
      </c>
      <c r="E196" s="102" t="e">
        <f ca="1">SUMIFS('Digital Product Summary by COA'!$S$54:$S$325,'Digital Product Summary by COA'!$T$54:$T$325,$A$194,'Digital Product Summary by COA'!$C$54:$C$325,$A196)</f>
        <v>#NAME?</v>
      </c>
      <c r="J196" s="163">
        <v>72362</v>
      </c>
      <c r="K196" s="164">
        <v>1171</v>
      </c>
      <c r="Z196" s="15"/>
      <c r="AA196" s="15"/>
      <c r="AB196" s="15"/>
      <c r="AC196" s="15"/>
    </row>
    <row r="197" spans="1:29" ht="15.75" hidden="1" customHeight="1" outlineLevel="1" x14ac:dyDescent="0.85">
      <c r="A197" s="165" t="s">
        <v>72</v>
      </c>
      <c r="B197" s="102">
        <v>0</v>
      </c>
      <c r="C197" s="102">
        <f t="shared" si="134"/>
        <v>0</v>
      </c>
      <c r="D197" s="102">
        <f t="shared" si="135"/>
        <v>0</v>
      </c>
      <c r="E197" s="102" t="e">
        <f ca="1">SUMIFS('Digital Product Summary by COA'!$S$54:$S$325,'Digital Product Summary by COA'!$T$54:$T$325,$A$194,'Digital Product Summary by COA'!$C$54:$C$325,$A197)</f>
        <v>#NAME?</v>
      </c>
      <c r="J197" s="163"/>
      <c r="K197" s="164"/>
      <c r="Z197" s="15"/>
      <c r="AA197" s="15"/>
      <c r="AB197" s="15"/>
      <c r="AC197" s="15"/>
    </row>
    <row r="198" spans="1:29" ht="15.75" hidden="1" customHeight="1" outlineLevel="1" x14ac:dyDescent="0.85">
      <c r="A198" s="165" t="s">
        <v>73</v>
      </c>
      <c r="B198" s="102">
        <v>0</v>
      </c>
      <c r="C198" s="102">
        <f t="shared" si="134"/>
        <v>0</v>
      </c>
      <c r="D198" s="102">
        <f t="shared" si="135"/>
        <v>0</v>
      </c>
      <c r="E198" s="102">
        <f ca="1">SUMIFS('Digital Product Summary by COA'!$S$54:$S$325,'Digital Product Summary by COA'!$T$54:$T$325,$A$194,'Digital Product Summary by COA'!$C$54:$C$325,$A198)</f>
        <v>0</v>
      </c>
      <c r="J198" s="163"/>
      <c r="K198" s="164"/>
      <c r="Z198" s="15"/>
      <c r="AA198" s="15"/>
      <c r="AB198" s="15"/>
      <c r="AC198" s="15"/>
    </row>
    <row r="199" spans="1:29" ht="15.75" hidden="1" customHeight="1" outlineLevel="1" x14ac:dyDescent="0.85">
      <c r="A199" s="165" t="s">
        <v>74</v>
      </c>
      <c r="B199" s="102">
        <v>0</v>
      </c>
      <c r="C199" s="102">
        <f t="shared" si="134"/>
        <v>0</v>
      </c>
      <c r="D199" s="102">
        <f t="shared" si="135"/>
        <v>0</v>
      </c>
      <c r="E199" s="102">
        <f ca="1">SUMIFS('Digital Product Summary by COA'!$S$54:$S$325,'Digital Product Summary by COA'!$T$54:$T$325,$A$194,'Digital Product Summary by COA'!$C$54:$C$325,$A199)</f>
        <v>0</v>
      </c>
      <c r="J199" s="163"/>
      <c r="K199" s="164"/>
      <c r="Z199" s="15"/>
      <c r="AA199" s="15"/>
      <c r="AB199" s="15"/>
      <c r="AC199" s="15"/>
    </row>
    <row r="200" spans="1:29" ht="15.75" hidden="1" customHeight="1" outlineLevel="1" x14ac:dyDescent="0.85">
      <c r="A200" s="165" t="s">
        <v>77</v>
      </c>
      <c r="B200" s="102">
        <v>0</v>
      </c>
      <c r="C200" s="102">
        <f t="shared" si="134"/>
        <v>0</v>
      </c>
      <c r="D200" s="102">
        <f t="shared" si="135"/>
        <v>0</v>
      </c>
      <c r="E200" s="102" t="e">
        <f ca="1">SUMIFS('Digital Product Summary by COA'!$S$54:$S$325,'Digital Product Summary by COA'!$T$54:$T$325,$A$194,'Digital Product Summary by COA'!$C$54:$C$325,$A200)</f>
        <v>#NAME?</v>
      </c>
      <c r="J200" s="163"/>
      <c r="K200" s="164"/>
      <c r="Z200" s="15"/>
      <c r="AA200" s="15"/>
      <c r="AB200" s="15"/>
      <c r="AC200" s="15"/>
    </row>
    <row r="201" spans="1:29" ht="15.75" hidden="1" customHeight="1" outlineLevel="1" x14ac:dyDescent="0.85">
      <c r="A201" s="165" t="s">
        <v>78</v>
      </c>
      <c r="B201" s="102">
        <v>0</v>
      </c>
      <c r="C201" s="102">
        <f t="shared" si="134"/>
        <v>0</v>
      </c>
      <c r="D201" s="102">
        <f t="shared" si="135"/>
        <v>0</v>
      </c>
      <c r="E201" s="102">
        <f ca="1">SUMIFS('Digital Product Summary by COA'!$S$54:$S$325,'Digital Product Summary by COA'!$T$54:$T$325,$A$194,'Digital Product Summary by COA'!$C$54:$C$325,$A201)</f>
        <v>0</v>
      </c>
      <c r="J201" s="163"/>
      <c r="K201" s="164"/>
      <c r="Z201" s="15"/>
      <c r="AA201" s="15"/>
      <c r="AB201" s="15"/>
      <c r="AC201" s="15"/>
    </row>
    <row r="202" spans="1:29" ht="15.75" hidden="1" customHeight="1" outlineLevel="1" x14ac:dyDescent="0.85">
      <c r="A202" s="165" t="s">
        <v>79</v>
      </c>
      <c r="B202" s="102">
        <v>0</v>
      </c>
      <c r="C202" s="102">
        <f t="shared" si="134"/>
        <v>0</v>
      </c>
      <c r="D202" s="102">
        <f t="shared" si="135"/>
        <v>0</v>
      </c>
      <c r="E202" s="102">
        <f ca="1">SUMIFS('Digital Product Summary by COA'!$S$54:$S$325,'Digital Product Summary by COA'!$T$54:$T$325,$A$194,'Digital Product Summary by COA'!$C$54:$C$325,$A202)</f>
        <v>0</v>
      </c>
      <c r="J202" s="163"/>
      <c r="K202" s="164"/>
      <c r="Z202" s="15"/>
      <c r="AA202" s="15"/>
      <c r="AB202" s="15"/>
      <c r="AC202" s="15"/>
    </row>
    <row r="203" spans="1:29" ht="15.75" hidden="1" customHeight="1" outlineLevel="1" x14ac:dyDescent="0.85">
      <c r="A203" s="165" t="s">
        <v>80</v>
      </c>
      <c r="B203" s="102">
        <v>0</v>
      </c>
      <c r="C203" s="102">
        <f t="shared" si="134"/>
        <v>0</v>
      </c>
      <c r="D203" s="102">
        <f t="shared" si="135"/>
        <v>0</v>
      </c>
      <c r="E203" s="102">
        <f ca="1">SUMIFS('Digital Product Summary by COA'!$S$54:$S$325,'Digital Product Summary by COA'!$T$54:$T$325,$A$194,'Digital Product Summary by COA'!$C$54:$C$325,$A203)</f>
        <v>0</v>
      </c>
      <c r="J203" s="163"/>
      <c r="K203" s="164"/>
      <c r="Z203" s="15"/>
      <c r="AA203" s="15"/>
      <c r="AB203" s="15"/>
      <c r="AC203" s="15"/>
    </row>
    <row r="204" spans="1:29" ht="15.75" hidden="1" customHeight="1" outlineLevel="1" x14ac:dyDescent="0.85">
      <c r="A204" s="165" t="s">
        <v>82</v>
      </c>
      <c r="B204" s="102">
        <v>0</v>
      </c>
      <c r="C204" s="102">
        <f t="shared" si="134"/>
        <v>0</v>
      </c>
      <c r="D204" s="102">
        <f t="shared" si="135"/>
        <v>0</v>
      </c>
      <c r="E204" s="102">
        <f ca="1">SUMIFS('Digital Product Summary by COA'!$S$54:$S$325,'Digital Product Summary by COA'!$T$54:$T$325,$A$194,'Digital Product Summary by COA'!$C$54:$C$325,$A204)</f>
        <v>0</v>
      </c>
      <c r="J204" s="163"/>
      <c r="K204" s="164"/>
      <c r="Z204" s="15"/>
      <c r="AA204" s="15"/>
      <c r="AB204" s="15"/>
      <c r="AC204" s="15"/>
    </row>
    <row r="205" spans="1:29" ht="15.75" hidden="1" customHeight="1" outlineLevel="1" x14ac:dyDescent="0.85">
      <c r="A205" s="165" t="s">
        <v>83</v>
      </c>
      <c r="B205" s="102">
        <v>0</v>
      </c>
      <c r="C205" s="102">
        <f t="shared" si="134"/>
        <v>0</v>
      </c>
      <c r="D205" s="102">
        <f t="shared" si="135"/>
        <v>0</v>
      </c>
      <c r="E205" s="102">
        <f ca="1">SUMIFS('Digital Product Summary by COA'!$S$54:$S$325,'Digital Product Summary by COA'!$T$54:$T$325,$A$194,'Digital Product Summary by COA'!$C$54:$C$325,$A205)</f>
        <v>0</v>
      </c>
      <c r="J205" s="163"/>
      <c r="K205" s="164"/>
      <c r="Z205" s="15"/>
      <c r="AA205" s="15"/>
      <c r="AB205" s="15"/>
      <c r="AC205" s="15"/>
    </row>
    <row r="206" spans="1:29" ht="15.75" customHeight="1" collapsed="1" x14ac:dyDescent="0.3">
      <c r="A206" s="166" t="s">
        <v>84</v>
      </c>
      <c r="B206" s="168">
        <f t="shared" ref="B206:E206" si="136">SUBTOTAL(9,B207)</f>
        <v>63089</v>
      </c>
      <c r="C206" s="168">
        <f t="shared" si="136"/>
        <v>47607</v>
      </c>
      <c r="D206" s="168">
        <f t="shared" si="136"/>
        <v>-15482</v>
      </c>
      <c r="E206" s="168" t="e">
        <f t="shared" ca="1" si="136"/>
        <v>#NAME?</v>
      </c>
      <c r="F206" s="160"/>
      <c r="J206" s="169">
        <f t="shared" ref="J206:K206" si="137">SUBTOTAL(9,J207)</f>
        <v>43159</v>
      </c>
      <c r="K206" s="168">
        <f t="shared" si="137"/>
        <v>4448</v>
      </c>
      <c r="Z206" s="15"/>
      <c r="AA206" s="15"/>
      <c r="AB206" s="15"/>
      <c r="AC206" s="15"/>
    </row>
    <row r="207" spans="1:29" ht="15.75" hidden="1" customHeight="1" outlineLevel="1" x14ac:dyDescent="0.85">
      <c r="A207" s="165" t="s">
        <v>85</v>
      </c>
      <c r="B207" s="102">
        <v>63089</v>
      </c>
      <c r="C207" s="102">
        <f>J207+K207</f>
        <v>47607</v>
      </c>
      <c r="D207" s="102">
        <f>C207-B207</f>
        <v>-15482</v>
      </c>
      <c r="E207" s="102" t="e">
        <f ca="1">SUMIFS('Digital Product Summary by COA'!$S$54:$S$325,'Digital Product Summary by COA'!$T$54:$T$325,$A$194,'Digital Product Summary by COA'!$C$54:$C$325,$A207)</f>
        <v>#NAME?</v>
      </c>
      <c r="J207" s="163">
        <v>43159</v>
      </c>
      <c r="K207" s="164">
        <v>4448</v>
      </c>
      <c r="Z207" s="15"/>
      <c r="AA207" s="15"/>
      <c r="AB207" s="15"/>
      <c r="AC207" s="15"/>
    </row>
    <row r="208" spans="1:29" ht="15.75" customHeight="1" collapsed="1" x14ac:dyDescent="0.3">
      <c r="A208" s="166" t="s">
        <v>86</v>
      </c>
      <c r="B208" s="168">
        <f t="shared" ref="B208:E208" si="138">SUBTOTAL(9,B209:B214)</f>
        <v>12234</v>
      </c>
      <c r="C208" s="168">
        <f t="shared" si="138"/>
        <v>3767</v>
      </c>
      <c r="D208" s="168">
        <f t="shared" si="138"/>
        <v>-8467</v>
      </c>
      <c r="E208" s="177" t="e">
        <f t="shared" ca="1" si="138"/>
        <v>#NAME?</v>
      </c>
      <c r="F208" s="160"/>
      <c r="J208" s="169">
        <f t="shared" ref="J208:K208" si="139">SUBTOTAL(9,J209:J214)</f>
        <v>3063</v>
      </c>
      <c r="K208" s="168">
        <f t="shared" si="139"/>
        <v>704</v>
      </c>
      <c r="Z208" s="15"/>
      <c r="AA208" s="15"/>
      <c r="AB208" s="15"/>
      <c r="AC208" s="15"/>
    </row>
    <row r="209" spans="1:29" ht="15.75" hidden="1" customHeight="1" outlineLevel="1" x14ac:dyDescent="0.85">
      <c r="A209" s="165" t="s">
        <v>88</v>
      </c>
      <c r="B209" s="102">
        <v>3769</v>
      </c>
      <c r="C209" s="102">
        <f t="shared" ref="C209:C214" si="140">J209+K209</f>
        <v>1503</v>
      </c>
      <c r="D209" s="102">
        <f t="shared" ref="D209:D214" si="141">C209-B209</f>
        <v>-2266</v>
      </c>
      <c r="E209" s="102" t="e">
        <f ca="1">SUMIFS('Digital Product Summary by COA'!$S$54:$S$325,'Digital Product Summary by COA'!$T$54:$T$325,$A$194,'Digital Product Summary by COA'!$C$54:$C$325,$A209)</f>
        <v>#NAME?</v>
      </c>
      <c r="J209" s="163">
        <v>1423</v>
      </c>
      <c r="K209" s="164">
        <v>80</v>
      </c>
      <c r="Z209" s="15"/>
      <c r="AA209" s="15"/>
      <c r="AB209" s="15"/>
      <c r="AC209" s="15"/>
    </row>
    <row r="210" spans="1:29" ht="15.75" hidden="1" customHeight="1" outlineLevel="1" x14ac:dyDescent="0.85">
      <c r="A210" s="165" t="s">
        <v>89</v>
      </c>
      <c r="B210" s="102">
        <v>2319</v>
      </c>
      <c r="C210" s="102">
        <f t="shared" si="140"/>
        <v>337</v>
      </c>
      <c r="D210" s="102">
        <f t="shared" si="141"/>
        <v>-1982</v>
      </c>
      <c r="E210" s="102" t="e">
        <f ca="1">SUMIFS('Digital Product Summary by COA'!$S$54:$S$325,'Digital Product Summary by COA'!$T$54:$T$325,$A$194,'Digital Product Summary by COA'!$C$54:$C$325,$A210)</f>
        <v>#NAME?</v>
      </c>
      <c r="J210" s="163">
        <v>306</v>
      </c>
      <c r="K210" s="164">
        <v>31</v>
      </c>
      <c r="Z210" s="15"/>
      <c r="AA210" s="15"/>
      <c r="AB210" s="15"/>
      <c r="AC210" s="15"/>
    </row>
    <row r="211" spans="1:29" ht="15.75" hidden="1" customHeight="1" outlineLevel="1" x14ac:dyDescent="0.85">
      <c r="A211" s="165" t="s">
        <v>90</v>
      </c>
      <c r="B211" s="102">
        <v>3479</v>
      </c>
      <c r="C211" s="102">
        <f t="shared" si="140"/>
        <v>717</v>
      </c>
      <c r="D211" s="102">
        <f t="shared" si="141"/>
        <v>-2762</v>
      </c>
      <c r="E211" s="102" t="e">
        <f ca="1">SUMIFS('Digital Product Summary by COA'!$S$54:$S$325,'Digital Product Summary by COA'!$T$54:$T$325,$A$194,'Digital Product Summary by COA'!$C$54:$C$325,$A211)</f>
        <v>#NAME?</v>
      </c>
      <c r="J211" s="163">
        <v>620</v>
      </c>
      <c r="K211" s="164">
        <v>97</v>
      </c>
      <c r="Z211" s="15"/>
      <c r="AA211" s="15"/>
      <c r="AB211" s="15"/>
      <c r="AC211" s="15"/>
    </row>
    <row r="212" spans="1:29" ht="15.75" hidden="1" customHeight="1" outlineLevel="1" x14ac:dyDescent="0.85">
      <c r="A212" s="165" t="s">
        <v>91</v>
      </c>
      <c r="B212" s="102">
        <v>2609</v>
      </c>
      <c r="C212" s="102">
        <f t="shared" si="140"/>
        <v>745</v>
      </c>
      <c r="D212" s="102">
        <f t="shared" si="141"/>
        <v>-1864</v>
      </c>
      <c r="E212" s="102" t="e">
        <f ca="1">SUMIFS('Digital Product Summary by COA'!$S$54:$S$325,'Digital Product Summary by COA'!$T$54:$T$325,$A$194,'Digital Product Summary by COA'!$C$54:$C$325,$A212)</f>
        <v>#NAME?</v>
      </c>
      <c r="J212" s="163">
        <v>311</v>
      </c>
      <c r="K212" s="164">
        <v>434</v>
      </c>
      <c r="Z212" s="15"/>
      <c r="AA212" s="15"/>
      <c r="AB212" s="15"/>
      <c r="AC212" s="15"/>
    </row>
    <row r="213" spans="1:29" ht="15.75" hidden="1" customHeight="1" outlineLevel="1" x14ac:dyDescent="0.85">
      <c r="A213" s="165" t="s">
        <v>92</v>
      </c>
      <c r="B213" s="102">
        <v>0</v>
      </c>
      <c r="C213" s="102">
        <f t="shared" si="140"/>
        <v>451</v>
      </c>
      <c r="D213" s="102">
        <f t="shared" si="141"/>
        <v>451</v>
      </c>
      <c r="E213" s="102" t="e">
        <f ca="1">SUMIFS('Digital Product Summary by COA'!$S$54:$S$325,'Digital Product Summary by COA'!$T$54:$T$325,$A$194,'Digital Product Summary by COA'!$C$54:$C$325,$A213)</f>
        <v>#NAME?</v>
      </c>
      <c r="J213" s="163">
        <v>389</v>
      </c>
      <c r="K213" s="164">
        <v>62</v>
      </c>
      <c r="Z213" s="15"/>
      <c r="AA213" s="15"/>
      <c r="AB213" s="15"/>
      <c r="AC213" s="15"/>
    </row>
    <row r="214" spans="1:29" ht="15.75" hidden="1" customHeight="1" outlineLevel="1" x14ac:dyDescent="0.85">
      <c r="A214" s="165" t="s">
        <v>93</v>
      </c>
      <c r="B214" s="102">
        <v>58</v>
      </c>
      <c r="C214" s="102">
        <f t="shared" si="140"/>
        <v>14</v>
      </c>
      <c r="D214" s="102">
        <f t="shared" si="141"/>
        <v>-44</v>
      </c>
      <c r="E214" s="102" t="e">
        <f ca="1">SUMIFS('Digital Product Summary by COA'!$S$54:$S$325,'Digital Product Summary by COA'!$T$54:$T$325,$A$194,'Digital Product Summary by COA'!$C$54:$C$325,$A214)</f>
        <v>#NAME?</v>
      </c>
      <c r="J214" s="163">
        <v>14</v>
      </c>
      <c r="K214" s="164"/>
      <c r="Z214" s="15"/>
      <c r="AA214" s="15"/>
      <c r="AB214" s="15"/>
      <c r="AC214" s="15"/>
    </row>
    <row r="215" spans="1:29" ht="15.75" customHeight="1" collapsed="1" x14ac:dyDescent="0.3">
      <c r="A215" s="166" t="s">
        <v>94</v>
      </c>
      <c r="B215" s="168">
        <f t="shared" ref="B215:E215" si="142">SUBTOTAL(9,B216:B220)</f>
        <v>0</v>
      </c>
      <c r="C215" s="168">
        <f t="shared" si="142"/>
        <v>0</v>
      </c>
      <c r="D215" s="168">
        <f t="shared" si="142"/>
        <v>0</v>
      </c>
      <c r="E215" s="168" t="e">
        <f t="shared" ca="1" si="142"/>
        <v>#NAME?</v>
      </c>
      <c r="J215" s="169">
        <f t="shared" ref="J215:K215" si="143">SUBTOTAL(9,J216:J220)</f>
        <v>0</v>
      </c>
      <c r="K215" s="168">
        <f t="shared" si="143"/>
        <v>0</v>
      </c>
      <c r="Z215" s="15"/>
      <c r="AA215" s="15"/>
      <c r="AB215" s="15"/>
      <c r="AC215" s="15"/>
    </row>
    <row r="216" spans="1:29" ht="15.75" hidden="1" customHeight="1" outlineLevel="1" x14ac:dyDescent="0.85">
      <c r="A216" s="165" t="s">
        <v>95</v>
      </c>
      <c r="B216" s="102">
        <v>0</v>
      </c>
      <c r="C216" s="102">
        <f t="shared" ref="C216:C220" si="144">J216+K216</f>
        <v>0</v>
      </c>
      <c r="D216" s="102">
        <f t="shared" ref="D216:D220" si="145">C216-B216</f>
        <v>0</v>
      </c>
      <c r="E216" s="102" t="e">
        <f ca="1">SUMIFS('Digital Product Summary by COA'!$S$54:$S$325,'Digital Product Summary by COA'!$T$54:$T$325,$A$194,'Digital Product Summary by COA'!$C$54:$C$325,$A216)</f>
        <v>#NAME?</v>
      </c>
      <c r="J216" s="163"/>
      <c r="K216" s="164"/>
      <c r="Z216" s="15"/>
      <c r="AA216" s="15"/>
      <c r="AB216" s="15"/>
      <c r="AC216" s="15"/>
    </row>
    <row r="217" spans="1:29" ht="15.75" hidden="1" customHeight="1" outlineLevel="1" x14ac:dyDescent="0.85">
      <c r="A217" s="165" t="s">
        <v>96</v>
      </c>
      <c r="B217" s="102">
        <v>0</v>
      </c>
      <c r="C217" s="102">
        <f t="shared" si="144"/>
        <v>0</v>
      </c>
      <c r="D217" s="102">
        <f t="shared" si="145"/>
        <v>0</v>
      </c>
      <c r="E217" s="102">
        <f ca="1">SUMIFS('Digital Product Summary by COA'!$S$54:$S$325,'Digital Product Summary by COA'!$T$54:$T$325,$A$194,'Digital Product Summary by COA'!$C$54:$C$325,$A217)</f>
        <v>0</v>
      </c>
      <c r="J217" s="163"/>
      <c r="K217" s="164"/>
      <c r="Z217" s="15"/>
      <c r="AA217" s="15"/>
      <c r="AB217" s="15"/>
      <c r="AC217" s="15"/>
    </row>
    <row r="218" spans="1:29" ht="15.75" hidden="1" customHeight="1" outlineLevel="1" x14ac:dyDescent="0.85">
      <c r="A218" s="165" t="s">
        <v>97</v>
      </c>
      <c r="B218" s="102">
        <v>0</v>
      </c>
      <c r="C218" s="102">
        <f t="shared" si="144"/>
        <v>0</v>
      </c>
      <c r="D218" s="102">
        <f t="shared" si="145"/>
        <v>0</v>
      </c>
      <c r="E218" s="102">
        <f ca="1">SUMIFS('Digital Product Summary by COA'!$S$54:$S$325,'Digital Product Summary by COA'!$T$54:$T$325,$A$194,'Digital Product Summary by COA'!$C$54:$C$325,$A218)</f>
        <v>0</v>
      </c>
      <c r="J218" s="163"/>
      <c r="K218" s="164"/>
      <c r="Z218" s="15"/>
      <c r="AA218" s="15"/>
      <c r="AB218" s="15"/>
      <c r="AC218" s="15"/>
    </row>
    <row r="219" spans="1:29" ht="15.75" hidden="1" customHeight="1" outlineLevel="1" x14ac:dyDescent="0.85">
      <c r="A219" s="165" t="s">
        <v>98</v>
      </c>
      <c r="B219" s="102">
        <v>0</v>
      </c>
      <c r="C219" s="102">
        <f t="shared" si="144"/>
        <v>0</v>
      </c>
      <c r="D219" s="102">
        <f t="shared" si="145"/>
        <v>0</v>
      </c>
      <c r="E219" s="102">
        <f ca="1">SUMIFS('Digital Product Summary by COA'!$S$54:$S$325,'Digital Product Summary by COA'!$T$54:$T$325,$A$194,'Digital Product Summary by COA'!$C$54:$C$325,$A219)</f>
        <v>0</v>
      </c>
      <c r="J219" s="163"/>
      <c r="K219" s="164"/>
      <c r="Z219" s="15"/>
      <c r="AA219" s="15"/>
      <c r="AB219" s="15"/>
      <c r="AC219" s="15"/>
    </row>
    <row r="220" spans="1:29" ht="15.75" hidden="1" customHeight="1" outlineLevel="1" x14ac:dyDescent="0.85">
      <c r="A220" s="165" t="s">
        <v>99</v>
      </c>
      <c r="B220" s="102">
        <v>0</v>
      </c>
      <c r="C220" s="102">
        <f t="shared" si="144"/>
        <v>0</v>
      </c>
      <c r="D220" s="102">
        <f t="shared" si="145"/>
        <v>0</v>
      </c>
      <c r="E220" s="102" t="e">
        <f ca="1">SUMIFS('Digital Product Summary by COA'!$S$54:$S$325,'Digital Product Summary by COA'!$T$54:$T$325,$A$194,'Digital Product Summary by COA'!$C$54:$C$325,$A220)</f>
        <v>#NAME?</v>
      </c>
      <c r="J220" s="163"/>
      <c r="K220" s="164"/>
      <c r="Z220" s="15"/>
      <c r="AA220" s="15"/>
      <c r="AB220" s="15"/>
      <c r="AC220" s="15"/>
    </row>
    <row r="221" spans="1:29" ht="15.75" customHeight="1" collapsed="1" x14ac:dyDescent="0.3">
      <c r="A221" s="166" t="s">
        <v>100</v>
      </c>
      <c r="B221" s="168">
        <f t="shared" ref="B221:E221" si="146">SUBTOTAL(9,B222:B224)</f>
        <v>0</v>
      </c>
      <c r="C221" s="168">
        <f t="shared" si="146"/>
        <v>0</v>
      </c>
      <c r="D221" s="168">
        <f t="shared" si="146"/>
        <v>0</v>
      </c>
      <c r="E221" s="168" t="e">
        <f t="shared" ca="1" si="146"/>
        <v>#NAME?</v>
      </c>
      <c r="J221" s="169">
        <f t="shared" ref="J221:K221" si="147">SUBTOTAL(9,J222:J224)</f>
        <v>0</v>
      </c>
      <c r="K221" s="168">
        <f t="shared" si="147"/>
        <v>0</v>
      </c>
      <c r="Z221" s="15"/>
      <c r="AA221" s="15"/>
      <c r="AB221" s="15"/>
      <c r="AC221" s="15"/>
    </row>
    <row r="222" spans="1:29" ht="15.75" hidden="1" customHeight="1" outlineLevel="1" x14ac:dyDescent="0.85">
      <c r="A222" s="165" t="s">
        <v>101</v>
      </c>
      <c r="B222" s="102">
        <v>0</v>
      </c>
      <c r="C222" s="102">
        <f t="shared" ref="C222:C224" si="148">J222+K222</f>
        <v>0</v>
      </c>
      <c r="D222" s="102">
        <f t="shared" ref="D222:D224" si="149">C222-B222</f>
        <v>0</v>
      </c>
      <c r="E222" s="102" t="e">
        <f ca="1">SUMIFS('Digital Product Summary by COA'!$S$54:$S$325,'Digital Product Summary by COA'!$T$54:$T$325,$A$194,'Digital Product Summary by COA'!$C$54:$C$325,$A222)</f>
        <v>#NAME?</v>
      </c>
      <c r="J222" s="163"/>
      <c r="K222" s="164"/>
      <c r="Z222" s="15"/>
      <c r="AA222" s="15"/>
      <c r="AB222" s="15"/>
      <c r="AC222" s="15"/>
    </row>
    <row r="223" spans="1:29" ht="15.75" hidden="1" customHeight="1" outlineLevel="1" x14ac:dyDescent="0.85">
      <c r="A223" s="165" t="s">
        <v>103</v>
      </c>
      <c r="B223" s="102">
        <v>0</v>
      </c>
      <c r="C223" s="102">
        <f t="shared" si="148"/>
        <v>0</v>
      </c>
      <c r="D223" s="102">
        <f t="shared" si="149"/>
        <v>0</v>
      </c>
      <c r="E223" s="102" t="e">
        <f ca="1">SUMIFS('Digital Product Summary by COA'!$S$54:$S$325,'Digital Product Summary by COA'!$T$54:$T$325,$A$194,'Digital Product Summary by COA'!$C$54:$C$325,$A223)</f>
        <v>#NAME?</v>
      </c>
      <c r="J223" s="163"/>
      <c r="K223" s="164"/>
      <c r="Z223" s="15"/>
      <c r="AA223" s="15"/>
      <c r="AB223" s="15"/>
      <c r="AC223" s="15"/>
    </row>
    <row r="224" spans="1:29" ht="15.75" hidden="1" customHeight="1" outlineLevel="1" x14ac:dyDescent="0.85">
      <c r="A224" s="165" t="s">
        <v>104</v>
      </c>
      <c r="B224" s="102">
        <v>0</v>
      </c>
      <c r="C224" s="102">
        <f t="shared" si="148"/>
        <v>0</v>
      </c>
      <c r="D224" s="102">
        <f t="shared" si="149"/>
        <v>0</v>
      </c>
      <c r="E224" s="102" t="e">
        <f ca="1">SUMIFS('Digital Product Summary by COA'!$S$54:$S$325,'Digital Product Summary by COA'!$T$54:$T$325,$A$194,'Digital Product Summary by COA'!$C$54:$C$325,$A224)</f>
        <v>#NAME?</v>
      </c>
      <c r="J224" s="163"/>
      <c r="K224" s="164"/>
      <c r="Z224" s="15"/>
      <c r="AA224" s="15"/>
      <c r="AB224" s="15"/>
      <c r="AC224" s="15"/>
    </row>
    <row r="225" spans="1:29" ht="15.75" customHeight="1" collapsed="1" x14ac:dyDescent="0.3">
      <c r="A225" s="166" t="s">
        <v>105</v>
      </c>
      <c r="B225" s="168">
        <f t="shared" ref="B225:E225" si="150">SUBTOTAL(9,B226:B240)</f>
        <v>0</v>
      </c>
      <c r="C225" s="168">
        <f t="shared" si="150"/>
        <v>0</v>
      </c>
      <c r="D225" s="168">
        <f t="shared" si="150"/>
        <v>0</v>
      </c>
      <c r="E225" s="168" t="e">
        <f t="shared" ca="1" si="150"/>
        <v>#NAME?</v>
      </c>
      <c r="J225" s="169">
        <f t="shared" ref="J225:K225" si="151">SUBTOTAL(9,J226:J240)</f>
        <v>0</v>
      </c>
      <c r="K225" s="168">
        <f t="shared" si="151"/>
        <v>0</v>
      </c>
      <c r="Z225" s="15"/>
      <c r="AA225" s="15"/>
      <c r="AB225" s="15"/>
      <c r="AC225" s="15"/>
    </row>
    <row r="226" spans="1:29" ht="15.75" hidden="1" customHeight="1" outlineLevel="1" x14ac:dyDescent="0.85">
      <c r="A226" s="165" t="s">
        <v>110</v>
      </c>
      <c r="B226" s="102">
        <v>0</v>
      </c>
      <c r="C226" s="102">
        <f t="shared" ref="C226:C240" si="152">J226+K226</f>
        <v>0</v>
      </c>
      <c r="D226" s="102">
        <f t="shared" ref="D226:D240" si="153">C226-B226</f>
        <v>0</v>
      </c>
      <c r="E226" s="102" t="e">
        <f ca="1">SUMIFS('Digital Product Summary by COA'!$S$54:$S$325,'Digital Product Summary by COA'!$T$54:$T$325,$A$194,'Digital Product Summary by COA'!$C$54:$C$325,$A226)</f>
        <v>#NAME?</v>
      </c>
      <c r="J226" s="163"/>
      <c r="K226" s="164"/>
      <c r="Z226" s="15"/>
      <c r="AA226" s="15"/>
      <c r="AB226" s="15"/>
      <c r="AC226" s="15"/>
    </row>
    <row r="227" spans="1:29" ht="15.75" hidden="1" customHeight="1" outlineLevel="1" x14ac:dyDescent="0.85">
      <c r="A227" s="165" t="s">
        <v>111</v>
      </c>
      <c r="B227" s="102">
        <v>0</v>
      </c>
      <c r="C227" s="102">
        <f t="shared" si="152"/>
        <v>0</v>
      </c>
      <c r="D227" s="102">
        <f t="shared" si="153"/>
        <v>0</v>
      </c>
      <c r="E227" s="102">
        <f ca="1">SUMIFS('Digital Product Summary by COA'!$S$54:$S$325,'Digital Product Summary by COA'!$T$54:$T$325,$A$194,'Digital Product Summary by COA'!$C$54:$C$325,$A227)</f>
        <v>0</v>
      </c>
      <c r="J227" s="163"/>
      <c r="K227" s="164"/>
      <c r="Z227" s="15"/>
      <c r="AA227" s="15"/>
      <c r="AB227" s="15"/>
      <c r="AC227" s="15"/>
    </row>
    <row r="228" spans="1:29" ht="15.75" hidden="1" customHeight="1" outlineLevel="1" x14ac:dyDescent="0.85">
      <c r="A228" s="165" t="s">
        <v>112</v>
      </c>
      <c r="B228" s="102">
        <v>0</v>
      </c>
      <c r="C228" s="102">
        <f t="shared" si="152"/>
        <v>0</v>
      </c>
      <c r="D228" s="102">
        <f t="shared" si="153"/>
        <v>0</v>
      </c>
      <c r="E228" s="102">
        <f ca="1">SUMIFS('Digital Product Summary by COA'!$S$54:$S$325,'Digital Product Summary by COA'!$T$54:$T$325,$A$194,'Digital Product Summary by COA'!$C$54:$C$325,$A228)</f>
        <v>0</v>
      </c>
      <c r="J228" s="163"/>
      <c r="K228" s="164"/>
      <c r="Z228" s="15"/>
      <c r="AA228" s="15"/>
      <c r="AB228" s="15"/>
      <c r="AC228" s="15"/>
    </row>
    <row r="229" spans="1:29" ht="15.75" hidden="1" customHeight="1" outlineLevel="1" x14ac:dyDescent="0.85">
      <c r="A229" s="165" t="s">
        <v>113</v>
      </c>
      <c r="B229" s="102">
        <v>0</v>
      </c>
      <c r="C229" s="102">
        <f t="shared" si="152"/>
        <v>0</v>
      </c>
      <c r="D229" s="102">
        <f t="shared" si="153"/>
        <v>0</v>
      </c>
      <c r="E229" s="102" t="e">
        <f ca="1">SUMIFS('Digital Product Summary by COA'!$S$54:$S$325,'Digital Product Summary by COA'!$T$54:$T$325,$A$194,'Digital Product Summary by COA'!$C$54:$C$325,$A229)</f>
        <v>#NAME?</v>
      </c>
      <c r="J229" s="163"/>
      <c r="K229" s="164"/>
      <c r="Z229" s="15"/>
      <c r="AA229" s="15"/>
      <c r="AB229" s="15"/>
      <c r="AC229" s="15"/>
    </row>
    <row r="230" spans="1:29" ht="15.75" hidden="1" customHeight="1" outlineLevel="1" x14ac:dyDescent="0.85">
      <c r="A230" s="165" t="s">
        <v>114</v>
      </c>
      <c r="B230" s="102">
        <v>0</v>
      </c>
      <c r="C230" s="102">
        <f t="shared" si="152"/>
        <v>0</v>
      </c>
      <c r="D230" s="102">
        <f t="shared" si="153"/>
        <v>0</v>
      </c>
      <c r="E230" s="102" t="e">
        <f ca="1">SUMIFS('Digital Product Summary by COA'!$S$54:$S$325,'Digital Product Summary by COA'!$T$54:$T$325,$A$194,'Digital Product Summary by COA'!$C$54:$C$325,$A230)</f>
        <v>#NAME?</v>
      </c>
      <c r="J230" s="163"/>
      <c r="K230" s="164"/>
      <c r="Z230" s="15"/>
      <c r="AA230" s="15"/>
      <c r="AB230" s="15"/>
      <c r="AC230" s="15"/>
    </row>
    <row r="231" spans="1:29" ht="15.75" hidden="1" customHeight="1" outlineLevel="1" x14ac:dyDescent="0.85">
      <c r="A231" s="165" t="s">
        <v>115</v>
      </c>
      <c r="B231" s="102">
        <v>0</v>
      </c>
      <c r="C231" s="102">
        <f t="shared" si="152"/>
        <v>0</v>
      </c>
      <c r="D231" s="102">
        <f t="shared" si="153"/>
        <v>0</v>
      </c>
      <c r="E231" s="102">
        <f ca="1">SUMIFS('Digital Product Summary by COA'!$S$54:$S$325,'Digital Product Summary by COA'!$T$54:$T$325,$A$194,'Digital Product Summary by COA'!$C$54:$C$325,$A231)</f>
        <v>0</v>
      </c>
      <c r="J231" s="163"/>
      <c r="K231" s="164"/>
      <c r="Z231" s="15"/>
      <c r="AA231" s="15"/>
      <c r="AB231" s="15"/>
      <c r="AC231" s="15"/>
    </row>
    <row r="232" spans="1:29" ht="15.75" hidden="1" customHeight="1" outlineLevel="1" x14ac:dyDescent="0.85">
      <c r="A232" s="165" t="s">
        <v>117</v>
      </c>
      <c r="B232" s="102">
        <v>0</v>
      </c>
      <c r="C232" s="102">
        <f t="shared" si="152"/>
        <v>0</v>
      </c>
      <c r="D232" s="102">
        <f t="shared" si="153"/>
        <v>0</v>
      </c>
      <c r="E232" s="102">
        <f ca="1">SUMIFS('Digital Product Summary by COA'!$S$54:$S$325,'Digital Product Summary by COA'!$T$54:$T$325,$A$194,'Digital Product Summary by COA'!$C$54:$C$325,$A232)</f>
        <v>0</v>
      </c>
      <c r="J232" s="163"/>
      <c r="K232" s="164"/>
      <c r="Z232" s="15"/>
      <c r="AA232" s="15"/>
      <c r="AB232" s="15"/>
      <c r="AC232" s="15"/>
    </row>
    <row r="233" spans="1:29" ht="15.75" hidden="1" customHeight="1" outlineLevel="1" x14ac:dyDescent="0.85">
      <c r="A233" s="165" t="s">
        <v>118</v>
      </c>
      <c r="B233" s="102">
        <v>0</v>
      </c>
      <c r="C233" s="102">
        <f t="shared" si="152"/>
        <v>0</v>
      </c>
      <c r="D233" s="102">
        <f t="shared" si="153"/>
        <v>0</v>
      </c>
      <c r="E233" s="102">
        <f ca="1">SUMIFS('Digital Product Summary by COA'!$S$54:$S$325,'Digital Product Summary by COA'!$T$54:$T$325,$A$194,'Digital Product Summary by COA'!$C$54:$C$325,$A233)</f>
        <v>0</v>
      </c>
      <c r="J233" s="163"/>
      <c r="K233" s="164"/>
      <c r="Z233" s="15"/>
      <c r="AA233" s="15"/>
      <c r="AB233" s="15"/>
      <c r="AC233" s="15"/>
    </row>
    <row r="234" spans="1:29" ht="15.75" hidden="1" customHeight="1" outlineLevel="1" x14ac:dyDescent="0.85">
      <c r="A234" s="165" t="s">
        <v>119</v>
      </c>
      <c r="B234" s="102">
        <v>0</v>
      </c>
      <c r="C234" s="102">
        <f t="shared" si="152"/>
        <v>0</v>
      </c>
      <c r="D234" s="102">
        <f t="shared" si="153"/>
        <v>0</v>
      </c>
      <c r="E234" s="102">
        <f ca="1">SUMIFS('Digital Product Summary by COA'!$S$54:$S$325,'Digital Product Summary by COA'!$T$54:$T$325,$A$194,'Digital Product Summary by COA'!$C$54:$C$325,$A234)</f>
        <v>0</v>
      </c>
      <c r="J234" s="163"/>
      <c r="K234" s="164"/>
      <c r="Z234" s="15"/>
      <c r="AA234" s="15"/>
      <c r="AB234" s="15"/>
      <c r="AC234" s="15"/>
    </row>
    <row r="235" spans="1:29" ht="15.75" hidden="1" customHeight="1" outlineLevel="1" x14ac:dyDescent="0.85">
      <c r="A235" s="165" t="s">
        <v>120</v>
      </c>
      <c r="B235" s="102">
        <v>0</v>
      </c>
      <c r="C235" s="102">
        <f t="shared" si="152"/>
        <v>0</v>
      </c>
      <c r="D235" s="102">
        <f t="shared" si="153"/>
        <v>0</v>
      </c>
      <c r="E235" s="102">
        <f ca="1">SUMIFS('Digital Product Summary by COA'!$S$54:$S$325,'Digital Product Summary by COA'!$T$54:$T$325,$A$194,'Digital Product Summary by COA'!$C$54:$C$325,$A235)</f>
        <v>0</v>
      </c>
      <c r="J235" s="163"/>
      <c r="K235" s="164"/>
      <c r="Z235" s="15"/>
      <c r="AA235" s="15"/>
      <c r="AB235" s="15"/>
      <c r="AC235" s="15"/>
    </row>
    <row r="236" spans="1:29" ht="15.75" hidden="1" customHeight="1" outlineLevel="1" x14ac:dyDescent="0.85">
      <c r="A236" s="165" t="s">
        <v>121</v>
      </c>
      <c r="B236" s="102">
        <v>0</v>
      </c>
      <c r="C236" s="102">
        <f t="shared" si="152"/>
        <v>0</v>
      </c>
      <c r="D236" s="102">
        <f t="shared" si="153"/>
        <v>0</v>
      </c>
      <c r="E236" s="102">
        <f ca="1">SUMIFS('Digital Product Summary by COA'!$S$54:$S$325,'Digital Product Summary by COA'!$T$54:$T$325,$A$194,'Digital Product Summary by COA'!$C$54:$C$325,$A236)</f>
        <v>0</v>
      </c>
      <c r="J236" s="163"/>
      <c r="K236" s="164"/>
      <c r="Z236" s="15"/>
      <c r="AA236" s="15"/>
      <c r="AB236" s="15"/>
      <c r="AC236" s="15"/>
    </row>
    <row r="237" spans="1:29" ht="15.75" hidden="1" customHeight="1" outlineLevel="1" x14ac:dyDescent="0.85">
      <c r="A237" s="165" t="s">
        <v>122</v>
      </c>
      <c r="B237" s="102">
        <v>0</v>
      </c>
      <c r="C237" s="102">
        <f t="shared" si="152"/>
        <v>0</v>
      </c>
      <c r="D237" s="102">
        <f t="shared" si="153"/>
        <v>0</v>
      </c>
      <c r="E237" s="102">
        <f ca="1">SUMIFS('Digital Product Summary by COA'!$S$54:$S$325,'Digital Product Summary by COA'!$T$54:$T$325,$A$194,'Digital Product Summary by COA'!$C$54:$C$325,$A237)</f>
        <v>0</v>
      </c>
      <c r="J237" s="163"/>
      <c r="K237" s="164"/>
      <c r="Z237" s="15"/>
      <c r="AA237" s="15"/>
      <c r="AB237" s="15"/>
      <c r="AC237" s="15"/>
    </row>
    <row r="238" spans="1:29" ht="15.75" hidden="1" customHeight="1" outlineLevel="1" x14ac:dyDescent="0.85">
      <c r="A238" s="165" t="s">
        <v>144</v>
      </c>
      <c r="B238" s="102">
        <v>0</v>
      </c>
      <c r="C238" s="102">
        <f t="shared" si="152"/>
        <v>0</v>
      </c>
      <c r="D238" s="102">
        <f t="shared" si="153"/>
        <v>0</v>
      </c>
      <c r="E238" s="102">
        <f ca="1">SUMIFS('Digital Product Summary by COA'!$S$54:$S$325,'Digital Product Summary by COA'!$T$54:$T$325,$A$194,'Digital Product Summary by COA'!$C$54:$C$325,$A238)</f>
        <v>0</v>
      </c>
      <c r="J238" s="163"/>
      <c r="K238" s="164"/>
      <c r="Z238" s="15"/>
      <c r="AA238" s="15"/>
      <c r="AB238" s="15"/>
      <c r="AC238" s="15"/>
    </row>
    <row r="239" spans="1:29" ht="15.75" hidden="1" customHeight="1" outlineLevel="1" x14ac:dyDescent="0.25">
      <c r="A239" s="129" t="s">
        <v>124</v>
      </c>
      <c r="B239" s="102">
        <v>0</v>
      </c>
      <c r="C239" s="102">
        <f t="shared" si="152"/>
        <v>0</v>
      </c>
      <c r="D239" s="102">
        <f t="shared" si="153"/>
        <v>0</v>
      </c>
      <c r="E239" s="102">
        <f ca="1">SUMIFS('Digital Product Summary by COA'!$S$54:$S$325,'Digital Product Summary by COA'!$T$54:$T$325,$A$194,'Digital Product Summary by COA'!$C$54:$C$325,$A239)</f>
        <v>0</v>
      </c>
      <c r="J239" s="163"/>
      <c r="K239" s="164"/>
      <c r="Z239" s="15"/>
      <c r="AA239" s="15"/>
      <c r="AB239" s="15"/>
      <c r="AC239" s="15"/>
    </row>
    <row r="240" spans="1:29" ht="15.75" hidden="1" customHeight="1" outlineLevel="1" x14ac:dyDescent="0.25">
      <c r="A240" s="129" t="s">
        <v>125</v>
      </c>
      <c r="B240" s="102">
        <v>0</v>
      </c>
      <c r="C240" s="102">
        <f t="shared" si="152"/>
        <v>0</v>
      </c>
      <c r="D240" s="102">
        <f t="shared" si="153"/>
        <v>0</v>
      </c>
      <c r="E240" s="102">
        <f ca="1">SUMIFS('Digital Product Summary by COA'!$S$54:$S$325,'Digital Product Summary by COA'!$T$54:$T$325,$A$194,'Digital Product Summary by COA'!$C$54:$C$325,$A240)</f>
        <v>0</v>
      </c>
      <c r="J240" s="163"/>
      <c r="K240" s="164"/>
      <c r="Z240" s="15"/>
      <c r="AA240" s="15"/>
      <c r="AB240" s="15"/>
      <c r="AC240" s="15"/>
    </row>
    <row r="241" spans="1:29" ht="15.75" customHeight="1" collapsed="1" x14ac:dyDescent="0.3">
      <c r="A241" s="166" t="s">
        <v>126</v>
      </c>
      <c r="B241" s="168">
        <f t="shared" ref="B241:E241" si="154">SUBTOTAL(9,B242:B244)</f>
        <v>0</v>
      </c>
      <c r="C241" s="168">
        <f t="shared" si="154"/>
        <v>0</v>
      </c>
      <c r="D241" s="168">
        <f t="shared" si="154"/>
        <v>0</v>
      </c>
      <c r="E241" s="168" t="e">
        <f t="shared" ca="1" si="154"/>
        <v>#NAME?</v>
      </c>
      <c r="J241" s="169">
        <f t="shared" ref="J241:K241" si="155">SUBTOTAL(9,J242:J244)</f>
        <v>0</v>
      </c>
      <c r="K241" s="168">
        <f t="shared" si="155"/>
        <v>0</v>
      </c>
      <c r="Z241" s="15"/>
      <c r="AA241" s="15"/>
      <c r="AB241" s="15"/>
      <c r="AC241" s="15"/>
    </row>
    <row r="242" spans="1:29" ht="15.75" hidden="1" customHeight="1" outlineLevel="1" x14ac:dyDescent="0.25">
      <c r="A242" s="129" t="s">
        <v>128</v>
      </c>
      <c r="B242" s="102">
        <v>0</v>
      </c>
      <c r="C242" s="102">
        <f t="shared" ref="C242:C244" si="156">J242+K242</f>
        <v>0</v>
      </c>
      <c r="D242" s="102">
        <f t="shared" ref="D242:D244" si="157">C242-B242</f>
        <v>0</v>
      </c>
      <c r="E242" s="102">
        <f ca="1">SUMIFS('Digital Product Summary by COA'!$S$54:$S$325,'Digital Product Summary by COA'!$T$54:$T$325,$A$194,'Digital Product Summary by COA'!$C$54:$C$325,$A242)</f>
        <v>0</v>
      </c>
      <c r="J242" s="163"/>
      <c r="K242" s="164"/>
      <c r="Z242" s="15"/>
      <c r="AA242" s="15"/>
      <c r="AB242" s="15"/>
      <c r="AC242" s="15"/>
    </row>
    <row r="243" spans="1:29" ht="15.75" hidden="1" customHeight="1" outlineLevel="1" x14ac:dyDescent="0.25">
      <c r="A243" s="129" t="s">
        <v>129</v>
      </c>
      <c r="B243" s="102">
        <v>0</v>
      </c>
      <c r="C243" s="102">
        <f t="shared" si="156"/>
        <v>0</v>
      </c>
      <c r="D243" s="102">
        <f t="shared" si="157"/>
        <v>0</v>
      </c>
      <c r="E243" s="102">
        <f ca="1">SUMIFS('Digital Product Summary by COA'!$S$54:$S$325,'Digital Product Summary by COA'!$T$54:$T$325,$A$194,'Digital Product Summary by COA'!$C$54:$C$325,$A243)</f>
        <v>0</v>
      </c>
      <c r="J243" s="163"/>
      <c r="K243" s="164"/>
      <c r="Z243" s="15"/>
      <c r="AA243" s="15"/>
      <c r="AB243" s="15"/>
      <c r="AC243" s="15"/>
    </row>
    <row r="244" spans="1:29" ht="15.75" hidden="1" customHeight="1" outlineLevel="1" x14ac:dyDescent="0.25">
      <c r="A244" s="129" t="s">
        <v>134</v>
      </c>
      <c r="B244" s="102">
        <v>0</v>
      </c>
      <c r="C244" s="102">
        <f t="shared" si="156"/>
        <v>0</v>
      </c>
      <c r="D244" s="102">
        <f t="shared" si="157"/>
        <v>0</v>
      </c>
      <c r="E244" s="102" t="e">
        <f ca="1">SUMIFS('Digital Product Summary by COA'!$S$54:$S$325,'Digital Product Summary by COA'!$T$54:$T$325,$A$194,'Digital Product Summary by COA'!$C$54:$C$325,$A244)</f>
        <v>#NAME?</v>
      </c>
      <c r="J244" s="163"/>
      <c r="K244" s="164"/>
      <c r="Z244" s="15"/>
      <c r="AA244" s="15"/>
      <c r="AB244" s="15"/>
      <c r="AC244" s="15"/>
    </row>
    <row r="245" spans="1:29" ht="15.75" customHeight="1" collapsed="1" x14ac:dyDescent="0.3">
      <c r="A245" s="166" t="s">
        <v>135</v>
      </c>
      <c r="B245" s="168">
        <f t="shared" ref="B245:E245" si="158">SUBTOTAL(9,B246)</f>
        <v>966</v>
      </c>
      <c r="C245" s="168">
        <f t="shared" si="158"/>
        <v>986</v>
      </c>
      <c r="D245" s="168">
        <f t="shared" si="158"/>
        <v>20</v>
      </c>
      <c r="E245" s="168" t="e">
        <f t="shared" ca="1" si="158"/>
        <v>#NAME?</v>
      </c>
      <c r="J245" s="169">
        <f t="shared" ref="J245:K245" si="159">SUBTOTAL(9,J246)</f>
        <v>986</v>
      </c>
      <c r="K245" s="168">
        <f t="shared" si="159"/>
        <v>0</v>
      </c>
      <c r="Z245" s="15"/>
      <c r="AA245" s="15"/>
      <c r="AB245" s="15"/>
      <c r="AC245" s="15"/>
    </row>
    <row r="246" spans="1:29" ht="15.75" hidden="1" customHeight="1" outlineLevel="1" x14ac:dyDescent="0.25">
      <c r="A246" s="129" t="s">
        <v>138</v>
      </c>
      <c r="B246" s="102">
        <v>966</v>
      </c>
      <c r="C246" s="102">
        <f>J246+K246</f>
        <v>986</v>
      </c>
      <c r="D246" s="102">
        <f>C246-B246</f>
        <v>20</v>
      </c>
      <c r="E246" s="102" t="e">
        <f ca="1">SUMIFS('Digital Product Summary by COA'!$S$54:$S$325,'Digital Product Summary by COA'!$T$54:$T$325,$A$194,'Digital Product Summary by COA'!$C$54:$C$325,$A246)</f>
        <v>#NAME?</v>
      </c>
      <c r="J246" s="163">
        <v>986</v>
      </c>
      <c r="K246" s="164"/>
      <c r="Z246" s="15"/>
      <c r="AA246" s="15"/>
      <c r="AB246" s="15"/>
      <c r="AC246" s="15"/>
    </row>
    <row r="247" spans="1:29" ht="15.75" customHeight="1" x14ac:dyDescent="0.3">
      <c r="A247" s="134"/>
      <c r="B247" s="173">
        <f t="shared" ref="B247:E247" si="160">SUBTOTAL(9,B196:B246)</f>
        <v>151788</v>
      </c>
      <c r="C247" s="173">
        <f t="shared" si="160"/>
        <v>125893</v>
      </c>
      <c r="D247" s="173">
        <f t="shared" si="160"/>
        <v>-25895</v>
      </c>
      <c r="E247" s="174" t="e">
        <f t="shared" ca="1" si="160"/>
        <v>#NAME?</v>
      </c>
      <c r="F247" s="160"/>
      <c r="J247" s="175">
        <f t="shared" ref="J247:K247" si="161">SUBTOTAL(9,J196:J246)</f>
        <v>119570</v>
      </c>
      <c r="K247" s="173">
        <f t="shared" si="161"/>
        <v>6323</v>
      </c>
      <c r="Z247" s="15"/>
      <c r="AA247" s="15"/>
      <c r="AB247" s="15"/>
      <c r="AC247" s="15"/>
    </row>
    <row r="248" spans="1:29" ht="15.75" customHeight="1" x14ac:dyDescent="0.25">
      <c r="B248" s="145"/>
      <c r="C248" s="145"/>
      <c r="D248" s="145"/>
      <c r="E248" s="50">
        <f ca="1">'Shared Summary by Dept_US$'!C8</f>
        <v>196165.93343750003</v>
      </c>
      <c r="J248" s="13"/>
      <c r="K248" s="145"/>
      <c r="Z248" s="15"/>
      <c r="AA248" s="15"/>
      <c r="AB248" s="15"/>
      <c r="AC248" s="15"/>
    </row>
    <row r="249" spans="1:29" ht="15.75" customHeight="1" x14ac:dyDescent="0.25">
      <c r="A249" s="15"/>
      <c r="B249" s="145"/>
      <c r="C249" s="145"/>
      <c r="D249" s="145"/>
      <c r="E249" s="50" t="e">
        <f ca="1">E247-E248</f>
        <v>#NAME?</v>
      </c>
      <c r="J249" s="13"/>
      <c r="K249" s="145"/>
      <c r="Z249" s="15"/>
      <c r="AA249" s="15"/>
      <c r="AB249" s="15"/>
      <c r="AC249" s="15"/>
    </row>
    <row r="250" spans="1:29" ht="15.75" customHeight="1" x14ac:dyDescent="0.3">
      <c r="A250" s="154" t="s">
        <v>29</v>
      </c>
      <c r="B250" s="92">
        <v>2025</v>
      </c>
      <c r="C250" s="92">
        <v>2025</v>
      </c>
      <c r="D250" s="92">
        <v>2025</v>
      </c>
      <c r="E250" s="92">
        <v>2026</v>
      </c>
      <c r="J250" s="155" t="s">
        <v>15</v>
      </c>
      <c r="K250" s="155" t="s">
        <v>15</v>
      </c>
      <c r="Z250" s="15"/>
      <c r="AA250" s="15"/>
      <c r="AB250" s="15"/>
      <c r="AC250" s="15"/>
    </row>
    <row r="251" spans="1:29" ht="15.75" customHeight="1" x14ac:dyDescent="0.3">
      <c r="A251" s="156" t="s">
        <v>167</v>
      </c>
      <c r="B251" s="94" t="s">
        <v>13</v>
      </c>
      <c r="C251" s="94" t="s">
        <v>142</v>
      </c>
      <c r="D251" s="94" t="s">
        <v>71</v>
      </c>
      <c r="E251" s="92" t="s">
        <v>13</v>
      </c>
      <c r="J251" s="157" t="s">
        <v>143</v>
      </c>
      <c r="K251" s="158">
        <v>45992</v>
      </c>
      <c r="Z251" s="15"/>
      <c r="AA251" s="15"/>
      <c r="AB251" s="15"/>
      <c r="AC251" s="15"/>
    </row>
    <row r="252" spans="1:29" ht="15.75" customHeight="1" collapsed="1" x14ac:dyDescent="0.3">
      <c r="A252" s="159" t="s">
        <v>37</v>
      </c>
      <c r="B252" s="96">
        <f t="shared" ref="B252:E252" si="162">SUBTOTAL(9,B253:B262)</f>
        <v>54055</v>
      </c>
      <c r="C252" s="96">
        <f t="shared" si="162"/>
        <v>8786</v>
      </c>
      <c r="D252" s="96">
        <f t="shared" si="162"/>
        <v>-45269</v>
      </c>
      <c r="E252" s="96" t="e">
        <f t="shared" ca="1" si="162"/>
        <v>#NAME?</v>
      </c>
      <c r="F252" s="160"/>
      <c r="J252" s="161">
        <f t="shared" ref="J252:K252" si="163">SUBTOTAL(9,J253:J262)</f>
        <v>6890</v>
      </c>
      <c r="K252" s="96">
        <f t="shared" si="163"/>
        <v>1896</v>
      </c>
      <c r="Z252" s="15"/>
      <c r="AA252" s="15"/>
      <c r="AB252" s="15"/>
      <c r="AC252" s="15"/>
    </row>
    <row r="253" spans="1:29" ht="15.75" hidden="1" customHeight="1" outlineLevel="1" x14ac:dyDescent="0.85">
      <c r="A253" s="162" t="s">
        <v>37</v>
      </c>
      <c r="B253" s="102">
        <v>54055</v>
      </c>
      <c r="C253" s="102">
        <f t="shared" ref="C253:C262" si="164">J253+K253</f>
        <v>8786</v>
      </c>
      <c r="D253" s="102">
        <f t="shared" ref="D253:D262" si="165">C253-B253</f>
        <v>-45269</v>
      </c>
      <c r="E253" s="102" t="e">
        <f ca="1">SUMIFS('Digital Product Summary by COA'!$S$54:$S$325,'Digital Product Summary by COA'!$T$54:$T$325,$A$251,'Digital Product Summary by COA'!$C$54:$C$325,$A253)</f>
        <v>#NAME?</v>
      </c>
      <c r="J253" s="163">
        <v>6890</v>
      </c>
      <c r="K253" s="164">
        <v>1896</v>
      </c>
      <c r="Z253" s="15"/>
      <c r="AA253" s="15"/>
      <c r="AB253" s="15"/>
      <c r="AC253" s="15"/>
    </row>
    <row r="254" spans="1:29" ht="15.75" hidden="1" customHeight="1" outlineLevel="1" x14ac:dyDescent="0.85">
      <c r="A254" s="165" t="s">
        <v>72</v>
      </c>
      <c r="B254" s="102">
        <v>0</v>
      </c>
      <c r="C254" s="102">
        <f t="shared" si="164"/>
        <v>0</v>
      </c>
      <c r="D254" s="102">
        <f t="shared" si="165"/>
        <v>0</v>
      </c>
      <c r="E254" s="102" t="e">
        <f ca="1">SUMIFS('Digital Product Summary by COA'!$S$54:$S$325,'Digital Product Summary by COA'!$T$54:$T$325,$A$251,'Digital Product Summary by COA'!$C$54:$C$325,$A254)</f>
        <v>#NAME?</v>
      </c>
      <c r="J254" s="163"/>
      <c r="K254" s="164"/>
      <c r="Z254" s="15"/>
      <c r="AA254" s="15"/>
      <c r="AB254" s="15"/>
      <c r="AC254" s="15"/>
    </row>
    <row r="255" spans="1:29" ht="15.75" hidden="1" customHeight="1" outlineLevel="1" x14ac:dyDescent="0.85">
      <c r="A255" s="165" t="s">
        <v>73</v>
      </c>
      <c r="B255" s="102">
        <v>0</v>
      </c>
      <c r="C255" s="102">
        <f t="shared" si="164"/>
        <v>0</v>
      </c>
      <c r="D255" s="102">
        <f t="shared" si="165"/>
        <v>0</v>
      </c>
      <c r="E255" s="102">
        <f ca="1">SUMIFS('Digital Product Summary by COA'!$S$54:$S$325,'Digital Product Summary by COA'!$T$54:$T$325,$A$251,'Digital Product Summary by COA'!$C$54:$C$325,$A255)</f>
        <v>0</v>
      </c>
      <c r="J255" s="163"/>
      <c r="K255" s="164"/>
      <c r="Z255" s="15"/>
      <c r="AA255" s="15"/>
      <c r="AB255" s="15"/>
      <c r="AC255" s="15"/>
    </row>
    <row r="256" spans="1:29" ht="15.75" hidden="1" customHeight="1" outlineLevel="1" x14ac:dyDescent="0.85">
      <c r="A256" s="165" t="s">
        <v>74</v>
      </c>
      <c r="B256" s="102">
        <v>0</v>
      </c>
      <c r="C256" s="102">
        <f t="shared" si="164"/>
        <v>0</v>
      </c>
      <c r="D256" s="102">
        <f t="shared" si="165"/>
        <v>0</v>
      </c>
      <c r="E256" s="102">
        <f ca="1">SUMIFS('Digital Product Summary by COA'!$S$54:$S$325,'Digital Product Summary by COA'!$T$54:$T$325,$A$251,'Digital Product Summary by COA'!$C$54:$C$325,$A256)</f>
        <v>0</v>
      </c>
      <c r="J256" s="163"/>
      <c r="K256" s="164"/>
      <c r="Z256" s="15"/>
      <c r="AA256" s="15"/>
      <c r="AB256" s="15"/>
      <c r="AC256" s="15"/>
    </row>
    <row r="257" spans="1:29" ht="15.75" hidden="1" customHeight="1" outlineLevel="1" x14ac:dyDescent="0.85">
      <c r="A257" s="165" t="s">
        <v>77</v>
      </c>
      <c r="B257" s="102">
        <v>0</v>
      </c>
      <c r="C257" s="102">
        <f t="shared" si="164"/>
        <v>0</v>
      </c>
      <c r="D257" s="102">
        <f t="shared" si="165"/>
        <v>0</v>
      </c>
      <c r="E257" s="102" t="e">
        <f ca="1">SUMIFS('Digital Product Summary by COA'!$S$54:$S$325,'Digital Product Summary by COA'!$T$54:$T$325,$A$251,'Digital Product Summary by COA'!$C$54:$C$325,$A257)</f>
        <v>#NAME?</v>
      </c>
      <c r="J257" s="163"/>
      <c r="K257" s="164"/>
      <c r="Z257" s="15"/>
      <c r="AA257" s="15"/>
      <c r="AB257" s="15"/>
      <c r="AC257" s="15"/>
    </row>
    <row r="258" spans="1:29" ht="15.75" hidden="1" customHeight="1" outlineLevel="1" x14ac:dyDescent="0.85">
      <c r="A258" s="165" t="s">
        <v>78</v>
      </c>
      <c r="B258" s="102">
        <v>0</v>
      </c>
      <c r="C258" s="102">
        <f t="shared" si="164"/>
        <v>0</v>
      </c>
      <c r="D258" s="102">
        <f t="shared" si="165"/>
        <v>0</v>
      </c>
      <c r="E258" s="102">
        <f ca="1">SUMIFS('Digital Product Summary by COA'!$S$54:$S$325,'Digital Product Summary by COA'!$T$54:$T$325,$A$251,'Digital Product Summary by COA'!$C$54:$C$325,$A258)</f>
        <v>0</v>
      </c>
      <c r="J258" s="163"/>
      <c r="K258" s="164"/>
      <c r="Z258" s="15"/>
      <c r="AA258" s="15"/>
      <c r="AB258" s="15"/>
      <c r="AC258" s="15"/>
    </row>
    <row r="259" spans="1:29" ht="15.75" hidden="1" customHeight="1" outlineLevel="1" x14ac:dyDescent="0.85">
      <c r="A259" s="165" t="s">
        <v>79</v>
      </c>
      <c r="B259" s="102">
        <v>0</v>
      </c>
      <c r="C259" s="102">
        <f t="shared" si="164"/>
        <v>0</v>
      </c>
      <c r="D259" s="102">
        <f t="shared" si="165"/>
        <v>0</v>
      </c>
      <c r="E259" s="102">
        <f ca="1">SUMIFS('Digital Product Summary by COA'!$S$54:$S$325,'Digital Product Summary by COA'!$T$54:$T$325,$A$251,'Digital Product Summary by COA'!$C$54:$C$325,$A259)</f>
        <v>0</v>
      </c>
      <c r="J259" s="163"/>
      <c r="K259" s="164"/>
      <c r="Z259" s="15"/>
      <c r="AA259" s="15"/>
      <c r="AB259" s="15"/>
      <c r="AC259" s="15"/>
    </row>
    <row r="260" spans="1:29" ht="15.75" hidden="1" customHeight="1" outlineLevel="1" x14ac:dyDescent="0.85">
      <c r="A260" s="165" t="s">
        <v>80</v>
      </c>
      <c r="B260" s="102">
        <v>0</v>
      </c>
      <c r="C260" s="102">
        <f t="shared" si="164"/>
        <v>0</v>
      </c>
      <c r="D260" s="102">
        <f t="shared" si="165"/>
        <v>0</v>
      </c>
      <c r="E260" s="102">
        <f ca="1">SUMIFS('Digital Product Summary by COA'!$S$54:$S$325,'Digital Product Summary by COA'!$T$54:$T$325,$A$251,'Digital Product Summary by COA'!$C$54:$C$325,$A260)</f>
        <v>0</v>
      </c>
      <c r="J260" s="163"/>
      <c r="K260" s="164"/>
      <c r="Z260" s="15"/>
      <c r="AA260" s="15"/>
      <c r="AB260" s="15"/>
      <c r="AC260" s="15"/>
    </row>
    <row r="261" spans="1:29" ht="15.75" hidden="1" customHeight="1" outlineLevel="1" x14ac:dyDescent="0.85">
      <c r="A261" s="165" t="s">
        <v>82</v>
      </c>
      <c r="B261" s="102">
        <v>0</v>
      </c>
      <c r="C261" s="102">
        <f t="shared" si="164"/>
        <v>0</v>
      </c>
      <c r="D261" s="102">
        <f t="shared" si="165"/>
        <v>0</v>
      </c>
      <c r="E261" s="102">
        <f ca="1">SUMIFS('Digital Product Summary by COA'!$S$54:$S$325,'Digital Product Summary by COA'!$T$54:$T$325,$A$251,'Digital Product Summary by COA'!$C$54:$C$325,$A261)</f>
        <v>0</v>
      </c>
      <c r="J261" s="163"/>
      <c r="K261" s="164"/>
      <c r="Z261" s="15"/>
      <c r="AA261" s="15"/>
      <c r="AB261" s="15"/>
      <c r="AC261" s="15"/>
    </row>
    <row r="262" spans="1:29" ht="15.75" hidden="1" customHeight="1" outlineLevel="1" x14ac:dyDescent="0.85">
      <c r="A262" s="165" t="s">
        <v>83</v>
      </c>
      <c r="B262" s="102">
        <v>0</v>
      </c>
      <c r="C262" s="102">
        <f t="shared" si="164"/>
        <v>0</v>
      </c>
      <c r="D262" s="102">
        <f t="shared" si="165"/>
        <v>0</v>
      </c>
      <c r="E262" s="102">
        <f ca="1">SUMIFS('Digital Product Summary by COA'!$S$54:$S$325,'Digital Product Summary by COA'!$T$54:$T$325,$A$251,'Digital Product Summary by COA'!$C$54:$C$325,$A262)</f>
        <v>0</v>
      </c>
      <c r="J262" s="163"/>
      <c r="K262" s="164"/>
      <c r="Z262" s="15"/>
      <c r="AA262" s="15"/>
      <c r="AB262" s="15"/>
      <c r="AC262" s="15"/>
    </row>
    <row r="263" spans="1:29" ht="15.75" customHeight="1" collapsed="1" x14ac:dyDescent="0.3">
      <c r="A263" s="166" t="s">
        <v>84</v>
      </c>
      <c r="B263" s="168">
        <f t="shared" ref="B263:E263" si="166">SUBTOTAL(9,B264)</f>
        <v>0</v>
      </c>
      <c r="C263" s="168">
        <f t="shared" si="166"/>
        <v>0</v>
      </c>
      <c r="D263" s="168">
        <f t="shared" si="166"/>
        <v>0</v>
      </c>
      <c r="E263" s="168" t="e">
        <f t="shared" ca="1" si="166"/>
        <v>#NAME?</v>
      </c>
      <c r="F263" s="160"/>
      <c r="J263" s="169">
        <f t="shared" ref="J263:K263" si="167">SUBTOTAL(9,J264)</f>
        <v>0</v>
      </c>
      <c r="K263" s="168">
        <f t="shared" si="167"/>
        <v>0</v>
      </c>
      <c r="Z263" s="15"/>
      <c r="AA263" s="15"/>
      <c r="AB263" s="15"/>
      <c r="AC263" s="15"/>
    </row>
    <row r="264" spans="1:29" ht="15.75" hidden="1" customHeight="1" outlineLevel="1" x14ac:dyDescent="0.85">
      <c r="A264" s="165" t="s">
        <v>85</v>
      </c>
      <c r="B264" s="102">
        <v>0</v>
      </c>
      <c r="C264" s="102">
        <f>J264+K264</f>
        <v>0</v>
      </c>
      <c r="D264" s="102">
        <f>C264-B264</f>
        <v>0</v>
      </c>
      <c r="E264" s="102" t="e">
        <f ca="1">SUMIFS('Digital Product Summary by COA'!$S$54:$S$325,'Digital Product Summary by COA'!$T$54:$T$325,$A$251,'Digital Product Summary by COA'!$C$54:$C$325,$A264)</f>
        <v>#NAME?</v>
      </c>
      <c r="J264" s="163"/>
      <c r="K264" s="164"/>
      <c r="Z264" s="15"/>
      <c r="AA264" s="15"/>
      <c r="AB264" s="15"/>
      <c r="AC264" s="15"/>
    </row>
    <row r="265" spans="1:29" ht="15.75" customHeight="1" collapsed="1" x14ac:dyDescent="0.3">
      <c r="A265" s="166" t="s">
        <v>86</v>
      </c>
      <c r="B265" s="168">
        <f t="shared" ref="B265:E265" si="168">SUBTOTAL(9,B266:B271)</f>
        <v>5438</v>
      </c>
      <c r="C265" s="168">
        <f t="shared" si="168"/>
        <v>508</v>
      </c>
      <c r="D265" s="168">
        <f t="shared" si="168"/>
        <v>-4930</v>
      </c>
      <c r="E265" s="168" t="e">
        <f t="shared" ca="1" si="168"/>
        <v>#NAME?</v>
      </c>
      <c r="F265" s="160"/>
      <c r="J265" s="169">
        <f t="shared" ref="J265:K265" si="169">SUBTOTAL(9,J266:J271)</f>
        <v>489</v>
      </c>
      <c r="K265" s="168">
        <f t="shared" si="169"/>
        <v>19</v>
      </c>
      <c r="Z265" s="15"/>
      <c r="AA265" s="15"/>
      <c r="AB265" s="15"/>
      <c r="AC265" s="15"/>
    </row>
    <row r="266" spans="1:29" ht="15.75" hidden="1" customHeight="1" outlineLevel="1" x14ac:dyDescent="0.85">
      <c r="A266" s="165" t="s">
        <v>88</v>
      </c>
      <c r="B266" s="102">
        <v>1675</v>
      </c>
      <c r="C266" s="102">
        <f t="shared" ref="C266:C271" si="170">J266+K266</f>
        <v>263</v>
      </c>
      <c r="D266" s="102">
        <f t="shared" ref="D266:D271" si="171">C266-B266</f>
        <v>-1412</v>
      </c>
      <c r="E266" s="102" t="e">
        <f ca="1">SUMIFS('Digital Product Summary by COA'!$S$54:$S$325,'Digital Product Summary by COA'!$T$54:$T$325,$A$251,'Digital Product Summary by COA'!$C$54:$C$325,$A266)</f>
        <v>#NAME?</v>
      </c>
      <c r="J266" s="163">
        <v>263</v>
      </c>
      <c r="K266" s="164"/>
      <c r="Z266" s="15"/>
      <c r="AA266" s="15"/>
      <c r="AB266" s="15"/>
      <c r="AC266" s="15"/>
    </row>
    <row r="267" spans="1:29" ht="15.75" hidden="1" customHeight="1" outlineLevel="1" x14ac:dyDescent="0.85">
      <c r="A267" s="165" t="s">
        <v>89</v>
      </c>
      <c r="B267" s="102">
        <v>1031</v>
      </c>
      <c r="C267" s="102">
        <f t="shared" si="170"/>
        <v>17</v>
      </c>
      <c r="D267" s="102">
        <f t="shared" si="171"/>
        <v>-1014</v>
      </c>
      <c r="E267" s="102" t="e">
        <f ca="1">SUMIFS('Digital Product Summary by COA'!$S$54:$S$325,'Digital Product Summary by COA'!$T$54:$T$325,$A$251,'Digital Product Summary by COA'!$C$54:$C$325,$A267)</f>
        <v>#NAME?</v>
      </c>
      <c r="J267" s="163">
        <v>17</v>
      </c>
      <c r="K267" s="164"/>
      <c r="Z267" s="15"/>
      <c r="AA267" s="15"/>
      <c r="AB267" s="15"/>
      <c r="AC267" s="15"/>
    </row>
    <row r="268" spans="1:29" ht="15.75" hidden="1" customHeight="1" outlineLevel="1" x14ac:dyDescent="0.85">
      <c r="A268" s="165" t="s">
        <v>90</v>
      </c>
      <c r="B268" s="102">
        <v>1546</v>
      </c>
      <c r="C268" s="102">
        <f t="shared" si="170"/>
        <v>115</v>
      </c>
      <c r="D268" s="102">
        <f t="shared" si="171"/>
        <v>-1431</v>
      </c>
      <c r="E268" s="102" t="e">
        <f ca="1">SUMIFS('Digital Product Summary by COA'!$S$54:$S$325,'Digital Product Summary by COA'!$T$54:$T$325,$A$251,'Digital Product Summary by COA'!$C$54:$C$325,$A268)</f>
        <v>#NAME?</v>
      </c>
      <c r="J268" s="163">
        <v>115</v>
      </c>
      <c r="K268" s="164"/>
      <c r="Z268" s="15"/>
      <c r="AA268" s="15"/>
      <c r="AB268" s="15"/>
      <c r="AC268" s="15"/>
    </row>
    <row r="269" spans="1:29" ht="15.75" hidden="1" customHeight="1" outlineLevel="1" x14ac:dyDescent="0.85">
      <c r="A269" s="165" t="s">
        <v>91</v>
      </c>
      <c r="B269" s="102">
        <v>1160</v>
      </c>
      <c r="C269" s="102">
        <f t="shared" si="170"/>
        <v>113</v>
      </c>
      <c r="D269" s="102">
        <f t="shared" si="171"/>
        <v>-1047</v>
      </c>
      <c r="E269" s="102" t="e">
        <f ca="1">SUMIFS('Digital Product Summary by COA'!$S$54:$S$325,'Digital Product Summary by COA'!$T$54:$T$325,$A$251,'Digital Product Summary by COA'!$C$54:$C$325,$A269)</f>
        <v>#NAME?</v>
      </c>
      <c r="J269" s="163">
        <v>94</v>
      </c>
      <c r="K269" s="164">
        <v>19</v>
      </c>
      <c r="Z269" s="15"/>
      <c r="AA269" s="15"/>
      <c r="AB269" s="15"/>
      <c r="AC269" s="15"/>
    </row>
    <row r="270" spans="1:29" ht="15.75" hidden="1" customHeight="1" outlineLevel="1" x14ac:dyDescent="0.85">
      <c r="A270" s="165" t="s">
        <v>92</v>
      </c>
      <c r="B270" s="102">
        <v>0</v>
      </c>
      <c r="C270" s="102">
        <f t="shared" si="170"/>
        <v>0</v>
      </c>
      <c r="D270" s="102">
        <f t="shared" si="171"/>
        <v>0</v>
      </c>
      <c r="E270" s="102" t="e">
        <f ca="1">SUMIFS('Digital Product Summary by COA'!$S$54:$S$325,'Digital Product Summary by COA'!$T$54:$T$325,$A$251,'Digital Product Summary by COA'!$C$54:$C$325,$A270)</f>
        <v>#NAME?</v>
      </c>
      <c r="J270" s="163"/>
      <c r="K270" s="164"/>
      <c r="Z270" s="15"/>
      <c r="AA270" s="15"/>
      <c r="AB270" s="15"/>
      <c r="AC270" s="15"/>
    </row>
    <row r="271" spans="1:29" ht="15.75" hidden="1" customHeight="1" outlineLevel="1" x14ac:dyDescent="0.85">
      <c r="A271" s="165" t="s">
        <v>93</v>
      </c>
      <c r="B271" s="102">
        <v>26</v>
      </c>
      <c r="C271" s="102">
        <f t="shared" si="170"/>
        <v>0</v>
      </c>
      <c r="D271" s="102">
        <f t="shared" si="171"/>
        <v>-26</v>
      </c>
      <c r="E271" s="102" t="e">
        <f ca="1">SUMIFS('Digital Product Summary by COA'!$S$54:$S$325,'Digital Product Summary by COA'!$T$54:$T$325,$A$251,'Digital Product Summary by COA'!$C$54:$C$325,$A271)</f>
        <v>#NAME?</v>
      </c>
      <c r="J271" s="163"/>
      <c r="K271" s="164"/>
      <c r="Z271" s="15"/>
      <c r="AA271" s="15"/>
      <c r="AB271" s="15"/>
      <c r="AC271" s="15"/>
    </row>
    <row r="272" spans="1:29" ht="15.75" customHeight="1" collapsed="1" x14ac:dyDescent="0.3">
      <c r="A272" s="166" t="s">
        <v>94</v>
      </c>
      <c r="B272" s="168">
        <f t="shared" ref="B272:E272" si="172">SUBTOTAL(9,B273:B277)</f>
        <v>0</v>
      </c>
      <c r="C272" s="168">
        <f t="shared" si="172"/>
        <v>0</v>
      </c>
      <c r="D272" s="168">
        <f t="shared" si="172"/>
        <v>0</v>
      </c>
      <c r="E272" s="168" t="e">
        <f t="shared" ca="1" si="172"/>
        <v>#NAME?</v>
      </c>
      <c r="F272" s="160"/>
      <c r="J272" s="169">
        <f t="shared" ref="J272:K272" si="173">SUBTOTAL(9,J273:J277)</f>
        <v>0</v>
      </c>
      <c r="K272" s="168">
        <f t="shared" si="173"/>
        <v>0</v>
      </c>
      <c r="Z272" s="15"/>
      <c r="AA272" s="15"/>
      <c r="AB272" s="15"/>
      <c r="AC272" s="15"/>
    </row>
    <row r="273" spans="1:29" ht="15.75" hidden="1" customHeight="1" outlineLevel="1" x14ac:dyDescent="0.85">
      <c r="A273" s="165" t="s">
        <v>95</v>
      </c>
      <c r="B273" s="102">
        <v>0</v>
      </c>
      <c r="C273" s="102">
        <f t="shared" ref="C273:C277" si="174">J273+K273</f>
        <v>0</v>
      </c>
      <c r="D273" s="102">
        <f t="shared" ref="D273:D277" si="175">C273-B273</f>
        <v>0</v>
      </c>
      <c r="E273" s="102" t="e">
        <f ca="1">SUMIFS('Digital Product Summary by COA'!$S$54:$S$325,'Digital Product Summary by COA'!$T$54:$T$325,$A$251,'Digital Product Summary by COA'!$C$54:$C$325,$A273)</f>
        <v>#NAME?</v>
      </c>
      <c r="J273" s="163"/>
      <c r="K273" s="164"/>
      <c r="Z273" s="15"/>
      <c r="AA273" s="15"/>
      <c r="AB273" s="15"/>
      <c r="AC273" s="15"/>
    </row>
    <row r="274" spans="1:29" ht="15.75" hidden="1" customHeight="1" outlineLevel="1" x14ac:dyDescent="0.85">
      <c r="A274" s="165" t="s">
        <v>96</v>
      </c>
      <c r="B274" s="102">
        <v>0</v>
      </c>
      <c r="C274" s="102">
        <f t="shared" si="174"/>
        <v>0</v>
      </c>
      <c r="D274" s="102">
        <f t="shared" si="175"/>
        <v>0</v>
      </c>
      <c r="E274" s="102">
        <f ca="1">SUMIFS('Digital Product Summary by COA'!$S$54:$S$325,'Digital Product Summary by COA'!$T$54:$T$325,$A$251,'Digital Product Summary by COA'!$C$54:$C$325,$A274)</f>
        <v>0</v>
      </c>
      <c r="J274" s="163"/>
      <c r="K274" s="164"/>
      <c r="Z274" s="15"/>
      <c r="AA274" s="15"/>
      <c r="AB274" s="15"/>
      <c r="AC274" s="15"/>
    </row>
    <row r="275" spans="1:29" ht="15.75" hidden="1" customHeight="1" outlineLevel="1" x14ac:dyDescent="0.85">
      <c r="A275" s="165" t="s">
        <v>97</v>
      </c>
      <c r="B275" s="102">
        <v>0</v>
      </c>
      <c r="C275" s="102">
        <f t="shared" si="174"/>
        <v>0</v>
      </c>
      <c r="D275" s="102">
        <f t="shared" si="175"/>
        <v>0</v>
      </c>
      <c r="E275" s="102">
        <f ca="1">SUMIFS('Digital Product Summary by COA'!$S$54:$S$325,'Digital Product Summary by COA'!$T$54:$T$325,$A$251,'Digital Product Summary by COA'!$C$54:$C$325,$A275)</f>
        <v>0</v>
      </c>
      <c r="J275" s="163"/>
      <c r="K275" s="164"/>
      <c r="Z275" s="15"/>
      <c r="AA275" s="15"/>
      <c r="AB275" s="15"/>
      <c r="AC275" s="15"/>
    </row>
    <row r="276" spans="1:29" ht="15.75" hidden="1" customHeight="1" outlineLevel="1" x14ac:dyDescent="0.85">
      <c r="A276" s="165" t="s">
        <v>98</v>
      </c>
      <c r="B276" s="102">
        <v>0</v>
      </c>
      <c r="C276" s="102">
        <f t="shared" si="174"/>
        <v>0</v>
      </c>
      <c r="D276" s="102">
        <f t="shared" si="175"/>
        <v>0</v>
      </c>
      <c r="E276" s="102">
        <f ca="1">SUMIFS('Digital Product Summary by COA'!$S$54:$S$325,'Digital Product Summary by COA'!$T$54:$T$325,$A$251,'Digital Product Summary by COA'!$C$54:$C$325,$A276)</f>
        <v>0</v>
      </c>
      <c r="J276" s="163"/>
      <c r="K276" s="164"/>
      <c r="Z276" s="15"/>
      <c r="AA276" s="15"/>
      <c r="AB276" s="15"/>
      <c r="AC276" s="15"/>
    </row>
    <row r="277" spans="1:29" ht="15.75" hidden="1" customHeight="1" outlineLevel="1" x14ac:dyDescent="0.85">
      <c r="A277" s="165" t="s">
        <v>99</v>
      </c>
      <c r="B277" s="102">
        <v>0</v>
      </c>
      <c r="C277" s="102">
        <f t="shared" si="174"/>
        <v>0</v>
      </c>
      <c r="D277" s="102">
        <f t="shared" si="175"/>
        <v>0</v>
      </c>
      <c r="E277" s="102" t="e">
        <f ca="1">SUMIFS('Digital Product Summary by COA'!$S$54:$S$325,'Digital Product Summary by COA'!$T$54:$T$325,$A$251,'Digital Product Summary by COA'!$C$54:$C$325,$A277)</f>
        <v>#NAME?</v>
      </c>
      <c r="J277" s="163"/>
      <c r="K277" s="164"/>
      <c r="Z277" s="15"/>
      <c r="AA277" s="15"/>
      <c r="AB277" s="15"/>
      <c r="AC277" s="15"/>
    </row>
    <row r="278" spans="1:29" ht="15.75" customHeight="1" collapsed="1" x14ac:dyDescent="0.3">
      <c r="A278" s="166" t="s">
        <v>100</v>
      </c>
      <c r="B278" s="168">
        <f t="shared" ref="B278:E278" si="176">SUBTOTAL(9,B279:B281)</f>
        <v>0</v>
      </c>
      <c r="C278" s="168">
        <f t="shared" si="176"/>
        <v>0</v>
      </c>
      <c r="D278" s="168">
        <f t="shared" si="176"/>
        <v>0</v>
      </c>
      <c r="E278" s="168" t="e">
        <f t="shared" ca="1" si="176"/>
        <v>#NAME?</v>
      </c>
      <c r="F278" s="160"/>
      <c r="J278" s="169">
        <f t="shared" ref="J278:K278" si="177">SUBTOTAL(9,J279:J281)</f>
        <v>0</v>
      </c>
      <c r="K278" s="168">
        <f t="shared" si="177"/>
        <v>0</v>
      </c>
      <c r="Z278" s="15"/>
      <c r="AA278" s="15"/>
      <c r="AB278" s="15"/>
      <c r="AC278" s="15"/>
    </row>
    <row r="279" spans="1:29" ht="15.75" hidden="1" customHeight="1" outlineLevel="1" x14ac:dyDescent="0.85">
      <c r="A279" s="165" t="s">
        <v>101</v>
      </c>
      <c r="B279" s="102">
        <v>0</v>
      </c>
      <c r="C279" s="102">
        <f t="shared" ref="C279:C281" si="178">J279+K279</f>
        <v>0</v>
      </c>
      <c r="D279" s="102">
        <f t="shared" ref="D279:D281" si="179">C279-B279</f>
        <v>0</v>
      </c>
      <c r="E279" s="102" t="e">
        <f ca="1">SUMIFS('Digital Product Summary by COA'!$S$54:$S$325,'Digital Product Summary by COA'!$T$54:$T$325,$A$251,'Digital Product Summary by COA'!$C$54:$C$325,$A279)</f>
        <v>#NAME?</v>
      </c>
      <c r="J279" s="163"/>
      <c r="K279" s="164"/>
      <c r="Z279" s="15"/>
      <c r="AA279" s="15"/>
      <c r="AB279" s="15"/>
      <c r="AC279" s="15"/>
    </row>
    <row r="280" spans="1:29" ht="15.75" hidden="1" customHeight="1" outlineLevel="1" x14ac:dyDescent="0.85">
      <c r="A280" s="165" t="s">
        <v>103</v>
      </c>
      <c r="B280" s="102">
        <v>0</v>
      </c>
      <c r="C280" s="102">
        <f t="shared" si="178"/>
        <v>0</v>
      </c>
      <c r="D280" s="102">
        <f t="shared" si="179"/>
        <v>0</v>
      </c>
      <c r="E280" s="102" t="e">
        <f ca="1">SUMIFS('Digital Product Summary by COA'!$S$54:$S$325,'Digital Product Summary by COA'!$T$54:$T$325,$A$251,'Digital Product Summary by COA'!$C$54:$C$325,$A280)</f>
        <v>#NAME?</v>
      </c>
      <c r="J280" s="163"/>
      <c r="K280" s="164"/>
      <c r="Z280" s="15"/>
      <c r="AA280" s="15"/>
      <c r="AB280" s="15"/>
      <c r="AC280" s="15"/>
    </row>
    <row r="281" spans="1:29" ht="15.75" hidden="1" customHeight="1" outlineLevel="1" x14ac:dyDescent="0.85">
      <c r="A281" s="165" t="s">
        <v>104</v>
      </c>
      <c r="B281" s="102">
        <v>0</v>
      </c>
      <c r="C281" s="102">
        <f t="shared" si="178"/>
        <v>0</v>
      </c>
      <c r="D281" s="102">
        <f t="shared" si="179"/>
        <v>0</v>
      </c>
      <c r="E281" s="102" t="e">
        <f ca="1">SUMIFS('Digital Product Summary by COA'!$S$54:$S$325,'Digital Product Summary by COA'!$T$54:$T$325,$A$251,'Digital Product Summary by COA'!$C$54:$C$325,$A281)</f>
        <v>#NAME?</v>
      </c>
      <c r="J281" s="163"/>
      <c r="K281" s="164"/>
      <c r="Z281" s="15"/>
      <c r="AA281" s="15"/>
      <c r="AB281" s="15"/>
      <c r="AC281" s="15"/>
    </row>
    <row r="282" spans="1:29" ht="15.75" customHeight="1" collapsed="1" x14ac:dyDescent="0.3">
      <c r="A282" s="166" t="s">
        <v>105</v>
      </c>
      <c r="B282" s="168">
        <f t="shared" ref="B282:E282" si="180">SUBTOTAL(9,B283:B297)</f>
        <v>0</v>
      </c>
      <c r="C282" s="168">
        <f t="shared" si="180"/>
        <v>0</v>
      </c>
      <c r="D282" s="168">
        <f t="shared" si="180"/>
        <v>0</v>
      </c>
      <c r="E282" s="168" t="e">
        <f t="shared" ca="1" si="180"/>
        <v>#NAME?</v>
      </c>
      <c r="F282" s="160"/>
      <c r="J282" s="169">
        <f t="shared" ref="J282:K282" si="181">SUBTOTAL(9,J283:J297)</f>
        <v>0</v>
      </c>
      <c r="K282" s="168">
        <f t="shared" si="181"/>
        <v>0</v>
      </c>
      <c r="Z282" s="15"/>
      <c r="AA282" s="15"/>
      <c r="AB282" s="15"/>
      <c r="AC282" s="15"/>
    </row>
    <row r="283" spans="1:29" ht="15.75" hidden="1" customHeight="1" outlineLevel="1" x14ac:dyDescent="0.85">
      <c r="A283" s="165" t="s">
        <v>110</v>
      </c>
      <c r="B283" s="102">
        <v>0</v>
      </c>
      <c r="C283" s="102">
        <f t="shared" ref="C283:C297" si="182">J283+K283</f>
        <v>0</v>
      </c>
      <c r="D283" s="102">
        <f t="shared" ref="D283:D297" si="183">C283-B283</f>
        <v>0</v>
      </c>
      <c r="E283" s="102" t="e">
        <f ca="1">SUMIFS('Digital Product Summary by COA'!$S$54:$S$325,'Digital Product Summary by COA'!$T$54:$T$325,$A$251,'Digital Product Summary by COA'!$C$54:$C$325,$A283)</f>
        <v>#NAME?</v>
      </c>
      <c r="J283" s="163"/>
      <c r="K283" s="164"/>
      <c r="Z283" s="15"/>
      <c r="AA283" s="15"/>
      <c r="AB283" s="15"/>
      <c r="AC283" s="15"/>
    </row>
    <row r="284" spans="1:29" ht="15.75" hidden="1" customHeight="1" outlineLevel="1" x14ac:dyDescent="0.85">
      <c r="A284" s="165" t="s">
        <v>111</v>
      </c>
      <c r="B284" s="102">
        <v>0</v>
      </c>
      <c r="C284" s="102">
        <f t="shared" si="182"/>
        <v>0</v>
      </c>
      <c r="D284" s="102">
        <f t="shared" si="183"/>
        <v>0</v>
      </c>
      <c r="E284" s="102">
        <f ca="1">SUMIFS('Digital Product Summary by COA'!$S$54:$S$325,'Digital Product Summary by COA'!$T$54:$T$325,$A$251,'Digital Product Summary by COA'!$C$54:$C$325,$A284)</f>
        <v>0</v>
      </c>
      <c r="J284" s="163"/>
      <c r="K284" s="164"/>
      <c r="Z284" s="15"/>
      <c r="AA284" s="15"/>
      <c r="AB284" s="15"/>
      <c r="AC284" s="15"/>
    </row>
    <row r="285" spans="1:29" ht="15.75" hidden="1" customHeight="1" outlineLevel="1" x14ac:dyDescent="0.85">
      <c r="A285" s="165" t="s">
        <v>112</v>
      </c>
      <c r="B285" s="102">
        <v>0</v>
      </c>
      <c r="C285" s="102">
        <f t="shared" si="182"/>
        <v>0</v>
      </c>
      <c r="D285" s="102">
        <f t="shared" si="183"/>
        <v>0</v>
      </c>
      <c r="E285" s="102">
        <f ca="1">SUMIFS('Digital Product Summary by COA'!$S$54:$S$325,'Digital Product Summary by COA'!$T$54:$T$325,$A$251,'Digital Product Summary by COA'!$C$54:$C$325,$A285)</f>
        <v>0</v>
      </c>
      <c r="J285" s="163"/>
      <c r="K285" s="164"/>
      <c r="Z285" s="15"/>
      <c r="AA285" s="15"/>
      <c r="AB285" s="15"/>
      <c r="AC285" s="15"/>
    </row>
    <row r="286" spans="1:29" ht="15.75" hidden="1" customHeight="1" outlineLevel="1" x14ac:dyDescent="0.85">
      <c r="A286" s="165" t="s">
        <v>113</v>
      </c>
      <c r="B286" s="102">
        <v>0</v>
      </c>
      <c r="C286" s="102">
        <f t="shared" si="182"/>
        <v>0</v>
      </c>
      <c r="D286" s="102">
        <f t="shared" si="183"/>
        <v>0</v>
      </c>
      <c r="E286" s="102" t="e">
        <f ca="1">SUMIFS('Digital Product Summary by COA'!$S$54:$S$325,'Digital Product Summary by COA'!$T$54:$T$325,$A$251,'Digital Product Summary by COA'!$C$54:$C$325,$A286)</f>
        <v>#NAME?</v>
      </c>
      <c r="J286" s="163"/>
      <c r="K286" s="164"/>
      <c r="Z286" s="15"/>
      <c r="AA286" s="15"/>
      <c r="AB286" s="15"/>
      <c r="AC286" s="15"/>
    </row>
    <row r="287" spans="1:29" ht="15.75" hidden="1" customHeight="1" outlineLevel="1" x14ac:dyDescent="0.85">
      <c r="A287" s="165" t="s">
        <v>114</v>
      </c>
      <c r="B287" s="102">
        <v>0</v>
      </c>
      <c r="C287" s="102">
        <f t="shared" si="182"/>
        <v>0</v>
      </c>
      <c r="D287" s="102">
        <f t="shared" si="183"/>
        <v>0</v>
      </c>
      <c r="E287" s="102" t="e">
        <f ca="1">SUMIFS('Digital Product Summary by COA'!$S$54:$S$325,'Digital Product Summary by COA'!$T$54:$T$325,$A$251,'Digital Product Summary by COA'!$C$54:$C$325,$A287)</f>
        <v>#NAME?</v>
      </c>
      <c r="J287" s="163"/>
      <c r="K287" s="164"/>
      <c r="Z287" s="15"/>
      <c r="AA287" s="15"/>
      <c r="AB287" s="15"/>
      <c r="AC287" s="15"/>
    </row>
    <row r="288" spans="1:29" ht="15.75" hidden="1" customHeight="1" outlineLevel="1" x14ac:dyDescent="0.85">
      <c r="A288" s="165" t="s">
        <v>115</v>
      </c>
      <c r="B288" s="102">
        <v>0</v>
      </c>
      <c r="C288" s="102">
        <f t="shared" si="182"/>
        <v>0</v>
      </c>
      <c r="D288" s="102">
        <f t="shared" si="183"/>
        <v>0</v>
      </c>
      <c r="E288" s="102">
        <f ca="1">SUMIFS('Digital Product Summary by COA'!$S$54:$S$325,'Digital Product Summary by COA'!$T$54:$T$325,$A$251,'Digital Product Summary by COA'!$C$54:$C$325,$A288)</f>
        <v>0</v>
      </c>
      <c r="J288" s="163"/>
      <c r="K288" s="164"/>
      <c r="Z288" s="15"/>
      <c r="AA288" s="15"/>
      <c r="AB288" s="15"/>
      <c r="AC288" s="15"/>
    </row>
    <row r="289" spans="1:29" ht="15.75" hidden="1" customHeight="1" outlineLevel="1" x14ac:dyDescent="0.85">
      <c r="A289" s="165" t="s">
        <v>117</v>
      </c>
      <c r="B289" s="102">
        <v>0</v>
      </c>
      <c r="C289" s="102">
        <f t="shared" si="182"/>
        <v>0</v>
      </c>
      <c r="D289" s="102">
        <f t="shared" si="183"/>
        <v>0</v>
      </c>
      <c r="E289" s="102">
        <f ca="1">SUMIFS('Digital Product Summary by COA'!$S$54:$S$325,'Digital Product Summary by COA'!$T$54:$T$325,$A$251,'Digital Product Summary by COA'!$C$54:$C$325,$A289)</f>
        <v>0</v>
      </c>
      <c r="J289" s="163"/>
      <c r="K289" s="164"/>
      <c r="Z289" s="15"/>
      <c r="AA289" s="15"/>
      <c r="AB289" s="15"/>
      <c r="AC289" s="15"/>
    </row>
    <row r="290" spans="1:29" ht="15.75" hidden="1" customHeight="1" outlineLevel="1" x14ac:dyDescent="0.85">
      <c r="A290" s="165" t="s">
        <v>118</v>
      </c>
      <c r="B290" s="102">
        <v>0</v>
      </c>
      <c r="C290" s="102">
        <f t="shared" si="182"/>
        <v>0</v>
      </c>
      <c r="D290" s="102">
        <f t="shared" si="183"/>
        <v>0</v>
      </c>
      <c r="E290" s="102">
        <f ca="1">SUMIFS('Digital Product Summary by COA'!$S$54:$S$325,'Digital Product Summary by COA'!$T$54:$T$325,$A$251,'Digital Product Summary by COA'!$C$54:$C$325,$A290)</f>
        <v>0</v>
      </c>
      <c r="J290" s="163"/>
      <c r="K290" s="164"/>
      <c r="Z290" s="15"/>
      <c r="AA290" s="15"/>
      <c r="AB290" s="15"/>
      <c r="AC290" s="15"/>
    </row>
    <row r="291" spans="1:29" ht="15.75" hidden="1" customHeight="1" outlineLevel="1" x14ac:dyDescent="0.85">
      <c r="A291" s="165" t="s">
        <v>119</v>
      </c>
      <c r="B291" s="102">
        <v>0</v>
      </c>
      <c r="C291" s="102">
        <f t="shared" si="182"/>
        <v>0</v>
      </c>
      <c r="D291" s="102">
        <f t="shared" si="183"/>
        <v>0</v>
      </c>
      <c r="E291" s="102">
        <f ca="1">SUMIFS('Digital Product Summary by COA'!$S$54:$S$325,'Digital Product Summary by COA'!$T$54:$T$325,$A$251,'Digital Product Summary by COA'!$C$54:$C$325,$A291)</f>
        <v>0</v>
      </c>
      <c r="J291" s="163"/>
      <c r="K291" s="164"/>
      <c r="Z291" s="15"/>
      <c r="AA291" s="15"/>
      <c r="AB291" s="15"/>
      <c r="AC291" s="15"/>
    </row>
    <row r="292" spans="1:29" ht="15.75" hidden="1" customHeight="1" outlineLevel="1" x14ac:dyDescent="0.85">
      <c r="A292" s="165" t="s">
        <v>120</v>
      </c>
      <c r="B292" s="102">
        <v>0</v>
      </c>
      <c r="C292" s="102">
        <f t="shared" si="182"/>
        <v>0</v>
      </c>
      <c r="D292" s="102">
        <f t="shared" si="183"/>
        <v>0</v>
      </c>
      <c r="E292" s="102">
        <f ca="1">SUMIFS('Digital Product Summary by COA'!$S$54:$S$325,'Digital Product Summary by COA'!$T$54:$T$325,$A$251,'Digital Product Summary by COA'!$C$54:$C$325,$A292)</f>
        <v>0</v>
      </c>
      <c r="J292" s="163"/>
      <c r="K292" s="164"/>
      <c r="Z292" s="15"/>
      <c r="AA292" s="15"/>
      <c r="AB292" s="15"/>
      <c r="AC292" s="15"/>
    </row>
    <row r="293" spans="1:29" ht="15.75" hidden="1" customHeight="1" outlineLevel="1" x14ac:dyDescent="0.85">
      <c r="A293" s="165" t="s">
        <v>121</v>
      </c>
      <c r="B293" s="102">
        <v>0</v>
      </c>
      <c r="C293" s="102">
        <f t="shared" si="182"/>
        <v>0</v>
      </c>
      <c r="D293" s="102">
        <f t="shared" si="183"/>
        <v>0</v>
      </c>
      <c r="E293" s="102">
        <f ca="1">SUMIFS('Digital Product Summary by COA'!$S$54:$S$325,'Digital Product Summary by COA'!$T$54:$T$325,$A$251,'Digital Product Summary by COA'!$C$54:$C$325,$A293)</f>
        <v>0</v>
      </c>
      <c r="J293" s="163"/>
      <c r="K293" s="164"/>
      <c r="Z293" s="15"/>
      <c r="AA293" s="15"/>
      <c r="AB293" s="15"/>
      <c r="AC293" s="15"/>
    </row>
    <row r="294" spans="1:29" ht="15.75" hidden="1" customHeight="1" outlineLevel="1" x14ac:dyDescent="0.85">
      <c r="A294" s="165" t="s">
        <v>122</v>
      </c>
      <c r="B294" s="102">
        <v>0</v>
      </c>
      <c r="C294" s="102">
        <f t="shared" si="182"/>
        <v>0</v>
      </c>
      <c r="D294" s="102">
        <f t="shared" si="183"/>
        <v>0</v>
      </c>
      <c r="E294" s="102">
        <f ca="1">SUMIFS('Digital Product Summary by COA'!$S$54:$S$325,'Digital Product Summary by COA'!$T$54:$T$325,$A$251,'Digital Product Summary by COA'!$C$54:$C$325,$A294)</f>
        <v>0</v>
      </c>
      <c r="J294" s="163"/>
      <c r="K294" s="164"/>
      <c r="Z294" s="15"/>
      <c r="AA294" s="15"/>
      <c r="AB294" s="15"/>
      <c r="AC294" s="15"/>
    </row>
    <row r="295" spans="1:29" ht="15.75" hidden="1" customHeight="1" outlineLevel="1" x14ac:dyDescent="0.85">
      <c r="A295" s="165" t="s">
        <v>144</v>
      </c>
      <c r="B295" s="102">
        <v>0</v>
      </c>
      <c r="C295" s="102">
        <f t="shared" si="182"/>
        <v>0</v>
      </c>
      <c r="D295" s="102">
        <f t="shared" si="183"/>
        <v>0</v>
      </c>
      <c r="E295" s="102">
        <f ca="1">SUMIFS('Digital Product Summary by COA'!$S$54:$S$325,'Digital Product Summary by COA'!$T$54:$T$325,$A$251,'Digital Product Summary by COA'!$C$54:$C$325,$A295)</f>
        <v>0</v>
      </c>
      <c r="J295" s="163"/>
      <c r="K295" s="164"/>
      <c r="Z295" s="15"/>
      <c r="AA295" s="15"/>
      <c r="AB295" s="15"/>
      <c r="AC295" s="15"/>
    </row>
    <row r="296" spans="1:29" ht="15.75" hidden="1" customHeight="1" outlineLevel="1" x14ac:dyDescent="0.25">
      <c r="A296" s="129" t="s">
        <v>124</v>
      </c>
      <c r="B296" s="102">
        <v>0</v>
      </c>
      <c r="C296" s="102">
        <f t="shared" si="182"/>
        <v>0</v>
      </c>
      <c r="D296" s="102">
        <f t="shared" si="183"/>
        <v>0</v>
      </c>
      <c r="E296" s="102">
        <f ca="1">SUMIFS('Digital Product Summary by COA'!$S$54:$S$325,'Digital Product Summary by COA'!$T$54:$T$325,$A$251,'Digital Product Summary by COA'!$C$54:$C$325,$A296)</f>
        <v>0</v>
      </c>
      <c r="J296" s="163"/>
      <c r="K296" s="164"/>
      <c r="Z296" s="15"/>
      <c r="AA296" s="15"/>
      <c r="AB296" s="15"/>
      <c r="AC296" s="15"/>
    </row>
    <row r="297" spans="1:29" ht="15.75" hidden="1" customHeight="1" outlineLevel="1" x14ac:dyDescent="0.25">
      <c r="A297" s="129" t="s">
        <v>125</v>
      </c>
      <c r="B297" s="102">
        <v>0</v>
      </c>
      <c r="C297" s="102">
        <f t="shared" si="182"/>
        <v>0</v>
      </c>
      <c r="D297" s="102">
        <f t="shared" si="183"/>
        <v>0</v>
      </c>
      <c r="E297" s="102">
        <f ca="1">SUMIFS('Digital Product Summary by COA'!$S$54:$S$325,'Digital Product Summary by COA'!$T$54:$T$325,$A$251,'Digital Product Summary by COA'!$C$54:$C$325,$A297)</f>
        <v>0</v>
      </c>
      <c r="J297" s="163"/>
      <c r="K297" s="164"/>
      <c r="Z297" s="15"/>
      <c r="AA297" s="15"/>
      <c r="AB297" s="15"/>
      <c r="AC297" s="15"/>
    </row>
    <row r="298" spans="1:29" ht="15.75" customHeight="1" collapsed="1" x14ac:dyDescent="0.3">
      <c r="A298" s="166" t="s">
        <v>126</v>
      </c>
      <c r="B298" s="168">
        <f t="shared" ref="B298:E298" si="184">SUBTOTAL(9,B299:B301)</f>
        <v>0</v>
      </c>
      <c r="C298" s="168">
        <f t="shared" si="184"/>
        <v>0</v>
      </c>
      <c r="D298" s="168">
        <f t="shared" si="184"/>
        <v>0</v>
      </c>
      <c r="E298" s="168" t="e">
        <f t="shared" ca="1" si="184"/>
        <v>#NAME?</v>
      </c>
      <c r="F298" s="160"/>
      <c r="J298" s="169">
        <f t="shared" ref="J298:K298" si="185">SUBTOTAL(9,J299:J301)</f>
        <v>0</v>
      </c>
      <c r="K298" s="168">
        <f t="shared" si="185"/>
        <v>0</v>
      </c>
      <c r="Z298" s="15"/>
      <c r="AA298" s="15"/>
      <c r="AB298" s="15"/>
      <c r="AC298" s="15"/>
    </row>
    <row r="299" spans="1:29" ht="15.75" hidden="1" customHeight="1" outlineLevel="1" x14ac:dyDescent="0.25">
      <c r="A299" s="129" t="s">
        <v>128</v>
      </c>
      <c r="B299" s="102">
        <v>0</v>
      </c>
      <c r="C299" s="102">
        <f t="shared" ref="C299:C301" si="186">J299+K299</f>
        <v>0</v>
      </c>
      <c r="D299" s="102">
        <f t="shared" ref="D299:D301" si="187">C299-B299</f>
        <v>0</v>
      </c>
      <c r="E299" s="102">
        <f ca="1">SUMIFS('Digital Product Summary by COA'!$S$54:$S$325,'Digital Product Summary by COA'!$T$54:$T$325,$A$251,'Digital Product Summary by COA'!$C$54:$C$325,$A299)</f>
        <v>0</v>
      </c>
      <c r="J299" s="163"/>
      <c r="K299" s="164"/>
      <c r="Z299" s="15"/>
      <c r="AA299" s="15"/>
      <c r="AB299" s="15"/>
      <c r="AC299" s="15"/>
    </row>
    <row r="300" spans="1:29" ht="15.75" hidden="1" customHeight="1" outlineLevel="1" x14ac:dyDescent="0.25">
      <c r="A300" s="129" t="s">
        <v>129</v>
      </c>
      <c r="B300" s="102">
        <v>0</v>
      </c>
      <c r="C300" s="102">
        <f t="shared" si="186"/>
        <v>0</v>
      </c>
      <c r="D300" s="102">
        <f t="shared" si="187"/>
        <v>0</v>
      </c>
      <c r="E300" s="102">
        <f ca="1">SUMIFS('Digital Product Summary by COA'!$S$54:$S$325,'Digital Product Summary by COA'!$T$54:$T$325,$A$251,'Digital Product Summary by COA'!$C$54:$C$325,$A300)</f>
        <v>0</v>
      </c>
      <c r="J300" s="163"/>
      <c r="K300" s="164"/>
      <c r="Z300" s="15"/>
      <c r="AA300" s="15"/>
      <c r="AB300" s="15"/>
      <c r="AC300" s="15"/>
    </row>
    <row r="301" spans="1:29" ht="15.75" hidden="1" customHeight="1" outlineLevel="1" x14ac:dyDescent="0.25">
      <c r="A301" s="129" t="s">
        <v>134</v>
      </c>
      <c r="B301" s="102">
        <v>0</v>
      </c>
      <c r="C301" s="102">
        <f t="shared" si="186"/>
        <v>0</v>
      </c>
      <c r="D301" s="102">
        <f t="shared" si="187"/>
        <v>0</v>
      </c>
      <c r="E301" s="102" t="e">
        <f ca="1">SUMIFS('Digital Product Summary by COA'!$S$54:$S$325,'Digital Product Summary by COA'!$T$54:$T$325,$A$251,'Digital Product Summary by COA'!$C$54:$C$325,$A301)</f>
        <v>#NAME?</v>
      </c>
      <c r="J301" s="163"/>
      <c r="K301" s="164"/>
      <c r="Z301" s="15"/>
      <c r="AA301" s="15"/>
      <c r="AB301" s="15"/>
      <c r="AC301" s="15"/>
    </row>
    <row r="302" spans="1:29" ht="15.75" customHeight="1" collapsed="1" x14ac:dyDescent="0.3">
      <c r="A302" s="166" t="s">
        <v>135</v>
      </c>
      <c r="B302" s="168">
        <f t="shared" ref="B302:E302" si="188">SUBTOTAL(9,B303)</f>
        <v>4832</v>
      </c>
      <c r="C302" s="168">
        <f t="shared" si="188"/>
        <v>2604</v>
      </c>
      <c r="D302" s="168">
        <f t="shared" si="188"/>
        <v>-2228</v>
      </c>
      <c r="E302" s="168" t="e">
        <f t="shared" ca="1" si="188"/>
        <v>#NAME?</v>
      </c>
      <c r="F302" s="160"/>
      <c r="J302" s="169">
        <f t="shared" ref="J302:K302" si="189">SUBTOTAL(9,J303)</f>
        <v>2604</v>
      </c>
      <c r="K302" s="168">
        <f t="shared" si="189"/>
        <v>0</v>
      </c>
      <c r="Z302" s="15"/>
      <c r="AA302" s="15"/>
      <c r="AB302" s="15"/>
      <c r="AC302" s="15"/>
    </row>
    <row r="303" spans="1:29" ht="15.75" hidden="1" customHeight="1" outlineLevel="1" x14ac:dyDescent="0.25">
      <c r="A303" s="129" t="s">
        <v>138</v>
      </c>
      <c r="B303" s="102">
        <v>4832</v>
      </c>
      <c r="C303" s="102">
        <f>J303+K303</f>
        <v>2604</v>
      </c>
      <c r="D303" s="102">
        <f>C303-B303</f>
        <v>-2228</v>
      </c>
      <c r="E303" s="102" t="e">
        <f ca="1">SUMIFS('Digital Product Summary by COA'!$S$54:$S$325,'Digital Product Summary by COA'!$T$54:$T$325,$A$251,'Digital Product Summary by COA'!$C$54:$C$325,$A303)</f>
        <v>#NAME?</v>
      </c>
      <c r="J303" s="163">
        <v>2604</v>
      </c>
      <c r="K303" s="164"/>
      <c r="Z303" s="15"/>
      <c r="AA303" s="15"/>
      <c r="AB303" s="15"/>
      <c r="AC303" s="15"/>
    </row>
    <row r="304" spans="1:29" ht="15.75" customHeight="1" x14ac:dyDescent="0.3">
      <c r="A304" s="134"/>
      <c r="B304" s="173">
        <f t="shared" ref="B304:E304" si="190">SUBTOTAL(9,B253:B303)</f>
        <v>64325</v>
      </c>
      <c r="C304" s="173">
        <f t="shared" si="190"/>
        <v>11898</v>
      </c>
      <c r="D304" s="173">
        <f t="shared" si="190"/>
        <v>-52427</v>
      </c>
      <c r="E304" s="173" t="e">
        <f t="shared" ca="1" si="190"/>
        <v>#NAME?</v>
      </c>
      <c r="F304" s="160"/>
      <c r="J304" s="175">
        <f t="shared" ref="J304:K304" si="191">SUBTOTAL(9,J253:J303)</f>
        <v>9983</v>
      </c>
      <c r="K304" s="173">
        <f t="shared" si="191"/>
        <v>1915</v>
      </c>
      <c r="Z304" s="15"/>
      <c r="AA304" s="15"/>
      <c r="AB304" s="15"/>
      <c r="AC304" s="15"/>
    </row>
    <row r="305" spans="1:29" ht="15.75" customHeight="1" x14ac:dyDescent="0.25">
      <c r="B305" s="145"/>
      <c r="C305" s="145"/>
      <c r="D305" s="145"/>
      <c r="E305" s="50">
        <f ca="1">'Shared Summary by Dept_US$'!C9</f>
        <v>46660.691000000013</v>
      </c>
      <c r="J305" s="13"/>
      <c r="K305" s="145"/>
      <c r="Z305" s="15"/>
      <c r="AA305" s="15"/>
      <c r="AB305" s="15"/>
      <c r="AC305" s="15"/>
    </row>
    <row r="306" spans="1:29" ht="15.75" customHeight="1" x14ac:dyDescent="0.25">
      <c r="B306" s="145"/>
      <c r="C306" s="145"/>
      <c r="D306" s="145"/>
      <c r="E306" s="50" t="e">
        <f ca="1">E304-E305</f>
        <v>#NAME?</v>
      </c>
      <c r="J306" s="13"/>
      <c r="K306" s="145"/>
      <c r="Z306" s="15"/>
      <c r="AA306" s="15"/>
      <c r="AB306" s="15"/>
      <c r="AC306" s="15"/>
    </row>
    <row r="307" spans="1:29" ht="15.75" customHeight="1" x14ac:dyDescent="0.3">
      <c r="A307" s="197" t="s">
        <v>17</v>
      </c>
      <c r="B307" s="92">
        <v>2025</v>
      </c>
      <c r="C307" s="92">
        <v>2025</v>
      </c>
      <c r="D307" s="92">
        <v>2025</v>
      </c>
      <c r="E307" s="92">
        <v>2026</v>
      </c>
      <c r="J307" s="155" t="s">
        <v>15</v>
      </c>
      <c r="K307" s="155" t="s">
        <v>15</v>
      </c>
      <c r="Z307" s="15"/>
      <c r="AA307" s="15"/>
      <c r="AB307" s="15"/>
      <c r="AC307" s="15"/>
    </row>
    <row r="308" spans="1:29" ht="15.75" customHeight="1" x14ac:dyDescent="0.3">
      <c r="A308" s="198" t="s">
        <v>169</v>
      </c>
      <c r="B308" s="94" t="s">
        <v>13</v>
      </c>
      <c r="C308" s="94" t="s">
        <v>142</v>
      </c>
      <c r="D308" s="94" t="s">
        <v>71</v>
      </c>
      <c r="E308" s="92" t="s">
        <v>13</v>
      </c>
      <c r="J308" s="157" t="s">
        <v>143</v>
      </c>
      <c r="K308" s="158">
        <v>45992</v>
      </c>
      <c r="Z308" s="15"/>
      <c r="AA308" s="15"/>
      <c r="AB308" s="15"/>
      <c r="AC308" s="15"/>
    </row>
    <row r="309" spans="1:29" ht="15.75" customHeight="1" collapsed="1" x14ac:dyDescent="0.3">
      <c r="A309" s="159" t="s">
        <v>37</v>
      </c>
      <c r="B309" s="96">
        <f t="shared" ref="B309:E309" si="192">SUBTOTAL(9,B310:B319)</f>
        <v>223941</v>
      </c>
      <c r="C309" s="96">
        <f t="shared" si="192"/>
        <v>222204.7056915272</v>
      </c>
      <c r="D309" s="96">
        <f t="shared" si="192"/>
        <v>-1736.294308472792</v>
      </c>
      <c r="E309" s="96" t="e">
        <f t="shared" ca="1" si="192"/>
        <v>#NAME?</v>
      </c>
      <c r="F309" s="160"/>
      <c r="J309" s="200">
        <f t="shared" ref="J309:K309" si="193">SUBTOTAL(9,J310:J319)</f>
        <v>204729.87470625775</v>
      </c>
      <c r="K309" s="201">
        <f t="shared" si="193"/>
        <v>17474.830985269455</v>
      </c>
      <c r="Z309" s="15"/>
      <c r="AA309" s="15"/>
      <c r="AB309" s="15"/>
      <c r="AC309" s="15"/>
    </row>
    <row r="310" spans="1:29" ht="15.75" hidden="1" customHeight="1" outlineLevel="1" x14ac:dyDescent="0.85">
      <c r="A310" s="162" t="s">
        <v>37</v>
      </c>
      <c r="B310" s="102">
        <v>223941</v>
      </c>
      <c r="C310" s="102">
        <f t="shared" ref="C310:C319" si="194">J310+K310</f>
        <v>219669.71369964947</v>
      </c>
      <c r="D310" s="102">
        <f t="shared" ref="D310:D319" si="195">C310-B310</f>
        <v>-4271.2863003505336</v>
      </c>
      <c r="E310" s="102" t="e">
        <f ca="1">SUMIFS('Digital Product Summary by COA'!$S$54:$S$325,'Digital Product Summary by COA'!$T$54:$T$325,$A$308,'Digital Product Summary by COA'!$C$54:$C$325,$A310)</f>
        <v>#NAME?</v>
      </c>
      <c r="J310" s="204">
        <v>202194.88271438002</v>
      </c>
      <c r="K310" s="205">
        <v>17474.830985269455</v>
      </c>
      <c r="Z310" s="15"/>
      <c r="AA310" s="15"/>
      <c r="AB310" s="15"/>
      <c r="AC310" s="15"/>
    </row>
    <row r="311" spans="1:29" ht="15.75" hidden="1" customHeight="1" outlineLevel="1" x14ac:dyDescent="0.85">
      <c r="A311" s="165" t="s">
        <v>72</v>
      </c>
      <c r="B311" s="139">
        <v>0</v>
      </c>
      <c r="C311" s="102">
        <f t="shared" si="194"/>
        <v>2330.016554767622</v>
      </c>
      <c r="D311" s="102">
        <f t="shared" si="195"/>
        <v>2330.016554767622</v>
      </c>
      <c r="E311" s="102" t="e">
        <f ca="1">SUMIFS('Digital Product Summary by COA'!$S$54:$S$325,'Digital Product Summary by COA'!$T$54:$T$325,$A$308,'Digital Product Summary by COA'!$C$54:$C$325,$A311)</f>
        <v>#NAME?</v>
      </c>
      <c r="J311" s="204">
        <v>2330.016554767622</v>
      </c>
      <c r="K311" s="206"/>
      <c r="Z311" s="15"/>
      <c r="AA311" s="15"/>
      <c r="AB311" s="15"/>
      <c r="AC311" s="15"/>
    </row>
    <row r="312" spans="1:29" ht="15.75" hidden="1" customHeight="1" outlineLevel="1" x14ac:dyDescent="0.85">
      <c r="A312" s="165" t="s">
        <v>73</v>
      </c>
      <c r="B312" s="139">
        <v>0</v>
      </c>
      <c r="C312" s="102">
        <f t="shared" si="194"/>
        <v>204.97543711011963</v>
      </c>
      <c r="D312" s="102">
        <f t="shared" si="195"/>
        <v>204.97543711011963</v>
      </c>
      <c r="E312" s="102">
        <f ca="1">SUMIFS('Digital Product Summary by COA'!$S$54:$S$325,'Digital Product Summary by COA'!$T$54:$T$325,$A$308,'Digital Product Summary by COA'!$C$54:$C$325,$A312)</f>
        <v>0</v>
      </c>
      <c r="J312" s="211">
        <v>204.97543711011963</v>
      </c>
      <c r="K312" s="206"/>
      <c r="Z312" s="15"/>
      <c r="AA312" s="15"/>
      <c r="AB312" s="15"/>
      <c r="AC312" s="15"/>
    </row>
    <row r="313" spans="1:29" ht="15.75" hidden="1" customHeight="1" outlineLevel="1" x14ac:dyDescent="0.85">
      <c r="A313" s="165" t="s">
        <v>74</v>
      </c>
      <c r="B313" s="139">
        <v>0</v>
      </c>
      <c r="C313" s="102">
        <f t="shared" si="194"/>
        <v>0</v>
      </c>
      <c r="D313" s="102">
        <f t="shared" si="195"/>
        <v>0</v>
      </c>
      <c r="E313" s="102">
        <f ca="1">SUMIFS('Digital Product Summary by COA'!$S$54:$S$325,'Digital Product Summary by COA'!$T$54:$T$325,$A$308,'Digital Product Summary by COA'!$C$54:$C$325,$A313)</f>
        <v>0</v>
      </c>
      <c r="J313" s="213"/>
      <c r="K313" s="206"/>
      <c r="Z313" s="15"/>
      <c r="AA313" s="15"/>
      <c r="AB313" s="15"/>
      <c r="AC313" s="15"/>
    </row>
    <row r="314" spans="1:29" ht="15.75" hidden="1" customHeight="1" outlineLevel="1" x14ac:dyDescent="0.85">
      <c r="A314" s="165" t="s">
        <v>77</v>
      </c>
      <c r="B314" s="139">
        <v>0</v>
      </c>
      <c r="C314" s="102">
        <f t="shared" si="194"/>
        <v>0</v>
      </c>
      <c r="D314" s="102">
        <f t="shared" si="195"/>
        <v>0</v>
      </c>
      <c r="E314" s="102" t="e">
        <f ca="1">SUMIFS('Digital Product Summary by COA'!$S$54:$S$325,'Digital Product Summary by COA'!$T$54:$T$325,$A$308,'Digital Product Summary by COA'!$C$54:$C$325,$A314)</f>
        <v>#NAME?</v>
      </c>
      <c r="J314" s="213"/>
      <c r="K314" s="206"/>
      <c r="Z314" s="15"/>
      <c r="AA314" s="15"/>
      <c r="AB314" s="15"/>
      <c r="AC314" s="15"/>
    </row>
    <row r="315" spans="1:29" ht="15.75" hidden="1" customHeight="1" outlineLevel="1" x14ac:dyDescent="0.85">
      <c r="A315" s="165" t="s">
        <v>78</v>
      </c>
      <c r="B315" s="139">
        <v>0</v>
      </c>
      <c r="C315" s="102">
        <f t="shared" si="194"/>
        <v>0</v>
      </c>
      <c r="D315" s="102">
        <f t="shared" si="195"/>
        <v>0</v>
      </c>
      <c r="E315" s="102">
        <f ca="1">SUMIFS('Digital Product Summary by COA'!$S$54:$S$325,'Digital Product Summary by COA'!$T$54:$T$325,$A$308,'Digital Product Summary by COA'!$C$54:$C$325,$A315)</f>
        <v>0</v>
      </c>
      <c r="J315" s="213"/>
      <c r="K315" s="206"/>
      <c r="Z315" s="15"/>
      <c r="AA315" s="15"/>
      <c r="AB315" s="15"/>
      <c r="AC315" s="15"/>
    </row>
    <row r="316" spans="1:29" ht="15.75" hidden="1" customHeight="1" outlineLevel="1" x14ac:dyDescent="0.85">
      <c r="A316" s="165" t="s">
        <v>79</v>
      </c>
      <c r="B316" s="139">
        <v>0</v>
      </c>
      <c r="C316" s="102">
        <f t="shared" si="194"/>
        <v>0</v>
      </c>
      <c r="D316" s="102">
        <f t="shared" si="195"/>
        <v>0</v>
      </c>
      <c r="E316" s="102">
        <f ca="1">SUMIFS('Digital Product Summary by COA'!$S$54:$S$325,'Digital Product Summary by COA'!$T$54:$T$325,$A$308,'Digital Product Summary by COA'!$C$54:$C$325,$A316)</f>
        <v>0</v>
      </c>
      <c r="J316" s="213"/>
      <c r="K316" s="206"/>
      <c r="Z316" s="15"/>
      <c r="AA316" s="15"/>
      <c r="AB316" s="15"/>
      <c r="AC316" s="15"/>
    </row>
    <row r="317" spans="1:29" ht="15.75" hidden="1" customHeight="1" outlineLevel="1" x14ac:dyDescent="0.85">
      <c r="A317" s="165" t="s">
        <v>80</v>
      </c>
      <c r="B317" s="139">
        <v>0</v>
      </c>
      <c r="C317" s="102">
        <f t="shared" si="194"/>
        <v>0</v>
      </c>
      <c r="D317" s="102">
        <f t="shared" si="195"/>
        <v>0</v>
      </c>
      <c r="E317" s="102">
        <f ca="1">SUMIFS('Digital Product Summary by COA'!$S$54:$S$325,'Digital Product Summary by COA'!$T$54:$T$325,$A$308,'Digital Product Summary by COA'!$C$54:$C$325,$A317)</f>
        <v>0</v>
      </c>
      <c r="J317" s="213"/>
      <c r="K317" s="206"/>
      <c r="Z317" s="15"/>
      <c r="AA317" s="15"/>
      <c r="AB317" s="15"/>
      <c r="AC317" s="15"/>
    </row>
    <row r="318" spans="1:29" ht="15.75" hidden="1" customHeight="1" outlineLevel="1" x14ac:dyDescent="0.85">
      <c r="A318" s="165" t="s">
        <v>82</v>
      </c>
      <c r="B318" s="139">
        <v>0</v>
      </c>
      <c r="C318" s="102">
        <f t="shared" si="194"/>
        <v>0</v>
      </c>
      <c r="D318" s="102">
        <f t="shared" si="195"/>
        <v>0</v>
      </c>
      <c r="E318" s="102">
        <f ca="1">SUMIFS('Digital Product Summary by COA'!$S$54:$S$325,'Digital Product Summary by COA'!$T$54:$T$325,$A$308,'Digital Product Summary by COA'!$C$54:$C$325,$A318)</f>
        <v>0</v>
      </c>
      <c r="J318" s="213"/>
      <c r="K318" s="206"/>
      <c r="Z318" s="15"/>
      <c r="AA318" s="15"/>
      <c r="AB318" s="15"/>
      <c r="AC318" s="15"/>
    </row>
    <row r="319" spans="1:29" ht="15.75" hidden="1" customHeight="1" outlineLevel="1" x14ac:dyDescent="0.85">
      <c r="A319" s="165" t="s">
        <v>83</v>
      </c>
      <c r="B319" s="172">
        <v>0</v>
      </c>
      <c r="C319" s="102">
        <f t="shared" si="194"/>
        <v>0</v>
      </c>
      <c r="D319" s="102">
        <f t="shared" si="195"/>
        <v>0</v>
      </c>
      <c r="E319" s="102">
        <f ca="1">SUMIFS('Digital Product Summary by COA'!$S$54:$S$325,'Digital Product Summary by COA'!$T$54:$T$325,$A$308,'Digital Product Summary by COA'!$C$54:$C$325,$A319)</f>
        <v>0</v>
      </c>
      <c r="J319" s="213"/>
      <c r="K319" s="206"/>
      <c r="Z319" s="15"/>
      <c r="AA319" s="15"/>
      <c r="AB319" s="15"/>
      <c r="AC319" s="15"/>
    </row>
    <row r="320" spans="1:29" ht="15.75" customHeight="1" collapsed="1" x14ac:dyDescent="0.3">
      <c r="A320" s="166" t="s">
        <v>84</v>
      </c>
      <c r="B320" s="168">
        <f t="shared" ref="B320:E320" si="196">SUBTOTAL(9,B321)</f>
        <v>117813</v>
      </c>
      <c r="C320" s="168">
        <f t="shared" si="196"/>
        <v>130524.0199855813</v>
      </c>
      <c r="D320" s="168">
        <f t="shared" si="196"/>
        <v>12711.019985581297</v>
      </c>
      <c r="E320" s="168" t="e">
        <f t="shared" ca="1" si="196"/>
        <v>#NAME?</v>
      </c>
      <c r="F320" s="160"/>
      <c r="J320" s="215">
        <f t="shared" ref="J320:K320" si="197">SUBTOTAL(9,J321)</f>
        <v>121889.16004713476</v>
      </c>
      <c r="K320" s="217">
        <f t="shared" si="197"/>
        <v>8634.8599384465306</v>
      </c>
      <c r="Z320" s="15"/>
      <c r="AA320" s="15"/>
      <c r="AB320" s="15"/>
      <c r="AC320" s="15"/>
    </row>
    <row r="321" spans="1:29" ht="15.75" hidden="1" customHeight="1" outlineLevel="1" x14ac:dyDescent="0.85">
      <c r="A321" s="165" t="s">
        <v>85</v>
      </c>
      <c r="B321" s="145">
        <v>117813</v>
      </c>
      <c r="C321" s="102">
        <f>J321+K321</f>
        <v>130524.0199855813</v>
      </c>
      <c r="D321" s="102">
        <f>C321-B321</f>
        <v>12711.019985581297</v>
      </c>
      <c r="E321" s="102" t="e">
        <f ca="1">SUMIFS('Digital Product Summary by COA'!$S$54:$S$325,'Digital Product Summary by COA'!$T$54:$T$325,$A$308,'Digital Product Summary by COA'!$C$54:$C$325,$A321)</f>
        <v>#NAME?</v>
      </c>
      <c r="J321" s="220">
        <v>121889.16004713476</v>
      </c>
      <c r="K321" s="205">
        <v>8634.8599384465306</v>
      </c>
      <c r="Z321" s="15"/>
      <c r="AA321" s="15"/>
      <c r="AB321" s="15"/>
      <c r="AC321" s="15"/>
    </row>
    <row r="322" spans="1:29" ht="15.75" customHeight="1" collapsed="1" x14ac:dyDescent="0.3">
      <c r="A322" s="166" t="s">
        <v>86</v>
      </c>
      <c r="B322" s="168">
        <f t="shared" ref="B322:E322" si="198">SUBTOTAL(9,B323:B328)</f>
        <v>28713</v>
      </c>
      <c r="C322" s="168">
        <f t="shared" si="198"/>
        <v>11611.954489736148</v>
      </c>
      <c r="D322" s="168">
        <f t="shared" si="198"/>
        <v>-17101.045510263852</v>
      </c>
      <c r="E322" s="168" t="e">
        <f t="shared" ca="1" si="198"/>
        <v>#NAME?</v>
      </c>
      <c r="J322" s="221">
        <f t="shared" ref="J322:K322" si="199">SUBTOTAL(9,J323:J328)</f>
        <v>10958.046761766238</v>
      </c>
      <c r="K322" s="222">
        <f t="shared" si="199"/>
        <v>653.90772796991018</v>
      </c>
      <c r="Z322" s="15"/>
      <c r="AA322" s="15"/>
      <c r="AB322" s="15"/>
      <c r="AC322" s="15"/>
    </row>
    <row r="323" spans="1:29" ht="15.75" hidden="1" customHeight="1" outlineLevel="1" x14ac:dyDescent="0.85">
      <c r="A323" s="165" t="s">
        <v>88</v>
      </c>
      <c r="B323" s="102">
        <v>10193</v>
      </c>
      <c r="C323" s="102">
        <f t="shared" ref="C323:C328" si="200">J323+K323</f>
        <v>2633.991384908325</v>
      </c>
      <c r="D323" s="102">
        <f t="shared" ref="D323:D328" si="201">C323-B323</f>
        <v>-7559.008615091675</v>
      </c>
      <c r="E323" s="102" t="e">
        <f ca="1">SUMIFS('Digital Product Summary by COA'!$S$54:$S$325,'Digital Product Summary by COA'!$T$54:$T$325,$A$308,'Digital Product Summary by COA'!$C$54:$C$325,$A323)</f>
        <v>#NAME?</v>
      </c>
      <c r="J323" s="204">
        <v>2417.469055273943</v>
      </c>
      <c r="K323" s="205">
        <v>216.52232963438223</v>
      </c>
      <c r="Z323" s="15"/>
      <c r="AA323" s="15"/>
      <c r="AB323" s="15"/>
      <c r="AC323" s="15"/>
    </row>
    <row r="324" spans="1:29" ht="15.75" hidden="1" customHeight="1" outlineLevel="1" x14ac:dyDescent="0.85">
      <c r="A324" s="165" t="s">
        <v>89</v>
      </c>
      <c r="B324" s="139">
        <v>2718</v>
      </c>
      <c r="C324" s="102">
        <f t="shared" si="200"/>
        <v>706.53066840005567</v>
      </c>
      <c r="D324" s="102">
        <f t="shared" si="201"/>
        <v>-2011.4693315999443</v>
      </c>
      <c r="E324" s="102" t="e">
        <f ca="1">SUMIFS('Digital Product Summary by COA'!$S$54:$S$325,'Digital Product Summary by COA'!$T$54:$T$325,$A$308,'Digital Product Summary by COA'!$C$54:$C$325,$A324)</f>
        <v>#NAME?</v>
      </c>
      <c r="J324" s="204">
        <v>606.33567076620591</v>
      </c>
      <c r="K324" s="205">
        <v>100.19499763384971</v>
      </c>
      <c r="Z324" s="15"/>
      <c r="AA324" s="15"/>
      <c r="AB324" s="15"/>
      <c r="AC324" s="15"/>
    </row>
    <row r="325" spans="1:29" ht="15.75" hidden="1" customHeight="1" outlineLevel="1" x14ac:dyDescent="0.85">
      <c r="A325" s="165" t="s">
        <v>90</v>
      </c>
      <c r="B325" s="139">
        <v>9759</v>
      </c>
      <c r="C325" s="102">
        <f t="shared" si="200"/>
        <v>7187.7549412305279</v>
      </c>
      <c r="D325" s="102">
        <f t="shared" si="201"/>
        <v>-2571.2450587694721</v>
      </c>
      <c r="E325" s="102" t="e">
        <f ca="1">SUMIFS('Digital Product Summary by COA'!$S$54:$S$325,'Digital Product Summary by COA'!$T$54:$T$325,$A$308,'Digital Product Summary by COA'!$C$54:$C$325,$A325)</f>
        <v>#NAME?</v>
      </c>
      <c r="J325" s="204">
        <v>6889.7318793761151</v>
      </c>
      <c r="K325" s="205">
        <v>298.02306185441296</v>
      </c>
      <c r="Z325" s="15"/>
      <c r="AA325" s="15"/>
      <c r="AB325" s="15"/>
      <c r="AC325" s="15"/>
    </row>
    <row r="326" spans="1:29" ht="15.75" hidden="1" customHeight="1" outlineLevel="1" x14ac:dyDescent="0.85">
      <c r="A326" s="165" t="s">
        <v>91</v>
      </c>
      <c r="B326" s="139">
        <v>5663</v>
      </c>
      <c r="C326" s="102">
        <f t="shared" si="200"/>
        <v>992.50676748393528</v>
      </c>
      <c r="D326" s="102">
        <f t="shared" si="201"/>
        <v>-4670.4932325160644</v>
      </c>
      <c r="E326" s="102" t="e">
        <f ca="1">SUMIFS('Digital Product Summary by COA'!$S$54:$S$325,'Digital Product Summary by COA'!$T$54:$T$325,$A$308,'Digital Product Summary by COA'!$C$54:$C$325,$A326)</f>
        <v>#NAME?</v>
      </c>
      <c r="J326" s="204">
        <v>953.33942863667005</v>
      </c>
      <c r="K326" s="205">
        <v>39.167338847265277</v>
      </c>
      <c r="Z326" s="15"/>
      <c r="AA326" s="15"/>
      <c r="AB326" s="15"/>
      <c r="AC326" s="15"/>
    </row>
    <row r="327" spans="1:29" ht="15.75" hidden="1" customHeight="1" outlineLevel="1" x14ac:dyDescent="0.85">
      <c r="A327" s="165" t="s">
        <v>92</v>
      </c>
      <c r="B327" s="139">
        <v>0</v>
      </c>
      <c r="C327" s="102">
        <f t="shared" si="200"/>
        <v>91.170727713304345</v>
      </c>
      <c r="D327" s="102">
        <f t="shared" si="201"/>
        <v>91.170727713304345</v>
      </c>
      <c r="E327" s="102" t="e">
        <f ca="1">SUMIFS('Digital Product Summary by COA'!$S$54:$S$325,'Digital Product Summary by COA'!$T$54:$T$325,$A$308,'Digital Product Summary by COA'!$C$54:$C$325,$A327)</f>
        <v>#NAME?</v>
      </c>
      <c r="J327" s="204">
        <v>91.170727713304345</v>
      </c>
      <c r="K327" s="206"/>
      <c r="Z327" s="15"/>
      <c r="AA327" s="15"/>
      <c r="AB327" s="15"/>
      <c r="AC327" s="15"/>
    </row>
    <row r="328" spans="1:29" ht="15.75" hidden="1" customHeight="1" outlineLevel="1" x14ac:dyDescent="0.85">
      <c r="A328" s="165" t="s">
        <v>93</v>
      </c>
      <c r="B328" s="172">
        <v>380</v>
      </c>
      <c r="C328" s="102">
        <f t="shared" si="200"/>
        <v>0</v>
      </c>
      <c r="D328" s="102">
        <f t="shared" si="201"/>
        <v>-380</v>
      </c>
      <c r="E328" s="102" t="e">
        <f ca="1">SUMIFS('Digital Product Summary by COA'!$S$54:$S$325,'Digital Product Summary by COA'!$T$54:$T$325,$A$308,'Digital Product Summary by COA'!$C$54:$C$325,$A328)</f>
        <v>#NAME?</v>
      </c>
      <c r="J328" s="213"/>
      <c r="K328" s="206"/>
      <c r="Z328" s="15"/>
      <c r="AA328" s="15"/>
      <c r="AB328" s="15"/>
      <c r="AC328" s="15"/>
    </row>
    <row r="329" spans="1:29" ht="15.75" customHeight="1" collapsed="1" x14ac:dyDescent="0.3">
      <c r="A329" s="166" t="s">
        <v>94</v>
      </c>
      <c r="B329" s="168">
        <f t="shared" ref="B329:E329" si="202">SUBTOTAL(9,B330:B334)</f>
        <v>57831</v>
      </c>
      <c r="C329" s="168">
        <f t="shared" si="202"/>
        <v>29813.284711679804</v>
      </c>
      <c r="D329" s="168">
        <f t="shared" si="202"/>
        <v>-28017.715288320196</v>
      </c>
      <c r="E329" s="168" t="e">
        <f t="shared" ca="1" si="202"/>
        <v>#NAME?</v>
      </c>
      <c r="J329" s="223">
        <f t="shared" ref="J329:K329" si="203">SUBTOTAL(9,J330:J334)</f>
        <v>28251.547207806143</v>
      </c>
      <c r="K329" s="224">
        <f t="shared" si="203"/>
        <v>1561.737503873662</v>
      </c>
      <c r="Z329" s="15"/>
      <c r="AA329" s="15"/>
      <c r="AB329" s="15"/>
      <c r="AC329" s="15"/>
    </row>
    <row r="330" spans="1:29" ht="15.75" hidden="1" customHeight="1" outlineLevel="1" x14ac:dyDescent="0.85">
      <c r="A330" s="165" t="s">
        <v>95</v>
      </c>
      <c r="B330" s="225">
        <v>0</v>
      </c>
      <c r="C330" s="102">
        <f t="shared" ref="C330:C334" si="204">J330+K330</f>
        <v>26.805362665976901</v>
      </c>
      <c r="D330" s="102">
        <f t="shared" ref="D330:D334" si="205">C330-B330</f>
        <v>26.805362665976901</v>
      </c>
      <c r="E330" s="102" t="e">
        <f ca="1">SUMIFS('Digital Product Summary by COA'!$S$54:$S$325,'Digital Product Summary by COA'!$T$54:$T$325,$A$308,'Digital Product Summary by COA'!$C$54:$C$325,$A330)</f>
        <v>#NAME?</v>
      </c>
      <c r="J330" s="204">
        <v>26.805362665976901</v>
      </c>
      <c r="K330" s="206"/>
      <c r="Z330" s="15"/>
      <c r="AA330" s="15"/>
      <c r="AB330" s="15"/>
      <c r="AC330" s="15"/>
    </row>
    <row r="331" spans="1:29" ht="15.75" hidden="1" customHeight="1" outlineLevel="1" x14ac:dyDescent="0.85">
      <c r="A331" s="165" t="s">
        <v>96</v>
      </c>
      <c r="B331" s="81">
        <v>0</v>
      </c>
      <c r="C331" s="102">
        <f t="shared" si="204"/>
        <v>0</v>
      </c>
      <c r="D331" s="102">
        <f t="shared" si="205"/>
        <v>0</v>
      </c>
      <c r="E331" s="102">
        <f ca="1">SUMIFS('Digital Product Summary by COA'!$S$54:$S$325,'Digital Product Summary by COA'!$T$54:$T$325,$A$308,'Digital Product Summary by COA'!$C$54:$C$325,$A331)</f>
        <v>0</v>
      </c>
      <c r="J331" s="213"/>
      <c r="K331" s="206"/>
      <c r="Z331" s="15"/>
      <c r="AA331" s="15"/>
      <c r="AB331" s="15"/>
      <c r="AC331" s="15"/>
    </row>
    <row r="332" spans="1:29" ht="15.75" hidden="1" customHeight="1" outlineLevel="1" x14ac:dyDescent="0.85">
      <c r="A332" s="165" t="s">
        <v>97</v>
      </c>
      <c r="B332" s="81">
        <v>0</v>
      </c>
      <c r="C332" s="102">
        <f t="shared" si="204"/>
        <v>0</v>
      </c>
      <c r="D332" s="102">
        <f t="shared" si="205"/>
        <v>0</v>
      </c>
      <c r="E332" s="102">
        <f ca="1">SUMIFS('Digital Product Summary by COA'!$S$54:$S$325,'Digital Product Summary by COA'!$T$54:$T$325,$A$308,'Digital Product Summary by COA'!$C$54:$C$325,$A332)</f>
        <v>0</v>
      </c>
      <c r="J332" s="213"/>
      <c r="K332" s="206"/>
      <c r="Z332" s="15"/>
      <c r="AA332" s="15"/>
      <c r="AB332" s="15"/>
      <c r="AC332" s="15"/>
    </row>
    <row r="333" spans="1:29" ht="15.75" hidden="1" customHeight="1" outlineLevel="1" x14ac:dyDescent="0.85">
      <c r="A333" s="165" t="s">
        <v>98</v>
      </c>
      <c r="B333" s="139">
        <v>57831</v>
      </c>
      <c r="C333" s="102">
        <f t="shared" si="204"/>
        <v>29786.479349013825</v>
      </c>
      <c r="D333" s="102">
        <f t="shared" si="205"/>
        <v>-28044.520650986175</v>
      </c>
      <c r="E333" s="102" t="e">
        <f ca="1">SUMIFS('Digital Product Summary by COA'!$S$54:$S$325,'Digital Product Summary by COA'!$T$54:$T$325,$A$308,'Digital Product Summary by COA'!$C$54:$C$325,$A333)</f>
        <v>#NAME?</v>
      </c>
      <c r="J333" s="204">
        <v>28224.741845140165</v>
      </c>
      <c r="K333" s="205">
        <v>1561.737503873662</v>
      </c>
      <c r="Z333" s="15"/>
      <c r="AA333" s="15"/>
      <c r="AB333" s="15"/>
      <c r="AC333" s="15"/>
    </row>
    <row r="334" spans="1:29" ht="15.75" hidden="1" customHeight="1" outlineLevel="1" x14ac:dyDescent="0.85">
      <c r="A334" s="165" t="s">
        <v>99</v>
      </c>
      <c r="B334" s="226">
        <v>0</v>
      </c>
      <c r="C334" s="102">
        <f t="shared" si="204"/>
        <v>0</v>
      </c>
      <c r="D334" s="102">
        <f t="shared" si="205"/>
        <v>0</v>
      </c>
      <c r="E334" s="102" t="e">
        <f ca="1">SUMIFS('Digital Product Summary by COA'!$S$54:$S$325,'Digital Product Summary by COA'!$T$54:$T$325,$A$308,'Digital Product Summary by COA'!$C$54:$C$325,$A334)</f>
        <v>#NAME?</v>
      </c>
      <c r="J334" s="213"/>
      <c r="K334" s="206"/>
      <c r="Z334" s="15"/>
      <c r="AA334" s="15"/>
      <c r="AB334" s="15"/>
      <c r="AC334" s="15"/>
    </row>
    <row r="335" spans="1:29" ht="15.75" customHeight="1" collapsed="1" x14ac:dyDescent="0.3">
      <c r="A335" s="166" t="s">
        <v>100</v>
      </c>
      <c r="B335" s="168">
        <f t="shared" ref="B335:E335" si="206">SUBTOTAL(9,B336:B338)</f>
        <v>0</v>
      </c>
      <c r="C335" s="168">
        <f t="shared" si="206"/>
        <v>15.324612772244482</v>
      </c>
      <c r="D335" s="168">
        <f t="shared" si="206"/>
        <v>15.324612772244482</v>
      </c>
      <c r="E335" s="168" t="e">
        <f t="shared" ca="1" si="206"/>
        <v>#NAME?</v>
      </c>
      <c r="J335" s="223">
        <f t="shared" ref="J335:K335" si="207">SUBTOTAL(9,J336:J338)</f>
        <v>15.324612772244482</v>
      </c>
      <c r="K335" s="224">
        <f t="shared" si="207"/>
        <v>0</v>
      </c>
      <c r="Z335" s="15"/>
      <c r="AA335" s="15"/>
      <c r="AB335" s="15"/>
      <c r="AC335" s="15"/>
    </row>
    <row r="336" spans="1:29" ht="15.75" hidden="1" customHeight="1" outlineLevel="1" x14ac:dyDescent="0.85">
      <c r="A336" s="165" t="s">
        <v>101</v>
      </c>
      <c r="B336" s="225">
        <v>0</v>
      </c>
      <c r="C336" s="102">
        <f t="shared" ref="C336:C338" si="208">J336+K336</f>
        <v>0</v>
      </c>
      <c r="D336" s="102">
        <f t="shared" ref="D336:D338" si="209">C336-B336</f>
        <v>0</v>
      </c>
      <c r="E336" s="102" t="e">
        <f ca="1">SUMIFS('Digital Product Summary by COA'!$S$54:$S$325,'Digital Product Summary by COA'!$T$54:$T$325,$A$308,'Digital Product Summary by COA'!$C$54:$C$325,$A336)</f>
        <v>#NAME?</v>
      </c>
      <c r="J336" s="213"/>
      <c r="K336" s="206"/>
      <c r="Z336" s="15"/>
      <c r="AA336" s="15"/>
      <c r="AB336" s="15"/>
      <c r="AC336" s="15"/>
    </row>
    <row r="337" spans="1:29" ht="15.75" hidden="1" customHeight="1" outlineLevel="1" x14ac:dyDescent="0.85">
      <c r="A337" s="165" t="s">
        <v>103</v>
      </c>
      <c r="B337" s="81">
        <v>0</v>
      </c>
      <c r="C337" s="102">
        <f t="shared" si="208"/>
        <v>15.324612772244482</v>
      </c>
      <c r="D337" s="102">
        <f t="shared" si="209"/>
        <v>15.324612772244482</v>
      </c>
      <c r="E337" s="102" t="e">
        <f ca="1">SUMIFS('Digital Product Summary by COA'!$S$54:$S$325,'Digital Product Summary by COA'!$T$54:$T$325,$A$308,'Digital Product Summary by COA'!$C$54:$C$325,$A337)</f>
        <v>#NAME?</v>
      </c>
      <c r="J337" s="204">
        <v>15.324612772244482</v>
      </c>
      <c r="K337" s="206"/>
      <c r="Z337" s="15"/>
      <c r="AA337" s="15"/>
      <c r="AB337" s="15"/>
      <c r="AC337" s="15"/>
    </row>
    <row r="338" spans="1:29" ht="15.75" hidden="1" customHeight="1" outlineLevel="1" x14ac:dyDescent="0.85">
      <c r="A338" s="165" t="s">
        <v>104</v>
      </c>
      <c r="B338" s="226">
        <v>0</v>
      </c>
      <c r="C338" s="102">
        <f t="shared" si="208"/>
        <v>0</v>
      </c>
      <c r="D338" s="102">
        <f t="shared" si="209"/>
        <v>0</v>
      </c>
      <c r="E338" s="102" t="e">
        <f ca="1">SUMIFS('Digital Product Summary by COA'!$S$54:$S$325,'Digital Product Summary by COA'!$T$54:$T$325,$A$308,'Digital Product Summary by COA'!$C$54:$C$325,$A338)</f>
        <v>#NAME?</v>
      </c>
      <c r="J338" s="213"/>
      <c r="K338" s="206"/>
      <c r="Z338" s="15"/>
      <c r="AA338" s="15"/>
      <c r="AB338" s="15"/>
      <c r="AC338" s="15"/>
    </row>
    <row r="339" spans="1:29" ht="15.75" customHeight="1" collapsed="1" x14ac:dyDescent="0.3">
      <c r="A339" s="166" t="s">
        <v>105</v>
      </c>
      <c r="B339" s="168">
        <f t="shared" ref="B339:E339" si="210">SUBTOTAL(9,B340:B354)</f>
        <v>1307</v>
      </c>
      <c r="C339" s="168">
        <f t="shared" si="210"/>
        <v>100.30104480255002</v>
      </c>
      <c r="D339" s="168">
        <f t="shared" si="210"/>
        <v>-1206.69895519745</v>
      </c>
      <c r="E339" s="168" t="e">
        <f t="shared" ca="1" si="210"/>
        <v>#NAME?</v>
      </c>
      <c r="J339" s="215">
        <f t="shared" ref="J339:K339" si="211">SUBTOTAL(9,J340:J354)</f>
        <v>100.30104480255002</v>
      </c>
      <c r="K339" s="217">
        <f t="shared" si="211"/>
        <v>0</v>
      </c>
      <c r="Z339" s="15"/>
      <c r="AA339" s="15"/>
      <c r="AB339" s="15"/>
      <c r="AC339" s="15"/>
    </row>
    <row r="340" spans="1:29" ht="15.75" hidden="1" customHeight="1" outlineLevel="1" x14ac:dyDescent="0.85">
      <c r="A340" s="165" t="s">
        <v>110</v>
      </c>
      <c r="B340" s="102">
        <v>1307</v>
      </c>
      <c r="C340" s="102">
        <f t="shared" ref="C340:C354" si="212">J340+K340</f>
        <v>0</v>
      </c>
      <c r="D340" s="102">
        <f t="shared" ref="D340:D354" si="213">C340-B340</f>
        <v>-1307</v>
      </c>
      <c r="E340" s="102" t="e">
        <f ca="1">SUMIFS('Digital Product Summary by COA'!$S$54:$S$325,'Digital Product Summary by COA'!$T$54:$T$325,$A$308,'Digital Product Summary by COA'!$C$54:$C$325,$A340)</f>
        <v>#NAME?</v>
      </c>
      <c r="J340" s="229"/>
      <c r="K340" s="230"/>
      <c r="Z340" s="15"/>
      <c r="AA340" s="15"/>
      <c r="AB340" s="15"/>
      <c r="AC340" s="15"/>
    </row>
    <row r="341" spans="1:29" ht="15.75" hidden="1" customHeight="1" outlineLevel="1" x14ac:dyDescent="0.85">
      <c r="A341" s="165" t="s">
        <v>111</v>
      </c>
      <c r="B341" s="139">
        <v>0</v>
      </c>
      <c r="C341" s="102">
        <f t="shared" si="212"/>
        <v>0</v>
      </c>
      <c r="D341" s="102">
        <f t="shared" si="213"/>
        <v>0</v>
      </c>
      <c r="E341" s="102">
        <f ca="1">SUMIFS('Digital Product Summary by COA'!$S$54:$S$325,'Digital Product Summary by COA'!$T$54:$T$325,$A$308,'Digital Product Summary by COA'!$C$54:$C$325,$A341)</f>
        <v>0</v>
      </c>
      <c r="J341" s="229"/>
      <c r="K341" s="230"/>
      <c r="Z341" s="15"/>
      <c r="AA341" s="15"/>
      <c r="AB341" s="15"/>
      <c r="AC341" s="15"/>
    </row>
    <row r="342" spans="1:29" ht="15.75" hidden="1" customHeight="1" outlineLevel="1" x14ac:dyDescent="0.85">
      <c r="A342" s="165" t="s">
        <v>112</v>
      </c>
      <c r="B342" s="139">
        <v>0</v>
      </c>
      <c r="C342" s="102">
        <f t="shared" si="212"/>
        <v>0</v>
      </c>
      <c r="D342" s="102">
        <f t="shared" si="213"/>
        <v>0</v>
      </c>
      <c r="E342" s="102">
        <f ca="1">SUMIFS('Digital Product Summary by COA'!$S$54:$S$325,'Digital Product Summary by COA'!$T$54:$T$325,$A$308,'Digital Product Summary by COA'!$C$54:$C$325,$A342)</f>
        <v>0</v>
      </c>
      <c r="J342" s="229"/>
      <c r="K342" s="230"/>
      <c r="Z342" s="15"/>
      <c r="AA342" s="15"/>
      <c r="AB342" s="15"/>
      <c r="AC342" s="15"/>
    </row>
    <row r="343" spans="1:29" ht="15.75" hidden="1" customHeight="1" outlineLevel="1" x14ac:dyDescent="0.85">
      <c r="A343" s="165" t="s">
        <v>113</v>
      </c>
      <c r="B343" s="139">
        <v>0</v>
      </c>
      <c r="C343" s="102">
        <f t="shared" si="212"/>
        <v>0</v>
      </c>
      <c r="D343" s="102">
        <f t="shared" si="213"/>
        <v>0</v>
      </c>
      <c r="E343" s="102" t="e">
        <f ca="1">SUMIFS('Digital Product Summary by COA'!$S$54:$S$325,'Digital Product Summary by COA'!$T$54:$T$325,$A$308,'Digital Product Summary by COA'!$C$54:$C$325,$A343)</f>
        <v>#NAME?</v>
      </c>
      <c r="J343" s="229"/>
      <c r="K343" s="230"/>
      <c r="Z343" s="15"/>
      <c r="AA343" s="15"/>
      <c r="AB343" s="15"/>
      <c r="AC343" s="15"/>
    </row>
    <row r="344" spans="1:29" ht="15.75" hidden="1" customHeight="1" outlineLevel="1" x14ac:dyDescent="0.85">
      <c r="A344" s="165" t="s">
        <v>114</v>
      </c>
      <c r="B344" s="139">
        <v>0</v>
      </c>
      <c r="C344" s="102">
        <f t="shared" si="212"/>
        <v>100.30104480255002</v>
      </c>
      <c r="D344" s="102">
        <f t="shared" si="213"/>
        <v>100.30104480255002</v>
      </c>
      <c r="E344" s="102" t="e">
        <f ca="1">SUMIFS('Digital Product Summary by COA'!$S$54:$S$325,'Digital Product Summary by COA'!$T$54:$T$325,$A$308,'Digital Product Summary by COA'!$C$54:$C$325,$A344)</f>
        <v>#NAME?</v>
      </c>
      <c r="J344" s="204">
        <v>100.30104480255002</v>
      </c>
      <c r="K344" s="206"/>
      <c r="Z344" s="15"/>
      <c r="AA344" s="15"/>
      <c r="AB344" s="15"/>
      <c r="AC344" s="15"/>
    </row>
    <row r="345" spans="1:29" ht="15.75" hidden="1" customHeight="1" outlineLevel="1" x14ac:dyDescent="0.85">
      <c r="A345" s="165" t="s">
        <v>115</v>
      </c>
      <c r="B345" s="139">
        <v>0</v>
      </c>
      <c r="C345" s="102">
        <f t="shared" si="212"/>
        <v>0</v>
      </c>
      <c r="D345" s="102">
        <f t="shared" si="213"/>
        <v>0</v>
      </c>
      <c r="E345" s="102">
        <f ca="1">SUMIFS('Digital Product Summary by COA'!$S$54:$S$325,'Digital Product Summary by COA'!$T$54:$T$325,$A$308,'Digital Product Summary by COA'!$C$54:$C$325,$A345)</f>
        <v>0</v>
      </c>
      <c r="J345" s="213"/>
      <c r="K345" s="206"/>
      <c r="Z345" s="15"/>
      <c r="AA345" s="15"/>
      <c r="AB345" s="15"/>
      <c r="AC345" s="15"/>
    </row>
    <row r="346" spans="1:29" ht="15.75" hidden="1" customHeight="1" outlineLevel="1" x14ac:dyDescent="0.85">
      <c r="A346" s="165" t="s">
        <v>117</v>
      </c>
      <c r="B346" s="139">
        <v>0</v>
      </c>
      <c r="C346" s="102">
        <f t="shared" si="212"/>
        <v>0</v>
      </c>
      <c r="D346" s="102">
        <f t="shared" si="213"/>
        <v>0</v>
      </c>
      <c r="E346" s="102">
        <f ca="1">SUMIFS('Digital Product Summary by COA'!$S$54:$S$325,'Digital Product Summary by COA'!$T$54:$T$325,$A$308,'Digital Product Summary by COA'!$C$54:$C$325,$A346)</f>
        <v>0</v>
      </c>
      <c r="J346" s="229"/>
      <c r="K346" s="230"/>
      <c r="Z346" s="15"/>
      <c r="AA346" s="15"/>
      <c r="AB346" s="15"/>
      <c r="AC346" s="15"/>
    </row>
    <row r="347" spans="1:29" ht="15.75" hidden="1" customHeight="1" outlineLevel="1" x14ac:dyDescent="0.85">
      <c r="A347" s="165" t="s">
        <v>118</v>
      </c>
      <c r="B347" s="139">
        <v>0</v>
      </c>
      <c r="C347" s="102">
        <f t="shared" si="212"/>
        <v>0</v>
      </c>
      <c r="D347" s="102">
        <f t="shared" si="213"/>
        <v>0</v>
      </c>
      <c r="E347" s="102">
        <f ca="1">SUMIFS('Digital Product Summary by COA'!$S$54:$S$325,'Digital Product Summary by COA'!$T$54:$T$325,$A$308,'Digital Product Summary by COA'!$C$54:$C$325,$A347)</f>
        <v>0</v>
      </c>
      <c r="J347" s="229"/>
      <c r="K347" s="230"/>
      <c r="Z347" s="15"/>
      <c r="AA347" s="15"/>
      <c r="AB347" s="15"/>
      <c r="AC347" s="15"/>
    </row>
    <row r="348" spans="1:29" ht="15.75" hidden="1" customHeight="1" outlineLevel="1" x14ac:dyDescent="0.85">
      <c r="A348" s="165" t="s">
        <v>119</v>
      </c>
      <c r="B348" s="139">
        <v>0</v>
      </c>
      <c r="C348" s="102">
        <f t="shared" si="212"/>
        <v>0</v>
      </c>
      <c r="D348" s="102">
        <f t="shared" si="213"/>
        <v>0</v>
      </c>
      <c r="E348" s="102">
        <f ca="1">SUMIFS('Digital Product Summary by COA'!$S$54:$S$325,'Digital Product Summary by COA'!$T$54:$T$325,$A$308,'Digital Product Summary by COA'!$C$54:$C$325,$A348)</f>
        <v>0</v>
      </c>
      <c r="J348" s="229"/>
      <c r="K348" s="230"/>
      <c r="Z348" s="15"/>
      <c r="AA348" s="15"/>
      <c r="AB348" s="15"/>
      <c r="AC348" s="15"/>
    </row>
    <row r="349" spans="1:29" ht="15.75" hidden="1" customHeight="1" outlineLevel="1" x14ac:dyDescent="0.85">
      <c r="A349" s="165" t="s">
        <v>120</v>
      </c>
      <c r="B349" s="139">
        <v>0</v>
      </c>
      <c r="C349" s="102">
        <f t="shared" si="212"/>
        <v>0</v>
      </c>
      <c r="D349" s="102">
        <f t="shared" si="213"/>
        <v>0</v>
      </c>
      <c r="E349" s="102">
        <f ca="1">SUMIFS('Digital Product Summary by COA'!$S$54:$S$325,'Digital Product Summary by COA'!$T$54:$T$325,$A$308,'Digital Product Summary by COA'!$C$54:$C$325,$A349)</f>
        <v>0</v>
      </c>
      <c r="J349" s="229"/>
      <c r="K349" s="230"/>
      <c r="Z349" s="15"/>
      <c r="AA349" s="15"/>
      <c r="AB349" s="15"/>
      <c r="AC349" s="15"/>
    </row>
    <row r="350" spans="1:29" ht="15.75" hidden="1" customHeight="1" outlineLevel="1" x14ac:dyDescent="0.85">
      <c r="A350" s="165" t="s">
        <v>121</v>
      </c>
      <c r="B350" s="139">
        <v>0</v>
      </c>
      <c r="C350" s="102">
        <f t="shared" si="212"/>
        <v>0</v>
      </c>
      <c r="D350" s="102">
        <f t="shared" si="213"/>
        <v>0</v>
      </c>
      <c r="E350" s="102">
        <f ca="1">SUMIFS('Digital Product Summary by COA'!$S$54:$S$325,'Digital Product Summary by COA'!$T$54:$T$325,$A$308,'Digital Product Summary by COA'!$C$54:$C$325,$A350)</f>
        <v>0</v>
      </c>
      <c r="J350" s="229"/>
      <c r="K350" s="230"/>
      <c r="Z350" s="15"/>
      <c r="AA350" s="15"/>
      <c r="AB350" s="15"/>
      <c r="AC350" s="15"/>
    </row>
    <row r="351" spans="1:29" ht="15.75" hidden="1" customHeight="1" outlineLevel="1" x14ac:dyDescent="0.85">
      <c r="A351" s="165" t="s">
        <v>122</v>
      </c>
      <c r="B351" s="139">
        <v>0</v>
      </c>
      <c r="C351" s="102">
        <f t="shared" si="212"/>
        <v>0</v>
      </c>
      <c r="D351" s="102">
        <f t="shared" si="213"/>
        <v>0</v>
      </c>
      <c r="E351" s="102">
        <f ca="1">SUMIFS('Digital Product Summary by COA'!$S$54:$S$325,'Digital Product Summary by COA'!$T$54:$T$325,$A$308,'Digital Product Summary by COA'!$C$54:$C$325,$A351)</f>
        <v>0</v>
      </c>
      <c r="J351" s="229"/>
      <c r="K351" s="230"/>
      <c r="Z351" s="15"/>
      <c r="AA351" s="15"/>
      <c r="AB351" s="15"/>
      <c r="AC351" s="15"/>
    </row>
    <row r="352" spans="1:29" ht="15.75" hidden="1" customHeight="1" outlineLevel="1" x14ac:dyDescent="0.85">
      <c r="A352" s="165" t="s">
        <v>144</v>
      </c>
      <c r="B352" s="139">
        <v>0</v>
      </c>
      <c r="C352" s="102">
        <f t="shared" si="212"/>
        <v>0</v>
      </c>
      <c r="D352" s="102">
        <f t="shared" si="213"/>
        <v>0</v>
      </c>
      <c r="E352" s="102">
        <f ca="1">SUMIFS('Digital Product Summary by COA'!$S$54:$S$325,'Digital Product Summary by COA'!$T$54:$T$325,$A$308,'Digital Product Summary by COA'!$C$54:$C$325,$A352)</f>
        <v>0</v>
      </c>
      <c r="J352" s="229"/>
      <c r="K352" s="230"/>
      <c r="Z352" s="15"/>
      <c r="AA352" s="15"/>
      <c r="AB352" s="15"/>
      <c r="AC352" s="15"/>
    </row>
    <row r="353" spans="1:29" ht="15.75" hidden="1" customHeight="1" outlineLevel="1" x14ac:dyDescent="0.25">
      <c r="A353" s="129" t="s">
        <v>124</v>
      </c>
      <c r="B353" s="139">
        <v>0</v>
      </c>
      <c r="C353" s="102">
        <f t="shared" si="212"/>
        <v>0</v>
      </c>
      <c r="D353" s="102">
        <f t="shared" si="213"/>
        <v>0</v>
      </c>
      <c r="E353" s="102">
        <f ca="1">SUMIFS('Digital Product Summary by COA'!$S$54:$S$325,'Digital Product Summary by COA'!$T$54:$T$325,$A$308,'Digital Product Summary by COA'!$C$54:$C$325,$A353)</f>
        <v>0</v>
      </c>
      <c r="J353" s="229"/>
      <c r="K353" s="230"/>
      <c r="Z353" s="15"/>
      <c r="AA353" s="15"/>
      <c r="AB353" s="15"/>
      <c r="AC353" s="15"/>
    </row>
    <row r="354" spans="1:29" ht="15.75" hidden="1" customHeight="1" outlineLevel="1" x14ac:dyDescent="0.25">
      <c r="A354" s="129" t="s">
        <v>125</v>
      </c>
      <c r="B354" s="172">
        <v>0</v>
      </c>
      <c r="C354" s="102">
        <f t="shared" si="212"/>
        <v>0</v>
      </c>
      <c r="D354" s="102">
        <f t="shared" si="213"/>
        <v>0</v>
      </c>
      <c r="E354" s="102">
        <f ca="1">SUMIFS('Digital Product Summary by COA'!$S$54:$S$325,'Digital Product Summary by COA'!$T$54:$T$325,$A$308,'Digital Product Summary by COA'!$C$54:$C$325,$A354)</f>
        <v>0</v>
      </c>
      <c r="J354" s="229"/>
      <c r="K354" s="230"/>
      <c r="Z354" s="15"/>
      <c r="AA354" s="15"/>
      <c r="AB354" s="15"/>
      <c r="AC354" s="15"/>
    </row>
    <row r="355" spans="1:29" ht="15.75" customHeight="1" collapsed="1" x14ac:dyDescent="0.3">
      <c r="A355" s="166" t="s">
        <v>126</v>
      </c>
      <c r="B355" s="168">
        <f t="shared" ref="B355:E355" si="214">SUBTOTAL(9,B356:B358)</f>
        <v>0</v>
      </c>
      <c r="C355" s="168">
        <f t="shared" si="214"/>
        <v>551.67797588466078</v>
      </c>
      <c r="D355" s="168">
        <f t="shared" si="214"/>
        <v>551.67797588466078</v>
      </c>
      <c r="E355" s="168" t="e">
        <f t="shared" ca="1" si="214"/>
        <v>#NAME?</v>
      </c>
      <c r="J355" s="232">
        <f t="shared" ref="J355:K355" si="215">SUBTOTAL(9,J356:J358)</f>
        <v>551.67797588466078</v>
      </c>
      <c r="K355" s="233">
        <f t="shared" si="215"/>
        <v>0</v>
      </c>
      <c r="Z355" s="15"/>
      <c r="AA355" s="15"/>
      <c r="AB355" s="15"/>
      <c r="AC355" s="15"/>
    </row>
    <row r="356" spans="1:29" ht="15.75" hidden="1" customHeight="1" outlineLevel="1" x14ac:dyDescent="0.25">
      <c r="A356" s="129" t="s">
        <v>128</v>
      </c>
      <c r="B356" s="225">
        <v>0</v>
      </c>
      <c r="C356" s="102">
        <f t="shared" ref="C356:C358" si="216">J356+K356</f>
        <v>0</v>
      </c>
      <c r="D356" s="102">
        <f t="shared" ref="D356:D358" si="217">C356-B356</f>
        <v>0</v>
      </c>
      <c r="E356" s="102">
        <f ca="1">SUMIFS('Digital Product Summary by COA'!$S$54:$S$325,'Digital Product Summary by COA'!$T$54:$T$325,$A$308,'Digital Product Summary by COA'!$C$54:$C$325,$A356)</f>
        <v>0</v>
      </c>
      <c r="J356" s="229"/>
      <c r="K356" s="230"/>
      <c r="Z356" s="15"/>
      <c r="AA356" s="15"/>
      <c r="AB356" s="15"/>
      <c r="AC356" s="15"/>
    </row>
    <row r="357" spans="1:29" ht="15.75" hidden="1" customHeight="1" outlineLevel="1" x14ac:dyDescent="0.25">
      <c r="A357" s="129" t="s">
        <v>129</v>
      </c>
      <c r="B357" s="81">
        <v>0</v>
      </c>
      <c r="C357" s="102">
        <f t="shared" si="216"/>
        <v>0</v>
      </c>
      <c r="D357" s="102">
        <f t="shared" si="217"/>
        <v>0</v>
      </c>
      <c r="E357" s="102">
        <f ca="1">SUMIFS('Digital Product Summary by COA'!$S$54:$S$325,'Digital Product Summary by COA'!$T$54:$T$325,$A$308,'Digital Product Summary by COA'!$C$54:$C$325,$A357)</f>
        <v>0</v>
      </c>
      <c r="J357" s="229"/>
      <c r="K357" s="230"/>
      <c r="Z357" s="15"/>
      <c r="AA357" s="15"/>
      <c r="AB357" s="15"/>
      <c r="AC357" s="15"/>
    </row>
    <row r="358" spans="1:29" ht="15.75" hidden="1" customHeight="1" outlineLevel="1" x14ac:dyDescent="0.25">
      <c r="A358" s="129" t="s">
        <v>134</v>
      </c>
      <c r="B358" s="81">
        <v>0</v>
      </c>
      <c r="C358" s="102">
        <f t="shared" si="216"/>
        <v>551.67797588466078</v>
      </c>
      <c r="D358" s="102">
        <f t="shared" si="217"/>
        <v>551.67797588466078</v>
      </c>
      <c r="E358" s="102" t="e">
        <f ca="1">SUMIFS('Digital Product Summary by COA'!$S$54:$S$325,'Digital Product Summary by COA'!$T$54:$T$325,$A$308,'Digital Product Summary by COA'!$C$54:$C$325,$A358)</f>
        <v>#NAME?</v>
      </c>
      <c r="J358" s="204">
        <v>551.67797588466078</v>
      </c>
      <c r="K358" s="206"/>
      <c r="Z358" s="15"/>
      <c r="AA358" s="15"/>
      <c r="AB358" s="15"/>
      <c r="AC358" s="15"/>
    </row>
    <row r="359" spans="1:29" ht="15.75" customHeight="1" collapsed="1" x14ac:dyDescent="0.3">
      <c r="A359" s="166" t="s">
        <v>135</v>
      </c>
      <c r="B359" s="168">
        <f t="shared" ref="B359:E359" si="218">SUBTOTAL(9,B360)</f>
        <v>1831</v>
      </c>
      <c r="C359" s="168">
        <f t="shared" si="218"/>
        <v>2674.6945280680006</v>
      </c>
      <c r="D359" s="168">
        <f t="shared" si="218"/>
        <v>843.69452806800064</v>
      </c>
      <c r="E359" s="168" t="e">
        <f t="shared" ca="1" si="218"/>
        <v>#NAME?</v>
      </c>
      <c r="J359" s="223">
        <f t="shared" ref="J359:K359" si="219">SUBTOTAL(9,J360)</f>
        <v>2674.6945280680006</v>
      </c>
      <c r="K359" s="224">
        <f t="shared" si="219"/>
        <v>0</v>
      </c>
      <c r="Z359" s="15"/>
      <c r="AA359" s="15"/>
      <c r="AB359" s="15"/>
      <c r="AC359" s="15"/>
    </row>
    <row r="360" spans="1:29" ht="15.75" hidden="1" customHeight="1" outlineLevel="1" x14ac:dyDescent="0.25">
      <c r="A360" s="129" t="s">
        <v>138</v>
      </c>
      <c r="B360" s="102">
        <v>1831</v>
      </c>
      <c r="C360" s="102">
        <f>J360+K360</f>
        <v>2674.6945280680006</v>
      </c>
      <c r="D360" s="102">
        <f>C360-B360</f>
        <v>843.69452806800064</v>
      </c>
      <c r="E360" s="102" t="e">
        <f ca="1">SUMIFS('Digital Product Summary by COA'!$S$54:$S$325,'Digital Product Summary by COA'!$T$54:$T$325,$A$308,'Digital Product Summary by COA'!$C$54:$C$325,$A360)</f>
        <v>#NAME?</v>
      </c>
      <c r="J360" s="204">
        <v>2674.6945280680006</v>
      </c>
      <c r="K360" s="206"/>
      <c r="Z360" s="15"/>
      <c r="AA360" s="15"/>
      <c r="AB360" s="15"/>
      <c r="AC360" s="15"/>
    </row>
    <row r="361" spans="1:29" ht="15.75" customHeight="1" x14ac:dyDescent="0.3">
      <c r="A361" s="134"/>
      <c r="B361" s="173">
        <f t="shared" ref="B361:E361" si="220">SUBTOTAL(9,B310:B360)</f>
        <v>431436</v>
      </c>
      <c r="C361" s="173">
        <f t="shared" si="220"/>
        <v>397495.96304005192</v>
      </c>
      <c r="D361" s="173">
        <f t="shared" si="220"/>
        <v>-33940.036959948084</v>
      </c>
      <c r="E361" s="173" t="e">
        <f t="shared" ca="1" si="220"/>
        <v>#NAME?</v>
      </c>
      <c r="F361" s="160"/>
      <c r="J361" s="175">
        <f t="shared" ref="J361:K361" si="221">SUBTOTAL(9,J310:J360)</f>
        <v>369170.62688449229</v>
      </c>
      <c r="K361" s="173">
        <f t="shared" si="221"/>
        <v>28325.336155559558</v>
      </c>
      <c r="Z361" s="15"/>
      <c r="AA361" s="15"/>
      <c r="AB361" s="15"/>
      <c r="AC361" s="15"/>
    </row>
    <row r="362" spans="1:29" ht="15.75" customHeight="1" x14ac:dyDescent="0.25">
      <c r="B362" s="145"/>
      <c r="C362" s="145"/>
      <c r="D362" s="145"/>
      <c r="E362" s="50">
        <f ca="1">'Shared Summary by Dept_US$'!C4</f>
        <v>289991.06323563197</v>
      </c>
      <c r="J362" s="13"/>
      <c r="K362" s="145"/>
      <c r="Z362" s="15"/>
      <c r="AA362" s="15"/>
      <c r="AB362" s="15"/>
      <c r="AC362" s="15"/>
    </row>
    <row r="363" spans="1:29" ht="15.75" customHeight="1" x14ac:dyDescent="0.25">
      <c r="B363" s="145"/>
      <c r="C363" s="145"/>
      <c r="D363" s="145"/>
      <c r="E363" s="50" t="e">
        <f ca="1">E361-E362</f>
        <v>#NAME?</v>
      </c>
      <c r="J363" s="13"/>
      <c r="K363" s="145"/>
      <c r="Z363" s="15"/>
      <c r="AA363" s="15"/>
      <c r="AB363" s="15"/>
      <c r="AC363" s="15"/>
    </row>
    <row r="364" spans="1:29" ht="15.75" customHeight="1" x14ac:dyDescent="0.3">
      <c r="A364" s="197" t="s">
        <v>21</v>
      </c>
      <c r="B364" s="92">
        <v>2025</v>
      </c>
      <c r="C364" s="92">
        <v>2025</v>
      </c>
      <c r="D364" s="92">
        <v>2025</v>
      </c>
      <c r="E364" s="92">
        <v>2026</v>
      </c>
      <c r="J364" s="155" t="s">
        <v>15</v>
      </c>
      <c r="K364" s="155" t="s">
        <v>15</v>
      </c>
      <c r="Z364" s="15"/>
      <c r="AA364" s="15"/>
      <c r="AB364" s="15"/>
      <c r="AC364" s="15"/>
    </row>
    <row r="365" spans="1:29" ht="15.75" customHeight="1" x14ac:dyDescent="0.3">
      <c r="A365" s="156" t="s">
        <v>172</v>
      </c>
      <c r="B365" s="94" t="s">
        <v>13</v>
      </c>
      <c r="C365" s="94" t="s">
        <v>142</v>
      </c>
      <c r="D365" s="94" t="s">
        <v>71</v>
      </c>
      <c r="E365" s="92" t="s">
        <v>13</v>
      </c>
      <c r="J365" s="157" t="s">
        <v>143</v>
      </c>
      <c r="K365" s="158">
        <v>45992</v>
      </c>
      <c r="Z365" s="15"/>
      <c r="AA365" s="15"/>
      <c r="AB365" s="15"/>
      <c r="AC365" s="15"/>
    </row>
    <row r="366" spans="1:29" ht="15.75" customHeight="1" collapsed="1" x14ac:dyDescent="0.3">
      <c r="A366" s="159" t="s">
        <v>37</v>
      </c>
      <c r="B366" s="96">
        <f t="shared" ref="B366:E366" si="222">SUBTOTAL(9,B367:B376)</f>
        <v>256203</v>
      </c>
      <c r="C366" s="96">
        <f t="shared" si="222"/>
        <v>187993.2129210947</v>
      </c>
      <c r="D366" s="96">
        <f t="shared" si="222"/>
        <v>-68209.787078905298</v>
      </c>
      <c r="E366" s="96" t="e">
        <f t="shared" ca="1" si="222"/>
        <v>#NAME?</v>
      </c>
      <c r="F366" s="160"/>
      <c r="J366" s="236">
        <f t="shared" ref="J366:K366" si="223">SUBTOTAL(9,J367:J376)</f>
        <v>169224.81931898609</v>
      </c>
      <c r="K366" s="237">
        <f t="shared" si="223"/>
        <v>18768.393602108612</v>
      </c>
      <c r="Z366" s="15"/>
      <c r="AA366" s="15"/>
      <c r="AB366" s="15"/>
      <c r="AC366" s="15"/>
    </row>
    <row r="367" spans="1:29" ht="15.75" hidden="1" customHeight="1" outlineLevel="1" x14ac:dyDescent="0.85">
      <c r="A367" s="162" t="s">
        <v>37</v>
      </c>
      <c r="B367" s="102">
        <v>256203</v>
      </c>
      <c r="C367" s="102">
        <f t="shared" ref="C367:C376" si="224">J367+K367</f>
        <v>187993.2129210947</v>
      </c>
      <c r="D367" s="102">
        <f t="shared" ref="D367:D376" si="225">C367-B367</f>
        <v>-68209.787078905298</v>
      </c>
      <c r="E367" s="102" t="e">
        <f ca="1">SUMIFS('Digital Product Summary by COA'!$S$54:$S$325,'Digital Product Summary by COA'!$T$54:$T$325,$A$365,'Digital Product Summary by COA'!$C$54:$C$325,$A367)</f>
        <v>#NAME?</v>
      </c>
      <c r="J367" s="204">
        <v>169224.81931898609</v>
      </c>
      <c r="K367" s="238">
        <v>18768.393602108612</v>
      </c>
      <c r="Z367" s="15"/>
      <c r="AA367" s="15"/>
      <c r="AB367" s="15"/>
      <c r="AC367" s="15"/>
    </row>
    <row r="368" spans="1:29" ht="15.75" hidden="1" customHeight="1" outlineLevel="1" x14ac:dyDescent="0.85">
      <c r="A368" s="165" t="s">
        <v>72</v>
      </c>
      <c r="B368" s="139">
        <v>0</v>
      </c>
      <c r="C368" s="102">
        <f t="shared" si="224"/>
        <v>0</v>
      </c>
      <c r="D368" s="102">
        <f t="shared" si="225"/>
        <v>0</v>
      </c>
      <c r="E368" s="102" t="e">
        <f ca="1">SUMIFS('Digital Product Summary by COA'!$S$54:$S$325,'Digital Product Summary by COA'!$T$54:$T$325,$A$365,'Digital Product Summary by COA'!$C$54:$C$325,$A368)</f>
        <v>#NAME?</v>
      </c>
      <c r="J368" s="213"/>
      <c r="K368" s="206"/>
      <c r="Z368" s="15"/>
      <c r="AA368" s="15"/>
      <c r="AB368" s="15"/>
      <c r="AC368" s="15"/>
    </row>
    <row r="369" spans="1:29" ht="15.75" hidden="1" customHeight="1" outlineLevel="1" x14ac:dyDescent="0.85">
      <c r="A369" s="165" t="s">
        <v>73</v>
      </c>
      <c r="B369" s="139">
        <v>0</v>
      </c>
      <c r="C369" s="102">
        <f t="shared" si="224"/>
        <v>0</v>
      </c>
      <c r="D369" s="102">
        <f t="shared" si="225"/>
        <v>0</v>
      </c>
      <c r="E369" s="102">
        <f ca="1">SUMIFS('Digital Product Summary by COA'!$S$54:$S$325,'Digital Product Summary by COA'!$T$54:$T$325,$A$365,'Digital Product Summary by COA'!$C$54:$C$325,$A369)</f>
        <v>0</v>
      </c>
      <c r="J369" s="204"/>
      <c r="K369" s="206"/>
      <c r="Z369" s="15"/>
      <c r="AA369" s="15"/>
      <c r="AB369" s="15"/>
      <c r="AC369" s="15"/>
    </row>
    <row r="370" spans="1:29" ht="15.75" hidden="1" customHeight="1" outlineLevel="1" x14ac:dyDescent="0.85">
      <c r="A370" s="165" t="s">
        <v>74</v>
      </c>
      <c r="B370" s="139">
        <v>0</v>
      </c>
      <c r="C370" s="102">
        <f t="shared" si="224"/>
        <v>0</v>
      </c>
      <c r="D370" s="102">
        <f t="shared" si="225"/>
        <v>0</v>
      </c>
      <c r="E370" s="102">
        <f ca="1">SUMIFS('Digital Product Summary by COA'!$S$54:$S$325,'Digital Product Summary by COA'!$T$54:$T$325,$A$365,'Digital Product Summary by COA'!$C$54:$C$325,$A370)</f>
        <v>0</v>
      </c>
      <c r="J370" s="213"/>
      <c r="K370" s="206"/>
      <c r="Z370" s="15"/>
      <c r="AA370" s="15"/>
      <c r="AB370" s="15"/>
      <c r="AC370" s="15"/>
    </row>
    <row r="371" spans="1:29" ht="15.75" hidden="1" customHeight="1" outlineLevel="1" x14ac:dyDescent="0.85">
      <c r="A371" s="165" t="s">
        <v>77</v>
      </c>
      <c r="B371" s="139">
        <v>0</v>
      </c>
      <c r="C371" s="102">
        <f t="shared" si="224"/>
        <v>0</v>
      </c>
      <c r="D371" s="102">
        <f t="shared" si="225"/>
        <v>0</v>
      </c>
      <c r="E371" s="102" t="e">
        <f ca="1">SUMIFS('Digital Product Summary by COA'!$S$54:$S$325,'Digital Product Summary by COA'!$T$54:$T$325,$A$365,'Digital Product Summary by COA'!$C$54:$C$325,$A371)</f>
        <v>#NAME?</v>
      </c>
      <c r="J371" s="213"/>
      <c r="K371" s="206"/>
      <c r="Z371" s="15"/>
      <c r="AA371" s="15"/>
      <c r="AB371" s="15"/>
      <c r="AC371" s="15"/>
    </row>
    <row r="372" spans="1:29" ht="15.75" hidden="1" customHeight="1" outlineLevel="1" x14ac:dyDescent="0.85">
      <c r="A372" s="165" t="s">
        <v>78</v>
      </c>
      <c r="B372" s="139">
        <v>0</v>
      </c>
      <c r="C372" s="102">
        <f t="shared" si="224"/>
        <v>0</v>
      </c>
      <c r="D372" s="102">
        <f t="shared" si="225"/>
        <v>0</v>
      </c>
      <c r="E372" s="102">
        <f ca="1">SUMIFS('Digital Product Summary by COA'!$S$54:$S$325,'Digital Product Summary by COA'!$T$54:$T$325,$A$365,'Digital Product Summary by COA'!$C$54:$C$325,$A372)</f>
        <v>0</v>
      </c>
      <c r="J372" s="213"/>
      <c r="K372" s="206"/>
      <c r="Z372" s="15"/>
      <c r="AA372" s="15"/>
      <c r="AB372" s="15"/>
      <c r="AC372" s="15"/>
    </row>
    <row r="373" spans="1:29" ht="15.75" hidden="1" customHeight="1" outlineLevel="1" x14ac:dyDescent="0.85">
      <c r="A373" s="165" t="s">
        <v>79</v>
      </c>
      <c r="B373" s="139">
        <v>0</v>
      </c>
      <c r="C373" s="102">
        <f t="shared" si="224"/>
        <v>0</v>
      </c>
      <c r="D373" s="102">
        <f t="shared" si="225"/>
        <v>0</v>
      </c>
      <c r="E373" s="102">
        <f ca="1">SUMIFS('Digital Product Summary by COA'!$S$54:$S$325,'Digital Product Summary by COA'!$T$54:$T$325,$A$365,'Digital Product Summary by COA'!$C$54:$C$325,$A373)</f>
        <v>0</v>
      </c>
      <c r="J373" s="213"/>
      <c r="K373" s="206"/>
      <c r="Z373" s="15"/>
      <c r="AA373" s="15"/>
      <c r="AB373" s="15"/>
      <c r="AC373" s="15"/>
    </row>
    <row r="374" spans="1:29" ht="15.75" hidden="1" customHeight="1" outlineLevel="1" x14ac:dyDescent="0.85">
      <c r="A374" s="165" t="s">
        <v>80</v>
      </c>
      <c r="B374" s="139">
        <v>0</v>
      </c>
      <c r="C374" s="102">
        <f t="shared" si="224"/>
        <v>0</v>
      </c>
      <c r="D374" s="102">
        <f t="shared" si="225"/>
        <v>0</v>
      </c>
      <c r="E374" s="102">
        <f ca="1">SUMIFS('Digital Product Summary by COA'!$S$54:$S$325,'Digital Product Summary by COA'!$T$54:$T$325,$A$365,'Digital Product Summary by COA'!$C$54:$C$325,$A374)</f>
        <v>0</v>
      </c>
      <c r="J374" s="213"/>
      <c r="K374" s="206"/>
      <c r="Z374" s="15"/>
      <c r="AA374" s="15"/>
      <c r="AB374" s="15"/>
      <c r="AC374" s="15"/>
    </row>
    <row r="375" spans="1:29" ht="15.75" hidden="1" customHeight="1" outlineLevel="1" x14ac:dyDescent="0.85">
      <c r="A375" s="165" t="s">
        <v>82</v>
      </c>
      <c r="B375" s="139">
        <v>0</v>
      </c>
      <c r="C375" s="102">
        <f t="shared" si="224"/>
        <v>0</v>
      </c>
      <c r="D375" s="102">
        <f t="shared" si="225"/>
        <v>0</v>
      </c>
      <c r="E375" s="102">
        <f ca="1">SUMIFS('Digital Product Summary by COA'!$S$54:$S$325,'Digital Product Summary by COA'!$T$54:$T$325,$A$365,'Digital Product Summary by COA'!$C$54:$C$325,$A375)</f>
        <v>0</v>
      </c>
      <c r="J375" s="213"/>
      <c r="K375" s="206"/>
      <c r="Z375" s="15"/>
      <c r="AA375" s="15"/>
      <c r="AB375" s="15"/>
      <c r="AC375" s="15"/>
    </row>
    <row r="376" spans="1:29" ht="15.75" hidden="1" customHeight="1" outlineLevel="1" x14ac:dyDescent="0.85">
      <c r="A376" s="165" t="s">
        <v>83</v>
      </c>
      <c r="B376" s="172">
        <v>0</v>
      </c>
      <c r="C376" s="102">
        <f t="shared" si="224"/>
        <v>0</v>
      </c>
      <c r="D376" s="102">
        <f t="shared" si="225"/>
        <v>0</v>
      </c>
      <c r="E376" s="102">
        <f ca="1">SUMIFS('Digital Product Summary by COA'!$S$54:$S$325,'Digital Product Summary by COA'!$T$54:$T$325,$A$365,'Digital Product Summary by COA'!$C$54:$C$325,$A376)</f>
        <v>0</v>
      </c>
      <c r="J376" s="213"/>
      <c r="K376" s="206"/>
      <c r="Z376" s="15"/>
      <c r="AA376" s="15"/>
      <c r="AB376" s="15"/>
      <c r="AC376" s="15"/>
    </row>
    <row r="377" spans="1:29" ht="15.75" customHeight="1" collapsed="1" x14ac:dyDescent="0.3">
      <c r="A377" s="166" t="s">
        <v>84</v>
      </c>
      <c r="B377" s="168">
        <f t="shared" ref="B377:E377" si="226">SUBTOTAL(9,B378)</f>
        <v>72289</v>
      </c>
      <c r="C377" s="168">
        <f t="shared" si="226"/>
        <v>69489.440312623148</v>
      </c>
      <c r="D377" s="168">
        <f t="shared" si="226"/>
        <v>-2799.5596873768518</v>
      </c>
      <c r="E377" s="168" t="e">
        <f t="shared" ca="1" si="226"/>
        <v>#NAME?</v>
      </c>
      <c r="F377" s="160"/>
      <c r="J377" s="236">
        <f t="shared" ref="J377:K377" si="227">SUBTOTAL(9,J378)</f>
        <v>62936.770254660863</v>
      </c>
      <c r="K377" s="237">
        <f t="shared" si="227"/>
        <v>6552.6700579622911</v>
      </c>
      <c r="Z377" s="15"/>
      <c r="AA377" s="15"/>
      <c r="AB377" s="15"/>
      <c r="AC377" s="15"/>
    </row>
    <row r="378" spans="1:29" ht="15.75" hidden="1" customHeight="1" outlineLevel="1" x14ac:dyDescent="0.85">
      <c r="A378" s="165" t="s">
        <v>85</v>
      </c>
      <c r="B378" s="145">
        <v>72289</v>
      </c>
      <c r="C378" s="102">
        <f>J378+K378</f>
        <v>69489.440312623148</v>
      </c>
      <c r="D378" s="102">
        <f>C378-B378</f>
        <v>-2799.5596873768518</v>
      </c>
      <c r="E378" s="102" t="e">
        <f ca="1">SUMIFS('Digital Product Summary by COA'!$S$54:$S$325,'Digital Product Summary by COA'!$T$54:$T$325,$A$365,'Digital Product Summary by COA'!$C$54:$C$325,$A378)</f>
        <v>#NAME?</v>
      </c>
      <c r="J378" s="204">
        <v>62936.770254660863</v>
      </c>
      <c r="K378" s="238">
        <v>6552.6700579622911</v>
      </c>
      <c r="Z378" s="15"/>
      <c r="AA378" s="15"/>
      <c r="AB378" s="15"/>
      <c r="AC378" s="15"/>
    </row>
    <row r="379" spans="1:29" ht="15.75" customHeight="1" collapsed="1" x14ac:dyDescent="0.3">
      <c r="A379" s="166" t="s">
        <v>86</v>
      </c>
      <c r="B379" s="168">
        <f t="shared" ref="B379:E379" si="228">SUBTOTAL(9,B380:B385)</f>
        <v>14750</v>
      </c>
      <c r="C379" s="168">
        <f t="shared" si="228"/>
        <v>21233.674924040737</v>
      </c>
      <c r="D379" s="168">
        <f t="shared" si="228"/>
        <v>6483.674924040738</v>
      </c>
      <c r="E379" s="168" t="e">
        <f t="shared" ca="1" si="228"/>
        <v>#NAME?</v>
      </c>
      <c r="F379" s="160"/>
      <c r="J379" s="236">
        <f t="shared" ref="J379:K379" si="229">SUBTOTAL(9,J380:J385)</f>
        <v>19824.391336173776</v>
      </c>
      <c r="K379" s="237">
        <f t="shared" si="229"/>
        <v>1409.283587866963</v>
      </c>
      <c r="Z379" s="15"/>
      <c r="AA379" s="15"/>
      <c r="AB379" s="15"/>
      <c r="AC379" s="15"/>
    </row>
    <row r="380" spans="1:29" ht="15.75" hidden="1" customHeight="1" outlineLevel="1" x14ac:dyDescent="0.85">
      <c r="A380" s="165" t="s">
        <v>88</v>
      </c>
      <c r="B380" s="102">
        <v>4651</v>
      </c>
      <c r="C380" s="102">
        <f t="shared" ref="C380:C385" si="230">J380+K380</f>
        <v>8674.6897693023693</v>
      </c>
      <c r="D380" s="102">
        <f t="shared" ref="D380:D385" si="231">C380-B380</f>
        <v>4023.6897693023693</v>
      </c>
      <c r="E380" s="102" t="e">
        <f ca="1">SUMIFS('Digital Product Summary by COA'!$S$54:$S$325,'Digital Product Summary by COA'!$T$54:$T$325,$A$365,'Digital Product Summary by COA'!$C$54:$C$325,$A380)</f>
        <v>#NAME?</v>
      </c>
      <c r="J380" s="204">
        <v>8146.2760521194195</v>
      </c>
      <c r="K380" s="238">
        <v>528.41371718294977</v>
      </c>
      <c r="Z380" s="15"/>
      <c r="AA380" s="15"/>
      <c r="AB380" s="15"/>
      <c r="AC380" s="15"/>
    </row>
    <row r="381" spans="1:29" ht="15.75" hidden="1" customHeight="1" outlineLevel="1" x14ac:dyDescent="0.85">
      <c r="A381" s="165" t="s">
        <v>89</v>
      </c>
      <c r="B381" s="139">
        <v>1406</v>
      </c>
      <c r="C381" s="102">
        <f t="shared" si="230"/>
        <v>1303.0950224371768</v>
      </c>
      <c r="D381" s="102">
        <f t="shared" si="231"/>
        <v>-102.90497756282321</v>
      </c>
      <c r="E381" s="102" t="e">
        <f ca="1">SUMIFS('Digital Product Summary by COA'!$S$54:$S$325,'Digital Product Summary by COA'!$T$54:$T$325,$A$365,'Digital Product Summary by COA'!$C$54:$C$325,$A381)</f>
        <v>#NAME?</v>
      </c>
      <c r="J381" s="204">
        <v>1015.8121572808935</v>
      </c>
      <c r="K381" s="238">
        <v>287.28286515628338</v>
      </c>
      <c r="Z381" s="15"/>
      <c r="AA381" s="15"/>
      <c r="AB381" s="15"/>
      <c r="AC381" s="15"/>
    </row>
    <row r="382" spans="1:29" ht="15.75" hidden="1" customHeight="1" outlineLevel="1" x14ac:dyDescent="0.85">
      <c r="A382" s="165" t="s">
        <v>90</v>
      </c>
      <c r="B382" s="139">
        <v>5398</v>
      </c>
      <c r="C382" s="102">
        <f t="shared" si="230"/>
        <v>8375.5638960252363</v>
      </c>
      <c r="D382" s="102">
        <f t="shared" si="231"/>
        <v>2977.5638960252363</v>
      </c>
      <c r="E382" s="102" t="e">
        <f ca="1">SUMIFS('Digital Product Summary by COA'!$S$54:$S$325,'Digital Product Summary by COA'!$T$54:$T$325,$A$365,'Digital Product Summary by COA'!$C$54:$C$325,$A382)</f>
        <v>#NAME?</v>
      </c>
      <c r="J382" s="204">
        <v>8007.6538164487492</v>
      </c>
      <c r="K382" s="238">
        <v>367.91007957648708</v>
      </c>
      <c r="Z382" s="15"/>
      <c r="AA382" s="15"/>
      <c r="AB382" s="15"/>
      <c r="AC382" s="15"/>
    </row>
    <row r="383" spans="1:29" ht="15.75" hidden="1" customHeight="1" outlineLevel="1" x14ac:dyDescent="0.85">
      <c r="A383" s="165" t="s">
        <v>91</v>
      </c>
      <c r="B383" s="139">
        <v>2319</v>
      </c>
      <c r="C383" s="102">
        <f t="shared" si="230"/>
        <v>1117.562705204105</v>
      </c>
      <c r="D383" s="102">
        <f t="shared" si="231"/>
        <v>-1201.437294795895</v>
      </c>
      <c r="E383" s="102" t="e">
        <f ca="1">SUMIFS('Digital Product Summary by COA'!$S$54:$S$325,'Digital Product Summary by COA'!$T$54:$T$325,$A$365,'Digital Product Summary by COA'!$C$54:$C$325,$A383)</f>
        <v>#NAME?</v>
      </c>
      <c r="J383" s="204">
        <v>892.80136194673821</v>
      </c>
      <c r="K383" s="238">
        <v>224.76134325736669</v>
      </c>
      <c r="Z383" s="15"/>
      <c r="AA383" s="15"/>
      <c r="AB383" s="15"/>
      <c r="AC383" s="15"/>
    </row>
    <row r="384" spans="1:29" ht="15.75" hidden="1" customHeight="1" outlineLevel="1" x14ac:dyDescent="0.85">
      <c r="A384" s="165" t="s">
        <v>92</v>
      </c>
      <c r="B384" s="139">
        <v>512</v>
      </c>
      <c r="C384" s="102">
        <f t="shared" si="230"/>
        <v>176.03377180857768</v>
      </c>
      <c r="D384" s="102">
        <f t="shared" si="231"/>
        <v>-335.96622819142232</v>
      </c>
      <c r="E384" s="102" t="e">
        <f ca="1">SUMIFS('Digital Product Summary by COA'!$S$54:$S$325,'Digital Product Summary by COA'!$T$54:$T$325,$A$365,'Digital Product Summary by COA'!$C$54:$C$325,$A384)</f>
        <v>#NAME?</v>
      </c>
      <c r="J384" s="204">
        <v>175.11818911470158</v>
      </c>
      <c r="K384" s="238">
        <v>0.91558269387608981</v>
      </c>
      <c r="Z384" s="15"/>
      <c r="AA384" s="15"/>
      <c r="AB384" s="15"/>
      <c r="AC384" s="15"/>
    </row>
    <row r="385" spans="1:29" ht="15.75" hidden="1" customHeight="1" outlineLevel="1" x14ac:dyDescent="0.85">
      <c r="A385" s="165" t="s">
        <v>93</v>
      </c>
      <c r="B385" s="172">
        <v>464</v>
      </c>
      <c r="C385" s="102">
        <f t="shared" si="230"/>
        <v>1586.7297592632722</v>
      </c>
      <c r="D385" s="102">
        <f t="shared" si="231"/>
        <v>1122.7297592632722</v>
      </c>
      <c r="E385" s="102" t="e">
        <f ca="1">SUMIFS('Digital Product Summary by COA'!$S$54:$S$325,'Digital Product Summary by COA'!$T$54:$T$325,$A$365,'Digital Product Summary by COA'!$C$54:$C$325,$A385)</f>
        <v>#NAME?</v>
      </c>
      <c r="J385" s="204">
        <v>1586.7297592632722</v>
      </c>
      <c r="K385" s="206"/>
      <c r="Z385" s="15"/>
      <c r="AA385" s="15"/>
      <c r="AB385" s="15"/>
      <c r="AC385" s="15"/>
    </row>
    <row r="386" spans="1:29" ht="15.75" customHeight="1" collapsed="1" x14ac:dyDescent="0.3">
      <c r="A386" s="166" t="s">
        <v>94</v>
      </c>
      <c r="B386" s="168">
        <f t="shared" ref="B386:E386" si="232">SUBTOTAL(9,B387:B391)</f>
        <v>0</v>
      </c>
      <c r="C386" s="168">
        <f t="shared" si="232"/>
        <v>65.861224161339294</v>
      </c>
      <c r="D386" s="168">
        <f t="shared" si="232"/>
        <v>65.861224161339294</v>
      </c>
      <c r="E386" s="168" t="e">
        <f t="shared" ca="1" si="232"/>
        <v>#NAME?</v>
      </c>
      <c r="J386" s="236">
        <f t="shared" ref="J386:K386" si="233">SUBTOTAL(9,J387:J391)</f>
        <v>65.861224161339294</v>
      </c>
      <c r="K386" s="237">
        <f t="shared" si="233"/>
        <v>0</v>
      </c>
      <c r="Z386" s="15"/>
      <c r="AA386" s="15"/>
      <c r="AB386" s="15"/>
      <c r="AC386" s="15"/>
    </row>
    <row r="387" spans="1:29" ht="15.75" hidden="1" customHeight="1" outlineLevel="1" x14ac:dyDescent="0.85">
      <c r="A387" s="165" t="s">
        <v>95</v>
      </c>
      <c r="B387" s="102">
        <v>0</v>
      </c>
      <c r="C387" s="102">
        <f t="shared" ref="C387:C391" si="234">J387+K387</f>
        <v>56.900234143879317</v>
      </c>
      <c r="D387" s="102">
        <f t="shared" ref="D387:D391" si="235">C387-B387</f>
        <v>56.900234143879317</v>
      </c>
      <c r="E387" s="102" t="e">
        <f ca="1">SUMIFS('Digital Product Summary by COA'!$S$54:$S$325,'Digital Product Summary by COA'!$T$54:$T$325,$A$365,'Digital Product Summary by COA'!$C$54:$C$325,$A387)</f>
        <v>#NAME?</v>
      </c>
      <c r="J387" s="204">
        <v>56.900234143879317</v>
      </c>
      <c r="K387" s="206"/>
      <c r="Z387" s="15"/>
      <c r="AA387" s="15"/>
      <c r="AB387" s="15"/>
      <c r="AC387" s="15"/>
    </row>
    <row r="388" spans="1:29" ht="15.75" hidden="1" customHeight="1" outlineLevel="1" x14ac:dyDescent="0.85">
      <c r="A388" s="165" t="s">
        <v>96</v>
      </c>
      <c r="B388" s="139">
        <v>0</v>
      </c>
      <c r="C388" s="102">
        <f t="shared" si="234"/>
        <v>0</v>
      </c>
      <c r="D388" s="102">
        <f t="shared" si="235"/>
        <v>0</v>
      </c>
      <c r="E388" s="102">
        <f ca="1">SUMIFS('Digital Product Summary by COA'!$S$54:$S$325,'Digital Product Summary by COA'!$T$54:$T$325,$A$365,'Digital Product Summary by COA'!$C$54:$C$325,$A388)</f>
        <v>0</v>
      </c>
      <c r="J388" s="213"/>
      <c r="K388" s="206"/>
      <c r="Z388" s="15"/>
      <c r="AA388" s="15"/>
      <c r="AB388" s="15"/>
      <c r="AC388" s="15"/>
    </row>
    <row r="389" spans="1:29" ht="15.75" hidden="1" customHeight="1" outlineLevel="1" x14ac:dyDescent="0.85">
      <c r="A389" s="165" t="s">
        <v>97</v>
      </c>
      <c r="B389" s="139">
        <v>0</v>
      </c>
      <c r="C389" s="102">
        <f t="shared" si="234"/>
        <v>0</v>
      </c>
      <c r="D389" s="102">
        <f t="shared" si="235"/>
        <v>0</v>
      </c>
      <c r="E389" s="102">
        <f ca="1">SUMIFS('Digital Product Summary by COA'!$S$54:$S$325,'Digital Product Summary by COA'!$T$54:$T$325,$A$365,'Digital Product Summary by COA'!$C$54:$C$325,$A389)</f>
        <v>0</v>
      </c>
      <c r="J389" s="213"/>
      <c r="K389" s="206"/>
      <c r="Z389" s="15"/>
      <c r="AA389" s="15"/>
      <c r="AB389" s="15"/>
      <c r="AC389" s="15"/>
    </row>
    <row r="390" spans="1:29" ht="15.75" hidden="1" customHeight="1" outlineLevel="1" x14ac:dyDescent="0.85">
      <c r="A390" s="165" t="s">
        <v>98</v>
      </c>
      <c r="B390" s="139">
        <v>0</v>
      </c>
      <c r="C390" s="102">
        <f t="shared" si="234"/>
        <v>0</v>
      </c>
      <c r="D390" s="102">
        <f t="shared" si="235"/>
        <v>0</v>
      </c>
      <c r="E390" s="102" t="e">
        <f ca="1">SUMIFS('Digital Product Summary by COA'!$S$54:$S$325,'Digital Product Summary by COA'!$T$54:$T$325,$A$365,'Digital Product Summary by COA'!$C$54:$C$325,$A390)</f>
        <v>#NAME?</v>
      </c>
      <c r="J390" s="213"/>
      <c r="K390" s="206"/>
      <c r="Z390" s="15"/>
      <c r="AA390" s="15"/>
      <c r="AB390" s="15"/>
      <c r="AC390" s="15"/>
    </row>
    <row r="391" spans="1:29" ht="15.75" hidden="1" customHeight="1" outlineLevel="1" x14ac:dyDescent="0.85">
      <c r="A391" s="165" t="s">
        <v>99</v>
      </c>
      <c r="B391" s="172">
        <v>0</v>
      </c>
      <c r="C391" s="102">
        <f t="shared" si="234"/>
        <v>8.9609900174599808</v>
      </c>
      <c r="D391" s="102">
        <f t="shared" si="235"/>
        <v>8.9609900174599808</v>
      </c>
      <c r="E391" s="102" t="e">
        <f ca="1">SUMIFS('Digital Product Summary by COA'!$S$54:$S$325,'Digital Product Summary by COA'!$T$54:$T$325,$A$365,'Digital Product Summary by COA'!$C$54:$C$325,$A391)</f>
        <v>#NAME?</v>
      </c>
      <c r="J391" s="204">
        <v>8.9609900174599808</v>
      </c>
      <c r="K391" s="206"/>
      <c r="Z391" s="15"/>
      <c r="AA391" s="15"/>
      <c r="AB391" s="15"/>
      <c r="AC391" s="15"/>
    </row>
    <row r="392" spans="1:29" ht="15.75" customHeight="1" collapsed="1" x14ac:dyDescent="0.3">
      <c r="A392" s="166" t="s">
        <v>100</v>
      </c>
      <c r="B392" s="168">
        <f t="shared" ref="B392:E392" si="236">SUBTOTAL(9,B393:B395)</f>
        <v>0</v>
      </c>
      <c r="C392" s="168">
        <f t="shared" si="236"/>
        <v>31.278234565605526</v>
      </c>
      <c r="D392" s="168">
        <f t="shared" si="236"/>
        <v>31.278234565605526</v>
      </c>
      <c r="E392" s="168" t="e">
        <f t="shared" ca="1" si="236"/>
        <v>#NAME?</v>
      </c>
      <c r="J392" s="236">
        <f t="shared" ref="J392:K392" si="237">SUBTOTAL(9,J393:J395)</f>
        <v>18.994390505537755</v>
      </c>
      <c r="K392" s="237">
        <f t="shared" si="237"/>
        <v>12.283844060067773</v>
      </c>
      <c r="Z392" s="15"/>
      <c r="AA392" s="15"/>
      <c r="AB392" s="15"/>
      <c r="AC392" s="15"/>
    </row>
    <row r="393" spans="1:29" ht="15.75" hidden="1" customHeight="1" outlineLevel="1" x14ac:dyDescent="0.85">
      <c r="A393" s="165" t="s">
        <v>101</v>
      </c>
      <c r="B393" s="102">
        <v>0</v>
      </c>
      <c r="C393" s="102">
        <f t="shared" ref="C393:C395" si="238">J393+K393</f>
        <v>1.320952816931882</v>
      </c>
      <c r="D393" s="102">
        <f t="shared" ref="D393:D395" si="239">C393-B393</f>
        <v>1.320952816931882</v>
      </c>
      <c r="E393" s="102" t="e">
        <f ca="1">SUMIFS('Digital Product Summary by COA'!$S$54:$S$325,'Digital Product Summary by COA'!$T$54:$T$325,$A$365,'Digital Product Summary by COA'!$C$54:$C$325,$A393)</f>
        <v>#NAME?</v>
      </c>
      <c r="J393" s="240">
        <v>1.320952816931882</v>
      </c>
      <c r="K393" s="206"/>
      <c r="Z393" s="15"/>
      <c r="AA393" s="15"/>
      <c r="AB393" s="15"/>
      <c r="AC393" s="15"/>
    </row>
    <row r="394" spans="1:29" ht="15.75" hidden="1" customHeight="1" outlineLevel="1" x14ac:dyDescent="0.85">
      <c r="A394" s="165" t="s">
        <v>103</v>
      </c>
      <c r="B394" s="139">
        <v>0</v>
      </c>
      <c r="C394" s="102">
        <f t="shared" si="238"/>
        <v>0</v>
      </c>
      <c r="D394" s="102">
        <f t="shared" si="239"/>
        <v>0</v>
      </c>
      <c r="E394" s="102" t="e">
        <f ca="1">SUMIFS('Digital Product Summary by COA'!$S$54:$S$325,'Digital Product Summary by COA'!$T$54:$T$325,$A$365,'Digital Product Summary by COA'!$C$54:$C$325,$A394)</f>
        <v>#NAME?</v>
      </c>
      <c r="J394" s="240"/>
      <c r="K394" s="206"/>
      <c r="Z394" s="15"/>
      <c r="AA394" s="15"/>
      <c r="AB394" s="15"/>
      <c r="AC394" s="15"/>
    </row>
    <row r="395" spans="1:29" ht="15.75" hidden="1" customHeight="1" outlineLevel="1" x14ac:dyDescent="0.85">
      <c r="A395" s="165" t="s">
        <v>104</v>
      </c>
      <c r="B395" s="172">
        <v>0</v>
      </c>
      <c r="C395" s="102">
        <f t="shared" si="238"/>
        <v>29.957281748673644</v>
      </c>
      <c r="D395" s="102">
        <f t="shared" si="239"/>
        <v>29.957281748673644</v>
      </c>
      <c r="E395" s="102" t="e">
        <f ca="1">SUMIFS('Digital Product Summary by COA'!$S$54:$S$325,'Digital Product Summary by COA'!$T$54:$T$325,$A$365,'Digital Product Summary by COA'!$C$54:$C$325,$A395)</f>
        <v>#NAME?</v>
      </c>
      <c r="J395" s="240">
        <v>17.673437688605873</v>
      </c>
      <c r="K395" s="238">
        <v>12.283844060067773</v>
      </c>
      <c r="Z395" s="15"/>
      <c r="AA395" s="15"/>
      <c r="AB395" s="15"/>
      <c r="AC395" s="15"/>
    </row>
    <row r="396" spans="1:29" ht="15.75" customHeight="1" collapsed="1" x14ac:dyDescent="0.3">
      <c r="A396" s="166" t="s">
        <v>105</v>
      </c>
      <c r="B396" s="168">
        <f t="shared" ref="B396:E396" si="240">SUBTOTAL(9,B397:B411)</f>
        <v>0</v>
      </c>
      <c r="C396" s="168">
        <f t="shared" si="240"/>
        <v>4.441134470719259</v>
      </c>
      <c r="D396" s="168">
        <f t="shared" si="240"/>
        <v>4.441134470719259</v>
      </c>
      <c r="E396" s="168" t="e">
        <f t="shared" ca="1" si="240"/>
        <v>#NAME?</v>
      </c>
      <c r="J396" s="236">
        <f t="shared" ref="J396:K396" si="241">SUBTOTAL(9,J397:J411)</f>
        <v>4.441134470719259</v>
      </c>
      <c r="K396" s="237">
        <f t="shared" si="241"/>
        <v>0</v>
      </c>
      <c r="Z396" s="15"/>
      <c r="AA396" s="15"/>
      <c r="AB396" s="15"/>
      <c r="AC396" s="15"/>
    </row>
    <row r="397" spans="1:29" ht="15.75" hidden="1" customHeight="1" outlineLevel="1" x14ac:dyDescent="0.85">
      <c r="A397" s="165" t="s">
        <v>110</v>
      </c>
      <c r="B397" s="102">
        <v>0</v>
      </c>
      <c r="C397" s="102">
        <f t="shared" ref="C397:C411" si="242">J397+K397</f>
        <v>0</v>
      </c>
      <c r="D397" s="102">
        <f t="shared" ref="D397:D411" si="243">C397-B397</f>
        <v>0</v>
      </c>
      <c r="E397" s="102" t="e">
        <f ca="1">SUMIFS('Digital Product Summary by COA'!$S$54:$S$325,'Digital Product Summary by COA'!$T$54:$T$325,$A$365,'Digital Product Summary by COA'!$C$54:$C$325,$A397)</f>
        <v>#NAME?</v>
      </c>
      <c r="J397" s="204"/>
      <c r="K397" s="206"/>
      <c r="Z397" s="15"/>
      <c r="AA397" s="15"/>
      <c r="AB397" s="15"/>
      <c r="AC397" s="15"/>
    </row>
    <row r="398" spans="1:29" ht="15.75" hidden="1" customHeight="1" outlineLevel="1" x14ac:dyDescent="0.85">
      <c r="A398" s="165" t="s">
        <v>111</v>
      </c>
      <c r="B398" s="139">
        <v>0</v>
      </c>
      <c r="C398" s="102">
        <f t="shared" si="242"/>
        <v>0</v>
      </c>
      <c r="D398" s="102">
        <f t="shared" si="243"/>
        <v>0</v>
      </c>
      <c r="E398" s="102">
        <f ca="1">SUMIFS('Digital Product Summary by COA'!$S$54:$S$325,'Digital Product Summary by COA'!$T$54:$T$325,$A$365,'Digital Product Summary by COA'!$C$54:$C$325,$A398)</f>
        <v>0</v>
      </c>
      <c r="J398" s="213"/>
      <c r="K398" s="206"/>
      <c r="Z398" s="15"/>
      <c r="AA398" s="15"/>
      <c r="AB398" s="15"/>
      <c r="AC398" s="15"/>
    </row>
    <row r="399" spans="1:29" ht="15.75" hidden="1" customHeight="1" outlineLevel="1" x14ac:dyDescent="0.85">
      <c r="A399" s="165" t="s">
        <v>112</v>
      </c>
      <c r="B399" s="139">
        <v>0</v>
      </c>
      <c r="C399" s="102">
        <f t="shared" si="242"/>
        <v>0</v>
      </c>
      <c r="D399" s="102">
        <f t="shared" si="243"/>
        <v>0</v>
      </c>
      <c r="E399" s="102">
        <f ca="1">SUMIFS('Digital Product Summary by COA'!$S$54:$S$325,'Digital Product Summary by COA'!$T$54:$T$325,$A$365,'Digital Product Summary by COA'!$C$54:$C$325,$A399)</f>
        <v>0</v>
      </c>
      <c r="J399" s="213"/>
      <c r="K399" s="206"/>
      <c r="Z399" s="15"/>
      <c r="AA399" s="15"/>
      <c r="AB399" s="15"/>
      <c r="AC399" s="15"/>
    </row>
    <row r="400" spans="1:29" ht="15.75" hidden="1" customHeight="1" outlineLevel="1" x14ac:dyDescent="0.85">
      <c r="A400" s="165" t="s">
        <v>113</v>
      </c>
      <c r="B400" s="139">
        <v>0</v>
      </c>
      <c r="C400" s="102">
        <f t="shared" si="242"/>
        <v>4.441134470719259</v>
      </c>
      <c r="D400" s="102">
        <f t="shared" si="243"/>
        <v>4.441134470719259</v>
      </c>
      <c r="E400" s="102" t="e">
        <f ca="1">SUMIFS('Digital Product Summary by COA'!$S$54:$S$325,'Digital Product Summary by COA'!$T$54:$T$325,$A$365,'Digital Product Summary by COA'!$C$54:$C$325,$A400)</f>
        <v>#NAME?</v>
      </c>
      <c r="J400" s="204">
        <v>4.441134470719259</v>
      </c>
      <c r="K400" s="206"/>
      <c r="Z400" s="15"/>
      <c r="AA400" s="15"/>
      <c r="AB400" s="15"/>
      <c r="AC400" s="15"/>
    </row>
    <row r="401" spans="1:29" ht="15.75" hidden="1" customHeight="1" outlineLevel="1" x14ac:dyDescent="0.85">
      <c r="A401" s="165" t="s">
        <v>114</v>
      </c>
      <c r="B401" s="139">
        <v>0</v>
      </c>
      <c r="C401" s="102">
        <f t="shared" si="242"/>
        <v>0</v>
      </c>
      <c r="D401" s="102">
        <f t="shared" si="243"/>
        <v>0</v>
      </c>
      <c r="E401" s="102" t="e">
        <f ca="1">SUMIFS('Digital Product Summary by COA'!$S$54:$S$325,'Digital Product Summary by COA'!$T$54:$T$325,$A$365,'Digital Product Summary by COA'!$C$54:$C$325,$A401)</f>
        <v>#NAME?</v>
      </c>
      <c r="J401" s="213"/>
      <c r="K401" s="206"/>
      <c r="Z401" s="15"/>
      <c r="AA401" s="15"/>
      <c r="AB401" s="15"/>
      <c r="AC401" s="15"/>
    </row>
    <row r="402" spans="1:29" ht="15.75" hidden="1" customHeight="1" outlineLevel="1" x14ac:dyDescent="0.85">
      <c r="A402" s="165" t="s">
        <v>115</v>
      </c>
      <c r="B402" s="139">
        <v>0</v>
      </c>
      <c r="C402" s="102">
        <f t="shared" si="242"/>
        <v>0</v>
      </c>
      <c r="D402" s="102">
        <f t="shared" si="243"/>
        <v>0</v>
      </c>
      <c r="E402" s="102">
        <f ca="1">SUMIFS('Digital Product Summary by COA'!$S$54:$S$325,'Digital Product Summary by COA'!$T$54:$T$325,$A$365,'Digital Product Summary by COA'!$C$54:$C$325,$A402)</f>
        <v>0</v>
      </c>
      <c r="J402" s="213"/>
      <c r="K402" s="206"/>
      <c r="Z402" s="15"/>
      <c r="AA402" s="15"/>
      <c r="AB402" s="15"/>
      <c r="AC402" s="15"/>
    </row>
    <row r="403" spans="1:29" ht="15.75" hidden="1" customHeight="1" outlineLevel="1" x14ac:dyDescent="0.85">
      <c r="A403" s="165" t="s">
        <v>117</v>
      </c>
      <c r="B403" s="139">
        <v>0</v>
      </c>
      <c r="C403" s="102">
        <f t="shared" si="242"/>
        <v>0</v>
      </c>
      <c r="D403" s="102">
        <f t="shared" si="243"/>
        <v>0</v>
      </c>
      <c r="E403" s="102">
        <f ca="1">SUMIFS('Digital Product Summary by COA'!$S$54:$S$325,'Digital Product Summary by COA'!$T$54:$T$325,$A$365,'Digital Product Summary by COA'!$C$54:$C$325,$A403)</f>
        <v>0</v>
      </c>
      <c r="J403" s="213"/>
      <c r="K403" s="206"/>
      <c r="Z403" s="15"/>
      <c r="AA403" s="15"/>
      <c r="AB403" s="15"/>
      <c r="AC403" s="15"/>
    </row>
    <row r="404" spans="1:29" ht="15.75" hidden="1" customHeight="1" outlineLevel="1" x14ac:dyDescent="0.85">
      <c r="A404" s="165" t="s">
        <v>118</v>
      </c>
      <c r="B404" s="139">
        <v>0</v>
      </c>
      <c r="C404" s="102">
        <f t="shared" si="242"/>
        <v>0</v>
      </c>
      <c r="D404" s="102">
        <f t="shared" si="243"/>
        <v>0</v>
      </c>
      <c r="E404" s="102">
        <f ca="1">SUMIFS('Digital Product Summary by COA'!$S$54:$S$325,'Digital Product Summary by COA'!$T$54:$T$325,$A$365,'Digital Product Summary by COA'!$C$54:$C$325,$A404)</f>
        <v>0</v>
      </c>
      <c r="J404" s="213"/>
      <c r="K404" s="206"/>
      <c r="Z404" s="15"/>
      <c r="AA404" s="15"/>
      <c r="AB404" s="15"/>
      <c r="AC404" s="15"/>
    </row>
    <row r="405" spans="1:29" ht="15.75" hidden="1" customHeight="1" outlineLevel="1" x14ac:dyDescent="0.85">
      <c r="A405" s="165" t="s">
        <v>119</v>
      </c>
      <c r="B405" s="139">
        <v>0</v>
      </c>
      <c r="C405" s="102">
        <f t="shared" si="242"/>
        <v>0</v>
      </c>
      <c r="D405" s="102">
        <f t="shared" si="243"/>
        <v>0</v>
      </c>
      <c r="E405" s="102">
        <f ca="1">SUMIFS('Digital Product Summary by COA'!$S$54:$S$325,'Digital Product Summary by COA'!$T$54:$T$325,$A$365,'Digital Product Summary by COA'!$C$54:$C$325,$A405)</f>
        <v>0</v>
      </c>
      <c r="J405" s="213"/>
      <c r="K405" s="206"/>
      <c r="Z405" s="15"/>
      <c r="AA405" s="15"/>
      <c r="AB405" s="15"/>
      <c r="AC405" s="15"/>
    </row>
    <row r="406" spans="1:29" ht="15.75" hidden="1" customHeight="1" outlineLevel="1" x14ac:dyDescent="0.85">
      <c r="A406" s="165" t="s">
        <v>120</v>
      </c>
      <c r="B406" s="139">
        <v>0</v>
      </c>
      <c r="C406" s="102">
        <f t="shared" si="242"/>
        <v>0</v>
      </c>
      <c r="D406" s="102">
        <f t="shared" si="243"/>
        <v>0</v>
      </c>
      <c r="E406" s="102">
        <f ca="1">SUMIFS('Digital Product Summary by COA'!$S$54:$S$325,'Digital Product Summary by COA'!$T$54:$T$325,$A$365,'Digital Product Summary by COA'!$C$54:$C$325,$A406)</f>
        <v>0</v>
      </c>
      <c r="J406" s="213"/>
      <c r="K406" s="206"/>
      <c r="Z406" s="15"/>
      <c r="AA406" s="15"/>
      <c r="AB406" s="15"/>
      <c r="AC406" s="15"/>
    </row>
    <row r="407" spans="1:29" ht="15.75" hidden="1" customHeight="1" outlineLevel="1" x14ac:dyDescent="0.85">
      <c r="A407" s="165" t="s">
        <v>121</v>
      </c>
      <c r="B407" s="139">
        <v>0</v>
      </c>
      <c r="C407" s="102">
        <f t="shared" si="242"/>
        <v>0</v>
      </c>
      <c r="D407" s="102">
        <f t="shared" si="243"/>
        <v>0</v>
      </c>
      <c r="E407" s="102">
        <f ca="1">SUMIFS('Digital Product Summary by COA'!$S$54:$S$325,'Digital Product Summary by COA'!$T$54:$T$325,$A$365,'Digital Product Summary by COA'!$C$54:$C$325,$A407)</f>
        <v>0</v>
      </c>
      <c r="J407" s="213"/>
      <c r="K407" s="206"/>
      <c r="Z407" s="15"/>
      <c r="AA407" s="15"/>
      <c r="AB407" s="15"/>
      <c r="AC407" s="15"/>
    </row>
    <row r="408" spans="1:29" ht="15.75" hidden="1" customHeight="1" outlineLevel="1" x14ac:dyDescent="0.85">
      <c r="A408" s="165" t="s">
        <v>122</v>
      </c>
      <c r="B408" s="139">
        <v>0</v>
      </c>
      <c r="C408" s="102">
        <f t="shared" si="242"/>
        <v>0</v>
      </c>
      <c r="D408" s="102">
        <f t="shared" si="243"/>
        <v>0</v>
      </c>
      <c r="E408" s="102">
        <f ca="1">SUMIFS('Digital Product Summary by COA'!$S$54:$S$325,'Digital Product Summary by COA'!$T$54:$T$325,$A$365,'Digital Product Summary by COA'!$C$54:$C$325,$A408)</f>
        <v>0</v>
      </c>
      <c r="J408" s="213"/>
      <c r="K408" s="206"/>
      <c r="Z408" s="15"/>
      <c r="AA408" s="15"/>
      <c r="AB408" s="15"/>
      <c r="AC408" s="15"/>
    </row>
    <row r="409" spans="1:29" ht="15.75" hidden="1" customHeight="1" outlineLevel="1" x14ac:dyDescent="0.85">
      <c r="A409" s="165" t="s">
        <v>144</v>
      </c>
      <c r="B409" s="139">
        <v>0</v>
      </c>
      <c r="C409" s="102">
        <f t="shared" si="242"/>
        <v>0</v>
      </c>
      <c r="D409" s="102">
        <f t="shared" si="243"/>
        <v>0</v>
      </c>
      <c r="E409" s="102">
        <f ca="1">SUMIFS('Digital Product Summary by COA'!$S$54:$S$325,'Digital Product Summary by COA'!$T$54:$T$325,$A$365,'Digital Product Summary by COA'!$C$54:$C$325,$A409)</f>
        <v>0</v>
      </c>
      <c r="J409" s="213"/>
      <c r="K409" s="206"/>
      <c r="Z409" s="15"/>
      <c r="AA409" s="15"/>
      <c r="AB409" s="15"/>
      <c r="AC409" s="15"/>
    </row>
    <row r="410" spans="1:29" ht="15.75" hidden="1" customHeight="1" outlineLevel="1" x14ac:dyDescent="0.25">
      <c r="A410" s="129" t="s">
        <v>124</v>
      </c>
      <c r="B410" s="139">
        <v>0</v>
      </c>
      <c r="C410" s="102">
        <f t="shared" si="242"/>
        <v>0</v>
      </c>
      <c r="D410" s="102">
        <f t="shared" si="243"/>
        <v>0</v>
      </c>
      <c r="E410" s="102">
        <f ca="1">SUMIFS('Digital Product Summary by COA'!$S$54:$S$325,'Digital Product Summary by COA'!$T$54:$T$325,$A$365,'Digital Product Summary by COA'!$C$54:$C$325,$A410)</f>
        <v>0</v>
      </c>
      <c r="J410" s="213"/>
      <c r="K410" s="206"/>
      <c r="Z410" s="15"/>
      <c r="AA410" s="15"/>
      <c r="AB410" s="15"/>
      <c r="AC410" s="15"/>
    </row>
    <row r="411" spans="1:29" ht="15.75" hidden="1" customHeight="1" outlineLevel="1" x14ac:dyDescent="0.25">
      <c r="A411" s="129" t="s">
        <v>125</v>
      </c>
      <c r="B411" s="172">
        <v>0</v>
      </c>
      <c r="C411" s="102">
        <f t="shared" si="242"/>
        <v>0</v>
      </c>
      <c r="D411" s="102">
        <f t="shared" si="243"/>
        <v>0</v>
      </c>
      <c r="E411" s="102">
        <f ca="1">SUMIFS('Digital Product Summary by COA'!$S$54:$S$325,'Digital Product Summary by COA'!$T$54:$T$325,$A$365,'Digital Product Summary by COA'!$C$54:$C$325,$A411)</f>
        <v>0</v>
      </c>
      <c r="J411" s="213"/>
      <c r="K411" s="206"/>
      <c r="Z411" s="15"/>
      <c r="AA411" s="15"/>
      <c r="AB411" s="15"/>
      <c r="AC411" s="15"/>
    </row>
    <row r="412" spans="1:29" ht="15.75" customHeight="1" collapsed="1" x14ac:dyDescent="0.3">
      <c r="A412" s="166" t="s">
        <v>126</v>
      </c>
      <c r="B412" s="168">
        <f t="shared" ref="B412:E412" si="244">SUBTOTAL(9,B413:B415)</f>
        <v>0</v>
      </c>
      <c r="C412" s="168">
        <f t="shared" si="244"/>
        <v>0</v>
      </c>
      <c r="D412" s="168">
        <f t="shared" si="244"/>
        <v>0</v>
      </c>
      <c r="E412" s="168" t="e">
        <f t="shared" ca="1" si="244"/>
        <v>#NAME?</v>
      </c>
      <c r="J412" s="236">
        <f t="shared" ref="J412:K412" si="245">SUBTOTAL(9,J413:J415)</f>
        <v>0</v>
      </c>
      <c r="K412" s="237">
        <f t="shared" si="245"/>
        <v>0</v>
      </c>
      <c r="Z412" s="15"/>
      <c r="AA412" s="15"/>
      <c r="AB412" s="15"/>
      <c r="AC412" s="15"/>
    </row>
    <row r="413" spans="1:29" ht="15.75" hidden="1" customHeight="1" outlineLevel="1" x14ac:dyDescent="0.25">
      <c r="A413" s="129" t="s">
        <v>128</v>
      </c>
      <c r="B413" s="102">
        <v>0</v>
      </c>
      <c r="C413" s="102">
        <f t="shared" ref="C413:C415" si="246">J413+K413</f>
        <v>0</v>
      </c>
      <c r="D413" s="102">
        <f t="shared" ref="D413:D415" si="247">C413-B413</f>
        <v>0</v>
      </c>
      <c r="E413" s="102">
        <f ca="1">SUMIFS('Digital Product Summary by COA'!$S$54:$S$325,'Digital Product Summary by COA'!$T$54:$T$325,$A$365,'Digital Product Summary by COA'!$C$54:$C$325,$A413)</f>
        <v>0</v>
      </c>
      <c r="J413" s="213"/>
      <c r="K413" s="206"/>
      <c r="Z413" s="15"/>
      <c r="AA413" s="15"/>
      <c r="AB413" s="15"/>
      <c r="AC413" s="15"/>
    </row>
    <row r="414" spans="1:29" ht="15.75" hidden="1" customHeight="1" outlineLevel="1" x14ac:dyDescent="0.25">
      <c r="A414" s="129" t="s">
        <v>129</v>
      </c>
      <c r="B414" s="139">
        <v>0</v>
      </c>
      <c r="C414" s="102">
        <f t="shared" si="246"/>
        <v>0</v>
      </c>
      <c r="D414" s="102">
        <f t="shared" si="247"/>
        <v>0</v>
      </c>
      <c r="E414" s="102">
        <f ca="1">SUMIFS('Digital Product Summary by COA'!$S$54:$S$325,'Digital Product Summary by COA'!$T$54:$T$325,$A$365,'Digital Product Summary by COA'!$C$54:$C$325,$A414)</f>
        <v>0</v>
      </c>
      <c r="J414" s="213"/>
      <c r="K414" s="206"/>
      <c r="Z414" s="15"/>
      <c r="AA414" s="15"/>
      <c r="AB414" s="15"/>
      <c r="AC414" s="15"/>
    </row>
    <row r="415" spans="1:29" ht="15.75" hidden="1" customHeight="1" outlineLevel="1" x14ac:dyDescent="0.25">
      <c r="A415" s="129" t="s">
        <v>134</v>
      </c>
      <c r="B415" s="172">
        <v>0</v>
      </c>
      <c r="C415" s="102">
        <f t="shared" si="246"/>
        <v>0</v>
      </c>
      <c r="D415" s="102">
        <f t="shared" si="247"/>
        <v>0</v>
      </c>
      <c r="E415" s="102" t="e">
        <f ca="1">SUMIFS('Digital Product Summary by COA'!$S$54:$S$325,'Digital Product Summary by COA'!$T$54:$T$325,$A$365,'Digital Product Summary by COA'!$C$54:$C$325,$A415)</f>
        <v>#NAME?</v>
      </c>
      <c r="J415" s="213"/>
      <c r="K415" s="206"/>
      <c r="Z415" s="15"/>
      <c r="AA415" s="15"/>
      <c r="AB415" s="15"/>
      <c r="AC415" s="15"/>
    </row>
    <row r="416" spans="1:29" ht="15.75" customHeight="1" collapsed="1" x14ac:dyDescent="0.3">
      <c r="A416" s="166" t="s">
        <v>135</v>
      </c>
      <c r="B416" s="168">
        <f t="shared" ref="B416:E416" si="248">SUBTOTAL(9,B417)</f>
        <v>7229</v>
      </c>
      <c r="C416" s="168">
        <f t="shared" si="248"/>
        <v>8483.5381756590541</v>
      </c>
      <c r="D416" s="168">
        <f t="shared" si="248"/>
        <v>1254.5381756590541</v>
      </c>
      <c r="E416" s="168" t="e">
        <f t="shared" ca="1" si="248"/>
        <v>#NAME?</v>
      </c>
      <c r="F416" s="160"/>
      <c r="J416" s="236">
        <f t="shared" ref="J416:K416" si="249">SUBTOTAL(9,J417)</f>
        <v>8483.5381756590541</v>
      </c>
      <c r="K416" s="237">
        <f t="shared" si="249"/>
        <v>0</v>
      </c>
      <c r="Z416" s="15"/>
      <c r="AA416" s="15"/>
      <c r="AB416" s="15"/>
      <c r="AC416" s="15"/>
    </row>
    <row r="417" spans="1:29" ht="15.75" hidden="1" customHeight="1" outlineLevel="1" x14ac:dyDescent="0.25">
      <c r="A417" s="129" t="s">
        <v>138</v>
      </c>
      <c r="B417" s="102">
        <v>7229</v>
      </c>
      <c r="C417" s="102">
        <f>J417+K417</f>
        <v>8483.5381756590541</v>
      </c>
      <c r="D417" s="102">
        <f>C417-B417</f>
        <v>1254.5381756590541</v>
      </c>
      <c r="E417" s="102" t="e">
        <f ca="1">SUMIFS('Digital Product Summary by COA'!$S$54:$S$325,'Digital Product Summary by COA'!$T$54:$T$325,$A$365,'Digital Product Summary by COA'!$C$54:$C$325,$A417)</f>
        <v>#NAME?</v>
      </c>
      <c r="J417" s="204">
        <v>8483.5381756590541</v>
      </c>
      <c r="K417" s="230"/>
      <c r="Z417" s="15"/>
      <c r="AA417" s="15"/>
      <c r="AB417" s="15"/>
      <c r="AC417" s="15"/>
    </row>
    <row r="418" spans="1:29" ht="15.75" customHeight="1" x14ac:dyDescent="0.3">
      <c r="A418" s="134"/>
      <c r="B418" s="173">
        <f t="shared" ref="B418:E418" si="250">SUBTOTAL(9,B367:B417)</f>
        <v>350471</v>
      </c>
      <c r="C418" s="173">
        <f t="shared" si="250"/>
        <v>287301.44692661532</v>
      </c>
      <c r="D418" s="173">
        <f t="shared" si="250"/>
        <v>-63169.553073384697</v>
      </c>
      <c r="E418" s="173" t="e">
        <f t="shared" ca="1" si="250"/>
        <v>#NAME?</v>
      </c>
      <c r="J418" s="175">
        <f t="shared" ref="J418:K418" si="251">SUBTOTAL(9,J367:J417)</f>
        <v>260558.81583461739</v>
      </c>
      <c r="K418" s="173">
        <f t="shared" si="251"/>
        <v>26742.631091997937</v>
      </c>
      <c r="Z418" s="15"/>
      <c r="AA418" s="15"/>
      <c r="AB418" s="15"/>
      <c r="AC418" s="15"/>
    </row>
    <row r="419" spans="1:29" ht="15.75" customHeight="1" x14ac:dyDescent="0.25">
      <c r="B419" s="145"/>
      <c r="C419" s="145"/>
      <c r="D419" s="145"/>
      <c r="E419" s="50">
        <f ca="1">'Shared Summary by Dept_US$'!C5</f>
        <v>223283.46360153257</v>
      </c>
      <c r="J419" s="13"/>
      <c r="K419" s="145"/>
      <c r="Z419" s="15"/>
      <c r="AA419" s="15"/>
      <c r="AB419" s="15"/>
      <c r="AC419" s="15"/>
    </row>
    <row r="420" spans="1:29" ht="15.75" customHeight="1" x14ac:dyDescent="0.25">
      <c r="B420" s="145"/>
      <c r="C420" s="145"/>
      <c r="D420" s="145"/>
      <c r="E420" s="50" t="e">
        <f ca="1">E418-E419</f>
        <v>#NAME?</v>
      </c>
      <c r="J420" s="13"/>
      <c r="K420" s="145"/>
      <c r="Z420" s="15"/>
      <c r="AA420" s="15"/>
      <c r="AB420" s="15"/>
      <c r="AC420" s="15"/>
    </row>
    <row r="421" spans="1:29" ht="15.75" customHeight="1" x14ac:dyDescent="0.3">
      <c r="A421" s="197" t="s">
        <v>39</v>
      </c>
      <c r="B421" s="92">
        <v>2025</v>
      </c>
      <c r="C421" s="92">
        <v>2025</v>
      </c>
      <c r="D421" s="92">
        <v>2025</v>
      </c>
      <c r="E421" s="92">
        <v>2026</v>
      </c>
      <c r="J421" s="155" t="s">
        <v>15</v>
      </c>
      <c r="K421" s="155" t="s">
        <v>15</v>
      </c>
      <c r="Z421" s="15"/>
      <c r="AA421" s="15"/>
      <c r="AB421" s="15"/>
      <c r="AC421" s="15"/>
    </row>
    <row r="422" spans="1:29" ht="15.75" customHeight="1" x14ac:dyDescent="0.3">
      <c r="A422" s="156" t="s">
        <v>173</v>
      </c>
      <c r="B422" s="94" t="s">
        <v>13</v>
      </c>
      <c r="C422" s="94" t="s">
        <v>142</v>
      </c>
      <c r="D422" s="94" t="s">
        <v>71</v>
      </c>
      <c r="E422" s="92" t="s">
        <v>13</v>
      </c>
      <c r="J422" s="157" t="s">
        <v>143</v>
      </c>
      <c r="K422" s="158">
        <v>45992</v>
      </c>
      <c r="Z422" s="15"/>
      <c r="AA422" s="15"/>
      <c r="AB422" s="15"/>
      <c r="AC422" s="15"/>
    </row>
    <row r="423" spans="1:29" ht="15.75" customHeight="1" collapsed="1" x14ac:dyDescent="0.3">
      <c r="A423" s="159" t="s">
        <v>37</v>
      </c>
      <c r="B423" s="96">
        <f t="shared" ref="B423:E423" si="252">SUBTOTAL(9,B424:B433)</f>
        <v>427252</v>
      </c>
      <c r="C423" s="96">
        <f t="shared" si="252"/>
        <v>302562.97782106162</v>
      </c>
      <c r="D423" s="96">
        <f t="shared" si="252"/>
        <v>-124689.02217893839</v>
      </c>
      <c r="E423" s="96" t="e">
        <f t="shared" ca="1" si="252"/>
        <v>#NAME?</v>
      </c>
      <c r="F423" s="160"/>
      <c r="J423" s="236">
        <f t="shared" ref="J423:K423" si="253">SUBTOTAL(9,J424:J433)</f>
        <v>280906.34818119754</v>
      </c>
      <c r="K423" s="244">
        <f t="shared" si="253"/>
        <v>21656.629639864092</v>
      </c>
      <c r="Z423" s="15"/>
      <c r="AA423" s="15"/>
      <c r="AB423" s="15"/>
      <c r="AC423" s="15"/>
    </row>
    <row r="424" spans="1:29" ht="15.75" hidden="1" customHeight="1" outlineLevel="1" x14ac:dyDescent="0.85">
      <c r="A424" s="162" t="s">
        <v>37</v>
      </c>
      <c r="B424" s="102">
        <v>412641</v>
      </c>
      <c r="C424" s="102">
        <f t="shared" ref="C424:C433" si="254">J424+K424</f>
        <v>297726.64609527052</v>
      </c>
      <c r="D424" s="102">
        <f t="shared" ref="D424:D433" si="255">C424-B424</f>
        <v>-114914.35390472948</v>
      </c>
      <c r="E424" s="102" t="e">
        <f ca="1">SUMIFS('Digital Product Summary by COA'!$S$54:$S$325,'Digital Product Summary by COA'!$T$54:$T$325,$A$422,'Digital Product Summary by COA'!$C$54:$C$325,$A424)</f>
        <v>#NAME?</v>
      </c>
      <c r="J424" s="204">
        <v>276070.01645540644</v>
      </c>
      <c r="K424" s="205">
        <v>21656.629639864092</v>
      </c>
      <c r="Z424" s="15"/>
      <c r="AA424" s="15"/>
      <c r="AB424" s="15"/>
      <c r="AC424" s="15"/>
    </row>
    <row r="425" spans="1:29" ht="15.75" hidden="1" customHeight="1" outlineLevel="1" x14ac:dyDescent="0.85">
      <c r="A425" s="165" t="s">
        <v>72</v>
      </c>
      <c r="B425" s="102">
        <v>14611</v>
      </c>
      <c r="C425" s="102">
        <f t="shared" si="254"/>
        <v>4656.6707551640502</v>
      </c>
      <c r="D425" s="102">
        <f t="shared" si="255"/>
        <v>-9954.3292448359498</v>
      </c>
      <c r="E425" s="102" t="e">
        <f ca="1">SUMIFS('Digital Product Summary by COA'!$S$54:$S$325,'Digital Product Summary by COA'!$T$54:$T$325,$A$422,'Digital Product Summary by COA'!$C$54:$C$325,$A425)</f>
        <v>#NAME?</v>
      </c>
      <c r="J425" s="204">
        <v>4656.6707551640502</v>
      </c>
      <c r="K425" s="230"/>
      <c r="Z425" s="15"/>
      <c r="AA425" s="15"/>
      <c r="AB425" s="15"/>
      <c r="AC425" s="15"/>
    </row>
    <row r="426" spans="1:29" ht="15.75" hidden="1" customHeight="1" outlineLevel="1" x14ac:dyDescent="0.85">
      <c r="A426" s="165" t="s">
        <v>73</v>
      </c>
      <c r="B426" s="102">
        <v>0</v>
      </c>
      <c r="C426" s="102">
        <f t="shared" si="254"/>
        <v>179.66097062701988</v>
      </c>
      <c r="D426" s="102">
        <f t="shared" si="255"/>
        <v>179.66097062701988</v>
      </c>
      <c r="E426" s="102">
        <f ca="1">SUMIFS('Digital Product Summary by COA'!$S$54:$S$325,'Digital Product Summary by COA'!$T$54:$T$325,$A$422,'Digital Product Summary by COA'!$C$54:$C$325,$A426)</f>
        <v>0</v>
      </c>
      <c r="J426" s="204">
        <v>179.66097062701988</v>
      </c>
      <c r="K426" s="230"/>
      <c r="Z426" s="15"/>
      <c r="AA426" s="15"/>
      <c r="AB426" s="15"/>
      <c r="AC426" s="15"/>
    </row>
    <row r="427" spans="1:29" ht="15.75" hidden="1" customHeight="1" outlineLevel="1" x14ac:dyDescent="0.85">
      <c r="A427" s="165" t="s">
        <v>74</v>
      </c>
      <c r="B427" s="102">
        <v>0</v>
      </c>
      <c r="C427" s="102">
        <f t="shared" si="254"/>
        <v>0</v>
      </c>
      <c r="D427" s="102">
        <f t="shared" si="255"/>
        <v>0</v>
      </c>
      <c r="E427" s="102">
        <f ca="1">SUMIFS('Digital Product Summary by COA'!$S$54:$S$325,'Digital Product Summary by COA'!$T$54:$T$325,$A$422,'Digital Product Summary by COA'!$C$54:$C$325,$A427)</f>
        <v>0</v>
      </c>
      <c r="J427" s="213"/>
      <c r="K427" s="230"/>
      <c r="Z427" s="15"/>
      <c r="AA427" s="15"/>
      <c r="AB427" s="15"/>
      <c r="AC427" s="15"/>
    </row>
    <row r="428" spans="1:29" ht="15.75" hidden="1" customHeight="1" outlineLevel="1" x14ac:dyDescent="0.85">
      <c r="A428" s="165" t="s">
        <v>77</v>
      </c>
      <c r="B428" s="102">
        <v>0</v>
      </c>
      <c r="C428" s="102">
        <f t="shared" si="254"/>
        <v>0</v>
      </c>
      <c r="D428" s="102">
        <f t="shared" si="255"/>
        <v>0</v>
      </c>
      <c r="E428" s="102" t="e">
        <f ca="1">SUMIFS('Digital Product Summary by COA'!$S$54:$S$325,'Digital Product Summary by COA'!$T$54:$T$325,$A$422,'Digital Product Summary by COA'!$C$54:$C$325,$A428)</f>
        <v>#NAME?</v>
      </c>
      <c r="J428" s="213"/>
      <c r="K428" s="230"/>
      <c r="Z428" s="15"/>
      <c r="AA428" s="15"/>
      <c r="AB428" s="15"/>
      <c r="AC428" s="15"/>
    </row>
    <row r="429" spans="1:29" ht="15.75" hidden="1" customHeight="1" outlineLevel="1" x14ac:dyDescent="0.85">
      <c r="A429" s="165" t="s">
        <v>78</v>
      </c>
      <c r="B429" s="102">
        <v>0</v>
      </c>
      <c r="C429" s="102">
        <f t="shared" si="254"/>
        <v>0</v>
      </c>
      <c r="D429" s="102">
        <f t="shared" si="255"/>
        <v>0</v>
      </c>
      <c r="E429" s="102">
        <f ca="1">SUMIFS('Digital Product Summary by COA'!$S$54:$S$325,'Digital Product Summary by COA'!$T$54:$T$325,$A$422,'Digital Product Summary by COA'!$C$54:$C$325,$A429)</f>
        <v>0</v>
      </c>
      <c r="J429" s="213"/>
      <c r="K429" s="230"/>
      <c r="Z429" s="15"/>
      <c r="AA429" s="15"/>
      <c r="AB429" s="15"/>
      <c r="AC429" s="15"/>
    </row>
    <row r="430" spans="1:29" ht="15.75" hidden="1" customHeight="1" outlineLevel="1" x14ac:dyDescent="0.85">
      <c r="A430" s="165" t="s">
        <v>79</v>
      </c>
      <c r="B430" s="102">
        <v>0</v>
      </c>
      <c r="C430" s="102">
        <f t="shared" si="254"/>
        <v>0</v>
      </c>
      <c r="D430" s="102">
        <f t="shared" si="255"/>
        <v>0</v>
      </c>
      <c r="E430" s="102">
        <f ca="1">SUMIFS('Digital Product Summary by COA'!$S$54:$S$325,'Digital Product Summary by COA'!$T$54:$T$325,$A$422,'Digital Product Summary by COA'!$C$54:$C$325,$A430)</f>
        <v>0</v>
      </c>
      <c r="J430" s="213"/>
      <c r="K430" s="230"/>
      <c r="Z430" s="15"/>
      <c r="AA430" s="15"/>
      <c r="AB430" s="15"/>
      <c r="AC430" s="15"/>
    </row>
    <row r="431" spans="1:29" ht="15.75" hidden="1" customHeight="1" outlineLevel="1" x14ac:dyDescent="0.85">
      <c r="A431" s="165" t="s">
        <v>80</v>
      </c>
      <c r="B431" s="102">
        <v>0</v>
      </c>
      <c r="C431" s="102">
        <f t="shared" si="254"/>
        <v>0</v>
      </c>
      <c r="D431" s="102">
        <f t="shared" si="255"/>
        <v>0</v>
      </c>
      <c r="E431" s="102">
        <f ca="1">SUMIFS('Digital Product Summary by COA'!$S$54:$S$325,'Digital Product Summary by COA'!$T$54:$T$325,$A$422,'Digital Product Summary by COA'!$C$54:$C$325,$A431)</f>
        <v>0</v>
      </c>
      <c r="J431" s="213"/>
      <c r="K431" s="230"/>
      <c r="Z431" s="15"/>
      <c r="AA431" s="15"/>
      <c r="AB431" s="15"/>
      <c r="AC431" s="15"/>
    </row>
    <row r="432" spans="1:29" ht="15.75" hidden="1" customHeight="1" outlineLevel="1" x14ac:dyDescent="0.85">
      <c r="A432" s="165" t="s">
        <v>82</v>
      </c>
      <c r="B432" s="102">
        <v>0</v>
      </c>
      <c r="C432" s="102">
        <f t="shared" si="254"/>
        <v>0</v>
      </c>
      <c r="D432" s="102">
        <f t="shared" si="255"/>
        <v>0</v>
      </c>
      <c r="E432" s="102">
        <f ca="1">SUMIFS('Digital Product Summary by COA'!$S$54:$S$325,'Digital Product Summary by COA'!$T$54:$T$325,$A$422,'Digital Product Summary by COA'!$C$54:$C$325,$A432)</f>
        <v>0</v>
      </c>
      <c r="J432" s="213"/>
      <c r="K432" s="230"/>
      <c r="Z432" s="15"/>
      <c r="AA432" s="15"/>
      <c r="AB432" s="15"/>
      <c r="AC432" s="15"/>
    </row>
    <row r="433" spans="1:29" ht="15.75" hidden="1" customHeight="1" outlineLevel="1" x14ac:dyDescent="0.85">
      <c r="A433" s="165" t="s">
        <v>83</v>
      </c>
      <c r="B433" s="102">
        <v>0</v>
      </c>
      <c r="C433" s="102">
        <f t="shared" si="254"/>
        <v>0</v>
      </c>
      <c r="D433" s="102">
        <f t="shared" si="255"/>
        <v>0</v>
      </c>
      <c r="E433" s="102">
        <f ca="1">SUMIFS('Digital Product Summary by COA'!$S$54:$S$325,'Digital Product Summary by COA'!$T$54:$T$325,$A$422,'Digital Product Summary by COA'!$C$54:$C$325,$A433)</f>
        <v>0</v>
      </c>
      <c r="J433" s="213"/>
      <c r="K433" s="230"/>
      <c r="Z433" s="15"/>
      <c r="AA433" s="15"/>
      <c r="AB433" s="15"/>
      <c r="AC433" s="15"/>
    </row>
    <row r="434" spans="1:29" ht="15.75" customHeight="1" collapsed="1" x14ac:dyDescent="0.3">
      <c r="A434" s="166" t="s">
        <v>84</v>
      </c>
      <c r="B434" s="168">
        <f t="shared" ref="B434:E434" si="256">SUBTOTAL(9,B435)</f>
        <v>28795</v>
      </c>
      <c r="C434" s="168">
        <f t="shared" si="256"/>
        <v>38792.91325738404</v>
      </c>
      <c r="D434" s="168">
        <f t="shared" si="256"/>
        <v>9997.9132573840398</v>
      </c>
      <c r="E434" s="168" t="e">
        <f t="shared" ca="1" si="256"/>
        <v>#NAME?</v>
      </c>
      <c r="F434" s="160"/>
      <c r="J434" s="245">
        <f t="shared" ref="J434:K434" si="257">SUBTOTAL(9,J435)</f>
        <v>35436.671710917435</v>
      </c>
      <c r="K434" s="168">
        <f t="shared" si="257"/>
        <v>3356.2415464666046</v>
      </c>
      <c r="Z434" s="15"/>
      <c r="AA434" s="15"/>
      <c r="AB434" s="15"/>
      <c r="AC434" s="15"/>
    </row>
    <row r="435" spans="1:29" ht="15.75" hidden="1" customHeight="1" outlineLevel="1" x14ac:dyDescent="0.85">
      <c r="A435" s="165" t="s">
        <v>85</v>
      </c>
      <c r="B435" s="102">
        <v>28795</v>
      </c>
      <c r="C435" s="102">
        <f>J435+K435</f>
        <v>38792.91325738404</v>
      </c>
      <c r="D435" s="102">
        <f>C435-B435</f>
        <v>9997.9132573840398</v>
      </c>
      <c r="E435" s="102" t="e">
        <f ca="1">SUMIFS('Digital Product Summary by COA'!$S$54:$S$325,'Digital Product Summary by COA'!$T$54:$T$325,$A$422,'Digital Product Summary by COA'!$C$54:$C$325,$A435)</f>
        <v>#NAME?</v>
      </c>
      <c r="J435" s="204">
        <v>35436.671710917435</v>
      </c>
      <c r="K435" s="205">
        <v>3356.2415464666046</v>
      </c>
      <c r="Z435" s="15"/>
      <c r="AA435" s="15"/>
      <c r="AB435" s="15"/>
      <c r="AC435" s="15"/>
    </row>
    <row r="436" spans="1:29" ht="15.75" customHeight="1" collapsed="1" x14ac:dyDescent="0.3">
      <c r="A436" s="166" t="s">
        <v>86</v>
      </c>
      <c r="B436" s="168">
        <f t="shared" ref="B436:E436" si="258">SUBTOTAL(9,B437:B442)</f>
        <v>6921</v>
      </c>
      <c r="C436" s="168">
        <f t="shared" si="258"/>
        <v>5544.6191372374442</v>
      </c>
      <c r="D436" s="168">
        <f t="shared" si="258"/>
        <v>-1376.380862762556</v>
      </c>
      <c r="E436" s="168" t="e">
        <f t="shared" ca="1" si="258"/>
        <v>#NAME?</v>
      </c>
      <c r="F436" s="160"/>
      <c r="J436" s="245">
        <f t="shared" ref="J436:K436" si="259">SUBTOTAL(9,J437:J442)</f>
        <v>5393.2461547581443</v>
      </c>
      <c r="K436" s="168">
        <f t="shared" si="259"/>
        <v>151.37298247930039</v>
      </c>
      <c r="Z436" s="15"/>
      <c r="AA436" s="15"/>
      <c r="AB436" s="15"/>
      <c r="AC436" s="15"/>
    </row>
    <row r="437" spans="1:29" ht="15.75" hidden="1" customHeight="1" outlineLevel="1" x14ac:dyDescent="0.85">
      <c r="A437" s="165" t="s">
        <v>88</v>
      </c>
      <c r="B437" s="102">
        <v>1590</v>
      </c>
      <c r="C437" s="102">
        <f t="shared" ref="C437:C442" si="260">J437+K437</f>
        <v>690.07107680413958</v>
      </c>
      <c r="D437" s="102">
        <f t="shared" ref="D437:D442" si="261">C437-B437</f>
        <v>-899.92892319586042</v>
      </c>
      <c r="E437" s="102" t="e">
        <f ca="1">SUMIFS('Digital Product Summary by COA'!$S$54:$S$325,'Digital Product Summary by COA'!$T$54:$T$325,$A$422,'Digital Product Summary by COA'!$C$54:$C$325,$A437)</f>
        <v>#NAME?</v>
      </c>
      <c r="J437" s="204">
        <v>649.64000113991142</v>
      </c>
      <c r="K437" s="205">
        <v>40.431075664228175</v>
      </c>
      <c r="Z437" s="15"/>
      <c r="AA437" s="15"/>
      <c r="AB437" s="15"/>
      <c r="AC437" s="15"/>
    </row>
    <row r="438" spans="1:29" ht="15.75" hidden="1" customHeight="1" outlineLevel="1" x14ac:dyDescent="0.85">
      <c r="A438" s="165" t="s">
        <v>89</v>
      </c>
      <c r="B438" s="102">
        <v>731</v>
      </c>
      <c r="C438" s="102">
        <f t="shared" si="260"/>
        <v>643.30072564106968</v>
      </c>
      <c r="D438" s="102">
        <f t="shared" si="261"/>
        <v>-87.699274358930325</v>
      </c>
      <c r="E438" s="102" t="e">
        <f ca="1">SUMIFS('Digital Product Summary by COA'!$S$54:$S$325,'Digital Product Summary by COA'!$T$54:$T$325,$A$422,'Digital Product Summary by COA'!$C$54:$C$325,$A438)</f>
        <v>#NAME?</v>
      </c>
      <c r="J438" s="204">
        <v>569.76547335798637</v>
      </c>
      <c r="K438" s="205">
        <v>73.53525228308331</v>
      </c>
      <c r="Z438" s="15"/>
      <c r="AA438" s="15"/>
      <c r="AB438" s="15"/>
      <c r="AC438" s="15"/>
    </row>
    <row r="439" spans="1:29" ht="15.75" hidden="1" customHeight="1" outlineLevel="1" x14ac:dyDescent="0.85">
      <c r="A439" s="165" t="s">
        <v>90</v>
      </c>
      <c r="B439" s="102">
        <v>3446</v>
      </c>
      <c r="C439" s="102">
        <f t="shared" si="260"/>
        <v>3828.0087143551864</v>
      </c>
      <c r="D439" s="102">
        <f t="shared" si="261"/>
        <v>382.00871435518638</v>
      </c>
      <c r="E439" s="102" t="e">
        <f ca="1">SUMIFS('Digital Product Summary by COA'!$S$54:$S$325,'Digital Product Summary by COA'!$T$54:$T$325,$A$422,'Digital Product Summary by COA'!$C$54:$C$325,$A439)</f>
        <v>#NAME?</v>
      </c>
      <c r="J439" s="204">
        <v>3807.8728313224419</v>
      </c>
      <c r="K439" s="205">
        <v>20.135883032744609</v>
      </c>
      <c r="Z439" s="15"/>
      <c r="AA439" s="15"/>
      <c r="AB439" s="15"/>
      <c r="AC439" s="15"/>
    </row>
    <row r="440" spans="1:29" ht="15.75" hidden="1" customHeight="1" outlineLevel="1" x14ac:dyDescent="0.85">
      <c r="A440" s="165" t="s">
        <v>91</v>
      </c>
      <c r="B440" s="102">
        <v>669</v>
      </c>
      <c r="C440" s="102">
        <f t="shared" si="260"/>
        <v>156.98263792575682</v>
      </c>
      <c r="D440" s="102">
        <f t="shared" si="261"/>
        <v>-512.01736207424324</v>
      </c>
      <c r="E440" s="102" t="e">
        <f ca="1">SUMIFS('Digital Product Summary by COA'!$S$54:$S$325,'Digital Product Summary by COA'!$T$54:$T$325,$A$422,'Digital Product Summary by COA'!$C$54:$C$325,$A440)</f>
        <v>#NAME?</v>
      </c>
      <c r="J440" s="204">
        <v>150.08712779382296</v>
      </c>
      <c r="K440" s="205">
        <v>6.8955101319338548</v>
      </c>
      <c r="Z440" s="15"/>
      <c r="AA440" s="15"/>
      <c r="AB440" s="15"/>
      <c r="AC440" s="15"/>
    </row>
    <row r="441" spans="1:29" ht="15.75" hidden="1" customHeight="1" outlineLevel="1" x14ac:dyDescent="0.85">
      <c r="A441" s="165" t="s">
        <v>92</v>
      </c>
      <c r="B441" s="102">
        <v>102</v>
      </c>
      <c r="C441" s="102">
        <f t="shared" si="260"/>
        <v>225.73415415229985</v>
      </c>
      <c r="D441" s="102">
        <f t="shared" si="261"/>
        <v>123.73415415229985</v>
      </c>
      <c r="E441" s="102" t="e">
        <f ca="1">SUMIFS('Digital Product Summary by COA'!$S$54:$S$325,'Digital Product Summary by COA'!$T$54:$T$325,$A$422,'Digital Product Summary by COA'!$C$54:$C$325,$A441)</f>
        <v>#NAME?</v>
      </c>
      <c r="J441" s="204">
        <v>215.35889278498942</v>
      </c>
      <c r="K441" s="205">
        <v>10.375261367310431</v>
      </c>
      <c r="Z441" s="15"/>
      <c r="AA441" s="15"/>
      <c r="AB441" s="15"/>
      <c r="AC441" s="15"/>
    </row>
    <row r="442" spans="1:29" ht="15.75" hidden="1" customHeight="1" outlineLevel="1" x14ac:dyDescent="0.85">
      <c r="A442" s="165" t="s">
        <v>93</v>
      </c>
      <c r="B442" s="102">
        <v>383</v>
      </c>
      <c r="C442" s="102">
        <f t="shared" si="260"/>
        <v>0.52182835899159841</v>
      </c>
      <c r="D442" s="102">
        <f t="shared" si="261"/>
        <v>-382.47817164100843</v>
      </c>
      <c r="E442" s="102" t="e">
        <f ca="1">SUMIFS('Digital Product Summary by COA'!$S$54:$S$325,'Digital Product Summary by COA'!$T$54:$T$325,$A$422,'Digital Product Summary by COA'!$C$54:$C$325,$A442)</f>
        <v>#NAME?</v>
      </c>
      <c r="J442" s="204">
        <v>0.52182835899159841</v>
      </c>
      <c r="K442" s="230"/>
      <c r="Z442" s="15"/>
      <c r="AA442" s="15"/>
      <c r="AB442" s="15"/>
      <c r="AC442" s="15"/>
    </row>
    <row r="443" spans="1:29" ht="15.75" customHeight="1" collapsed="1" x14ac:dyDescent="0.3">
      <c r="A443" s="166" t="s">
        <v>94</v>
      </c>
      <c r="B443" s="168">
        <f t="shared" ref="B443:E443" si="262">SUBTOTAL(9,B444:B448)</f>
        <v>0</v>
      </c>
      <c r="C443" s="168">
        <f t="shared" si="262"/>
        <v>38.980101899132322</v>
      </c>
      <c r="D443" s="168">
        <f t="shared" si="262"/>
        <v>38.980101899132322</v>
      </c>
      <c r="E443" s="168" t="e">
        <f t="shared" ca="1" si="262"/>
        <v>#NAME?</v>
      </c>
      <c r="J443" s="245">
        <f t="shared" ref="J443:K443" si="263">SUBTOTAL(9,J444:J448)</f>
        <v>38.980101899132322</v>
      </c>
      <c r="K443" s="168">
        <f t="shared" si="263"/>
        <v>0</v>
      </c>
      <c r="Z443" s="15"/>
      <c r="AA443" s="15"/>
      <c r="AB443" s="15"/>
      <c r="AC443" s="15"/>
    </row>
    <row r="444" spans="1:29" ht="15.75" hidden="1" customHeight="1" outlineLevel="1" x14ac:dyDescent="0.85">
      <c r="A444" s="165" t="s">
        <v>95</v>
      </c>
      <c r="B444" s="225">
        <v>0</v>
      </c>
      <c r="C444" s="102">
        <f t="shared" ref="C444:C448" si="264">J444+K444</f>
        <v>0</v>
      </c>
      <c r="D444" s="102">
        <f t="shared" ref="D444:D448" si="265">C444-B444</f>
        <v>0</v>
      </c>
      <c r="E444" s="102" t="e">
        <f ca="1">SUMIFS('Digital Product Summary by COA'!$S$54:$S$325,'Digital Product Summary by COA'!$T$54:$T$325,$A$422,'Digital Product Summary by COA'!$C$54:$C$325,$A444)</f>
        <v>#NAME?</v>
      </c>
      <c r="J444" s="213"/>
      <c r="K444" s="230"/>
      <c r="Z444" s="15"/>
      <c r="AA444" s="15"/>
      <c r="AB444" s="15"/>
      <c r="AC444" s="15"/>
    </row>
    <row r="445" spans="1:29" ht="15.75" hidden="1" customHeight="1" outlineLevel="1" x14ac:dyDescent="0.85">
      <c r="A445" s="165" t="s">
        <v>96</v>
      </c>
      <c r="B445" s="225">
        <v>0</v>
      </c>
      <c r="C445" s="102">
        <f t="shared" si="264"/>
        <v>0</v>
      </c>
      <c r="D445" s="102">
        <f t="shared" si="265"/>
        <v>0</v>
      </c>
      <c r="E445" s="102">
        <f ca="1">SUMIFS('Digital Product Summary by COA'!$S$54:$S$325,'Digital Product Summary by COA'!$T$54:$T$325,$A$422,'Digital Product Summary by COA'!$C$54:$C$325,$A445)</f>
        <v>0</v>
      </c>
      <c r="J445" s="213"/>
      <c r="K445" s="230"/>
      <c r="Z445" s="15"/>
      <c r="AA445" s="15"/>
      <c r="AB445" s="15"/>
      <c r="AC445" s="15"/>
    </row>
    <row r="446" spans="1:29" ht="15.75" hidden="1" customHeight="1" outlineLevel="1" x14ac:dyDescent="0.85">
      <c r="A446" s="165" t="s">
        <v>97</v>
      </c>
      <c r="B446" s="225">
        <v>0</v>
      </c>
      <c r="C446" s="102">
        <f t="shared" si="264"/>
        <v>0</v>
      </c>
      <c r="D446" s="102">
        <f t="shared" si="265"/>
        <v>0</v>
      </c>
      <c r="E446" s="102">
        <f ca="1">SUMIFS('Digital Product Summary by COA'!$S$54:$S$325,'Digital Product Summary by COA'!$T$54:$T$325,$A$422,'Digital Product Summary by COA'!$C$54:$C$325,$A446)</f>
        <v>0</v>
      </c>
      <c r="J446" s="213"/>
      <c r="K446" s="230"/>
      <c r="Z446" s="15"/>
      <c r="AA446" s="15"/>
      <c r="AB446" s="15"/>
      <c r="AC446" s="15"/>
    </row>
    <row r="447" spans="1:29" ht="15.75" hidden="1" customHeight="1" outlineLevel="1" x14ac:dyDescent="0.85">
      <c r="A447" s="165" t="s">
        <v>98</v>
      </c>
      <c r="B447" s="225">
        <v>0</v>
      </c>
      <c r="C447" s="102">
        <f t="shared" si="264"/>
        <v>0</v>
      </c>
      <c r="D447" s="102">
        <f t="shared" si="265"/>
        <v>0</v>
      </c>
      <c r="E447" s="102">
        <f ca="1">SUMIFS('Digital Product Summary by COA'!$S$54:$S$325,'Digital Product Summary by COA'!$T$54:$T$325,$A$422,'Digital Product Summary by COA'!$C$54:$C$325,$A447)</f>
        <v>0</v>
      </c>
      <c r="J447" s="213"/>
      <c r="K447" s="230"/>
      <c r="Z447" s="15"/>
      <c r="AA447" s="15"/>
      <c r="AB447" s="15"/>
      <c r="AC447" s="15"/>
    </row>
    <row r="448" spans="1:29" ht="15.75" hidden="1" customHeight="1" outlineLevel="1" x14ac:dyDescent="0.85">
      <c r="A448" s="165" t="s">
        <v>99</v>
      </c>
      <c r="B448" s="225">
        <v>0</v>
      </c>
      <c r="C448" s="102">
        <f t="shared" si="264"/>
        <v>38.980101899132322</v>
      </c>
      <c r="D448" s="102">
        <f t="shared" si="265"/>
        <v>38.980101899132322</v>
      </c>
      <c r="E448" s="102" t="e">
        <f ca="1">SUMIFS('Digital Product Summary by COA'!$S$54:$S$325,'Digital Product Summary by COA'!$T$54:$T$325,$A$422,'Digital Product Summary by COA'!$C$54:$C$325,$A448)</f>
        <v>#NAME?</v>
      </c>
      <c r="J448" s="204">
        <v>38.980101899132322</v>
      </c>
      <c r="K448" s="230"/>
      <c r="Z448" s="15"/>
      <c r="AA448" s="15"/>
      <c r="AB448" s="15"/>
      <c r="AC448" s="15"/>
    </row>
    <row r="449" spans="1:29" ht="15.75" customHeight="1" collapsed="1" x14ac:dyDescent="0.3">
      <c r="A449" s="166" t="s">
        <v>100</v>
      </c>
      <c r="B449" s="168">
        <f t="shared" ref="B449:E449" si="266">SUBTOTAL(9,B450:B452)</f>
        <v>0</v>
      </c>
      <c r="C449" s="168">
        <f t="shared" si="266"/>
        <v>0.16911617666883139</v>
      </c>
      <c r="D449" s="168">
        <f t="shared" si="266"/>
        <v>0.16911617666883139</v>
      </c>
      <c r="E449" s="168" t="e">
        <f t="shared" ca="1" si="266"/>
        <v>#NAME?</v>
      </c>
      <c r="J449" s="245">
        <f t="shared" ref="J449:K449" si="267">SUBTOTAL(9,J450:J452)</f>
        <v>0.16911617666883139</v>
      </c>
      <c r="K449" s="168">
        <f t="shared" si="267"/>
        <v>0</v>
      </c>
      <c r="Z449" s="15"/>
      <c r="AA449" s="15"/>
      <c r="AB449" s="15"/>
      <c r="AC449" s="15"/>
    </row>
    <row r="450" spans="1:29" ht="15.75" hidden="1" customHeight="1" outlineLevel="1" x14ac:dyDescent="0.85">
      <c r="A450" s="165" t="s">
        <v>101</v>
      </c>
      <c r="B450" s="225">
        <v>0</v>
      </c>
      <c r="C450" s="102">
        <f t="shared" ref="C450:C452" si="268">J450+K450</f>
        <v>0</v>
      </c>
      <c r="D450" s="102">
        <f t="shared" ref="D450:D452" si="269">C450-B450</f>
        <v>0</v>
      </c>
      <c r="E450" s="102" t="e">
        <f ca="1">SUMIFS('Digital Product Summary by COA'!$S$54:$S$325,'Digital Product Summary by COA'!$T$54:$T$325,$A$422,'Digital Product Summary by COA'!$C$54:$C$325,$A450)</f>
        <v>#NAME?</v>
      </c>
      <c r="J450" s="213"/>
      <c r="K450" s="230"/>
      <c r="Z450" s="15"/>
      <c r="AA450" s="15"/>
      <c r="AB450" s="15"/>
      <c r="AC450" s="15"/>
    </row>
    <row r="451" spans="1:29" ht="15.75" hidden="1" customHeight="1" outlineLevel="1" x14ac:dyDescent="0.85">
      <c r="A451" s="165" t="s">
        <v>103</v>
      </c>
      <c r="B451" s="225">
        <v>0</v>
      </c>
      <c r="C451" s="102">
        <f t="shared" si="268"/>
        <v>0</v>
      </c>
      <c r="D451" s="102">
        <f t="shared" si="269"/>
        <v>0</v>
      </c>
      <c r="E451" s="102" t="e">
        <f ca="1">SUMIFS('Digital Product Summary by COA'!$S$54:$S$325,'Digital Product Summary by COA'!$T$54:$T$325,$A$422,'Digital Product Summary by COA'!$C$54:$C$325,$A451)</f>
        <v>#NAME?</v>
      </c>
      <c r="J451" s="213"/>
      <c r="K451" s="230"/>
      <c r="Z451" s="15"/>
      <c r="AA451" s="15"/>
      <c r="AB451" s="15"/>
      <c r="AC451" s="15"/>
    </row>
    <row r="452" spans="1:29" ht="15.75" hidden="1" customHeight="1" outlineLevel="1" x14ac:dyDescent="0.85">
      <c r="A452" s="165" t="s">
        <v>104</v>
      </c>
      <c r="B452" s="225">
        <v>0</v>
      </c>
      <c r="C452" s="102">
        <f t="shared" si="268"/>
        <v>0.16911617666883139</v>
      </c>
      <c r="D452" s="102">
        <f t="shared" si="269"/>
        <v>0.16911617666883139</v>
      </c>
      <c r="E452" s="102" t="e">
        <f ca="1">SUMIFS('Digital Product Summary by COA'!$S$54:$S$325,'Digital Product Summary by COA'!$T$54:$T$325,$A$422,'Digital Product Summary by COA'!$C$54:$C$325,$A452)</f>
        <v>#NAME?</v>
      </c>
      <c r="J452" s="204">
        <v>0.16911617666883139</v>
      </c>
      <c r="K452" s="205"/>
      <c r="Z452" s="15"/>
      <c r="AA452" s="15"/>
      <c r="AB452" s="15"/>
      <c r="AC452" s="15"/>
    </row>
    <row r="453" spans="1:29" ht="15.75" customHeight="1" collapsed="1" x14ac:dyDescent="0.3">
      <c r="A453" s="166" t="s">
        <v>105</v>
      </c>
      <c r="B453" s="168">
        <f t="shared" ref="B453:E453" si="270">SUBTOTAL(9,B454:B468)</f>
        <v>383</v>
      </c>
      <c r="C453" s="168">
        <f t="shared" si="270"/>
        <v>1974.9314120103752</v>
      </c>
      <c r="D453" s="168">
        <f t="shared" si="270"/>
        <v>1591.9314120103752</v>
      </c>
      <c r="E453" s="168" t="e">
        <f t="shared" ca="1" si="270"/>
        <v>#NAME?</v>
      </c>
      <c r="J453" s="245">
        <f t="shared" ref="J453:K453" si="271">SUBTOTAL(9,J454:J468)</f>
        <v>1739.9945037577129</v>
      </c>
      <c r="K453" s="168">
        <f t="shared" si="271"/>
        <v>234.93690825266233</v>
      </c>
      <c r="Z453" s="15"/>
      <c r="AA453" s="15"/>
      <c r="AB453" s="15"/>
      <c r="AC453" s="15"/>
    </row>
    <row r="454" spans="1:29" ht="15.75" hidden="1" customHeight="1" outlineLevel="1" x14ac:dyDescent="0.85">
      <c r="A454" s="165" t="s">
        <v>110</v>
      </c>
      <c r="B454" s="102">
        <v>383</v>
      </c>
      <c r="C454" s="102">
        <f t="shared" ref="C454:C468" si="272">J454+K454</f>
        <v>1927.5222726667878</v>
      </c>
      <c r="D454" s="102">
        <f t="shared" ref="D454:D468" si="273">C454-B454</f>
        <v>1544.5222726667878</v>
      </c>
      <c r="E454" s="102" t="e">
        <f ca="1">SUMIFS('Digital Product Summary by COA'!$S$54:$S$325,'Digital Product Summary by COA'!$T$54:$T$325,$A$422,'Digital Product Summary by COA'!$C$54:$C$325,$A454)</f>
        <v>#NAME?</v>
      </c>
      <c r="J454" s="204">
        <v>1692.5853644141255</v>
      </c>
      <c r="K454" s="205">
        <v>234.93690825266233</v>
      </c>
      <c r="Z454" s="15"/>
      <c r="AA454" s="15"/>
      <c r="AB454" s="15"/>
      <c r="AC454" s="15"/>
    </row>
    <row r="455" spans="1:29" ht="15.75" hidden="1" customHeight="1" outlineLevel="1" x14ac:dyDescent="0.85">
      <c r="A455" s="165" t="s">
        <v>111</v>
      </c>
      <c r="B455" s="102">
        <v>0</v>
      </c>
      <c r="C455" s="102">
        <f t="shared" si="272"/>
        <v>0</v>
      </c>
      <c r="D455" s="102">
        <f t="shared" si="273"/>
        <v>0</v>
      </c>
      <c r="E455" s="102">
        <f ca="1">SUMIFS('Digital Product Summary by COA'!$S$54:$S$325,'Digital Product Summary by COA'!$T$54:$T$325,$A$422,'Digital Product Summary by COA'!$C$54:$C$325,$A455)</f>
        <v>0</v>
      </c>
      <c r="J455" s="213"/>
      <c r="K455" s="230"/>
      <c r="Z455" s="15"/>
      <c r="AA455" s="15"/>
      <c r="AB455" s="15"/>
      <c r="AC455" s="15"/>
    </row>
    <row r="456" spans="1:29" ht="15.75" hidden="1" customHeight="1" outlineLevel="1" x14ac:dyDescent="0.85">
      <c r="A456" s="165" t="s">
        <v>112</v>
      </c>
      <c r="B456" s="102">
        <v>0</v>
      </c>
      <c r="C456" s="102">
        <f t="shared" si="272"/>
        <v>0</v>
      </c>
      <c r="D456" s="102">
        <f t="shared" si="273"/>
        <v>0</v>
      </c>
      <c r="E456" s="102">
        <f ca="1">SUMIFS('Digital Product Summary by COA'!$S$54:$S$325,'Digital Product Summary by COA'!$T$54:$T$325,$A$422,'Digital Product Summary by COA'!$C$54:$C$325,$A456)</f>
        <v>0</v>
      </c>
      <c r="J456" s="213"/>
      <c r="K456" s="230"/>
      <c r="Z456" s="15"/>
      <c r="AA456" s="15"/>
      <c r="AB456" s="15"/>
      <c r="AC456" s="15"/>
    </row>
    <row r="457" spans="1:29" ht="15.75" hidden="1" customHeight="1" outlineLevel="1" x14ac:dyDescent="0.85">
      <c r="A457" s="165" t="s">
        <v>113</v>
      </c>
      <c r="B457" s="102">
        <v>0</v>
      </c>
      <c r="C457" s="102">
        <f t="shared" si="272"/>
        <v>0</v>
      </c>
      <c r="D457" s="102">
        <f t="shared" si="273"/>
        <v>0</v>
      </c>
      <c r="E457" s="102" t="e">
        <f ca="1">SUMIFS('Digital Product Summary by COA'!$S$54:$S$325,'Digital Product Summary by COA'!$T$54:$T$325,$A$422,'Digital Product Summary by COA'!$C$54:$C$325,$A457)</f>
        <v>#NAME?</v>
      </c>
      <c r="J457" s="213"/>
      <c r="K457" s="230"/>
      <c r="Z457" s="15"/>
      <c r="AA457" s="15"/>
      <c r="AB457" s="15"/>
      <c r="AC457" s="15"/>
    </row>
    <row r="458" spans="1:29" ht="15.75" hidden="1" customHeight="1" outlineLevel="1" x14ac:dyDescent="0.85">
      <c r="A458" s="165" t="s">
        <v>114</v>
      </c>
      <c r="B458" s="102">
        <v>0</v>
      </c>
      <c r="C458" s="102">
        <f t="shared" si="272"/>
        <v>47.409139343587476</v>
      </c>
      <c r="D458" s="102">
        <f t="shared" si="273"/>
        <v>47.409139343587476</v>
      </c>
      <c r="E458" s="102" t="e">
        <f ca="1">SUMIFS('Digital Product Summary by COA'!$S$54:$S$325,'Digital Product Summary by COA'!$T$54:$T$325,$A$422,'Digital Product Summary by COA'!$C$54:$C$325,$A458)</f>
        <v>#NAME?</v>
      </c>
      <c r="J458" s="204">
        <v>47.409139343587476</v>
      </c>
      <c r="K458" s="230"/>
      <c r="Z458" s="15"/>
      <c r="AA458" s="15"/>
      <c r="AB458" s="15"/>
      <c r="AC458" s="15"/>
    </row>
    <row r="459" spans="1:29" ht="15.75" hidden="1" customHeight="1" outlineLevel="1" x14ac:dyDescent="0.85">
      <c r="A459" s="165" t="s">
        <v>115</v>
      </c>
      <c r="B459" s="102">
        <v>0</v>
      </c>
      <c r="C459" s="102">
        <f t="shared" si="272"/>
        <v>0</v>
      </c>
      <c r="D459" s="102">
        <f t="shared" si="273"/>
        <v>0</v>
      </c>
      <c r="E459" s="102">
        <f ca="1">SUMIFS('Digital Product Summary by COA'!$S$54:$S$325,'Digital Product Summary by COA'!$T$54:$T$325,$A$422,'Digital Product Summary by COA'!$C$54:$C$325,$A459)</f>
        <v>0</v>
      </c>
      <c r="J459" s="213"/>
      <c r="K459" s="230"/>
      <c r="Z459" s="15"/>
      <c r="AA459" s="15"/>
      <c r="AB459" s="15"/>
      <c r="AC459" s="15"/>
    </row>
    <row r="460" spans="1:29" ht="15.75" hidden="1" customHeight="1" outlineLevel="1" x14ac:dyDescent="0.85">
      <c r="A460" s="165" t="s">
        <v>117</v>
      </c>
      <c r="B460" s="102">
        <v>0</v>
      </c>
      <c r="C460" s="102">
        <f t="shared" si="272"/>
        <v>0</v>
      </c>
      <c r="D460" s="102">
        <f t="shared" si="273"/>
        <v>0</v>
      </c>
      <c r="E460" s="102">
        <f ca="1">SUMIFS('Digital Product Summary by COA'!$S$54:$S$325,'Digital Product Summary by COA'!$T$54:$T$325,$A$422,'Digital Product Summary by COA'!$C$54:$C$325,$A460)</f>
        <v>0</v>
      </c>
      <c r="J460" s="213"/>
      <c r="K460" s="230"/>
      <c r="Z460" s="15"/>
      <c r="AA460" s="15"/>
      <c r="AB460" s="15"/>
      <c r="AC460" s="15"/>
    </row>
    <row r="461" spans="1:29" ht="15.75" hidden="1" customHeight="1" outlineLevel="1" x14ac:dyDescent="0.85">
      <c r="A461" s="165" t="s">
        <v>118</v>
      </c>
      <c r="B461" s="102">
        <v>0</v>
      </c>
      <c r="C461" s="102">
        <f t="shared" si="272"/>
        <v>0</v>
      </c>
      <c r="D461" s="102">
        <f t="shared" si="273"/>
        <v>0</v>
      </c>
      <c r="E461" s="102">
        <f ca="1">SUMIFS('Digital Product Summary by COA'!$S$54:$S$325,'Digital Product Summary by COA'!$T$54:$T$325,$A$422,'Digital Product Summary by COA'!$C$54:$C$325,$A461)</f>
        <v>0</v>
      </c>
      <c r="J461" s="213"/>
      <c r="K461" s="230"/>
      <c r="Z461" s="15"/>
      <c r="AA461" s="15"/>
      <c r="AB461" s="15"/>
      <c r="AC461" s="15"/>
    </row>
    <row r="462" spans="1:29" ht="15.75" hidden="1" customHeight="1" outlineLevel="1" x14ac:dyDescent="0.85">
      <c r="A462" s="165" t="s">
        <v>119</v>
      </c>
      <c r="B462" s="102">
        <v>0</v>
      </c>
      <c r="C462" s="102">
        <f t="shared" si="272"/>
        <v>0</v>
      </c>
      <c r="D462" s="102">
        <f t="shared" si="273"/>
        <v>0</v>
      </c>
      <c r="E462" s="102">
        <f ca="1">SUMIFS('Digital Product Summary by COA'!$S$54:$S$325,'Digital Product Summary by COA'!$T$54:$T$325,$A$422,'Digital Product Summary by COA'!$C$54:$C$325,$A462)</f>
        <v>0</v>
      </c>
      <c r="J462" s="213"/>
      <c r="K462" s="230"/>
      <c r="Z462" s="15"/>
      <c r="AA462" s="15"/>
      <c r="AB462" s="15"/>
      <c r="AC462" s="15"/>
    </row>
    <row r="463" spans="1:29" ht="15.75" hidden="1" customHeight="1" outlineLevel="1" x14ac:dyDescent="0.85">
      <c r="A463" s="165" t="s">
        <v>120</v>
      </c>
      <c r="B463" s="102">
        <v>0</v>
      </c>
      <c r="C463" s="102">
        <f t="shared" si="272"/>
        <v>0</v>
      </c>
      <c r="D463" s="102">
        <f t="shared" si="273"/>
        <v>0</v>
      </c>
      <c r="E463" s="102">
        <f ca="1">SUMIFS('Digital Product Summary by COA'!$S$54:$S$325,'Digital Product Summary by COA'!$T$54:$T$325,$A$422,'Digital Product Summary by COA'!$C$54:$C$325,$A463)</f>
        <v>0</v>
      </c>
      <c r="J463" s="213"/>
      <c r="K463" s="230"/>
      <c r="Z463" s="15"/>
      <c r="AA463" s="15"/>
      <c r="AB463" s="15"/>
      <c r="AC463" s="15"/>
    </row>
    <row r="464" spans="1:29" ht="15.75" hidden="1" customHeight="1" outlineLevel="1" x14ac:dyDescent="0.85">
      <c r="A464" s="165" t="s">
        <v>121</v>
      </c>
      <c r="B464" s="102">
        <v>0</v>
      </c>
      <c r="C464" s="102">
        <f t="shared" si="272"/>
        <v>0</v>
      </c>
      <c r="D464" s="102">
        <f t="shared" si="273"/>
        <v>0</v>
      </c>
      <c r="E464" s="102">
        <f ca="1">SUMIFS('Digital Product Summary by COA'!$S$54:$S$325,'Digital Product Summary by COA'!$T$54:$T$325,$A$422,'Digital Product Summary by COA'!$C$54:$C$325,$A464)</f>
        <v>0</v>
      </c>
      <c r="J464" s="213"/>
      <c r="K464" s="230"/>
      <c r="Z464" s="15"/>
      <c r="AA464" s="15"/>
      <c r="AB464" s="15"/>
      <c r="AC464" s="15"/>
    </row>
    <row r="465" spans="1:29" ht="15.75" hidden="1" customHeight="1" outlineLevel="1" x14ac:dyDescent="0.85">
      <c r="A465" s="165" t="s">
        <v>122</v>
      </c>
      <c r="B465" s="102">
        <v>0</v>
      </c>
      <c r="C465" s="102">
        <f t="shared" si="272"/>
        <v>0</v>
      </c>
      <c r="D465" s="102">
        <f t="shared" si="273"/>
        <v>0</v>
      </c>
      <c r="E465" s="102">
        <f ca="1">SUMIFS('Digital Product Summary by COA'!$S$54:$S$325,'Digital Product Summary by COA'!$T$54:$T$325,$A$422,'Digital Product Summary by COA'!$C$54:$C$325,$A465)</f>
        <v>0</v>
      </c>
      <c r="J465" s="213"/>
      <c r="K465" s="230"/>
      <c r="Z465" s="15"/>
      <c r="AA465" s="15"/>
      <c r="AB465" s="15"/>
      <c r="AC465" s="15"/>
    </row>
    <row r="466" spans="1:29" ht="15.75" hidden="1" customHeight="1" outlineLevel="1" x14ac:dyDescent="0.85">
      <c r="A466" s="165" t="s">
        <v>144</v>
      </c>
      <c r="B466" s="102">
        <v>0</v>
      </c>
      <c r="C466" s="102">
        <f t="shared" si="272"/>
        <v>0</v>
      </c>
      <c r="D466" s="102">
        <f t="shared" si="273"/>
        <v>0</v>
      </c>
      <c r="E466" s="102">
        <f ca="1">SUMIFS('Digital Product Summary by COA'!$S$54:$S$325,'Digital Product Summary by COA'!$T$54:$T$325,$A$422,'Digital Product Summary by COA'!$C$54:$C$325,$A466)</f>
        <v>0</v>
      </c>
      <c r="J466" s="213"/>
      <c r="K466" s="230"/>
      <c r="Z466" s="15"/>
      <c r="AA466" s="15"/>
      <c r="AB466" s="15"/>
      <c r="AC466" s="15"/>
    </row>
    <row r="467" spans="1:29" ht="15.75" hidden="1" customHeight="1" outlineLevel="1" x14ac:dyDescent="0.25">
      <c r="A467" s="129" t="s">
        <v>124</v>
      </c>
      <c r="B467" s="102">
        <v>0</v>
      </c>
      <c r="C467" s="102">
        <f t="shared" si="272"/>
        <v>0</v>
      </c>
      <c r="D467" s="102">
        <f t="shared" si="273"/>
        <v>0</v>
      </c>
      <c r="E467" s="102">
        <f ca="1">SUMIFS('Digital Product Summary by COA'!$S$54:$S$325,'Digital Product Summary by COA'!$T$54:$T$325,$A$422,'Digital Product Summary by COA'!$C$54:$C$325,$A467)</f>
        <v>0</v>
      </c>
      <c r="J467" s="213"/>
      <c r="K467" s="230"/>
      <c r="Z467" s="15"/>
      <c r="AA467" s="15"/>
      <c r="AB467" s="15"/>
      <c r="AC467" s="15"/>
    </row>
    <row r="468" spans="1:29" ht="15.75" hidden="1" customHeight="1" outlineLevel="1" x14ac:dyDescent="0.25">
      <c r="A468" s="129" t="s">
        <v>125</v>
      </c>
      <c r="B468" s="102">
        <v>0</v>
      </c>
      <c r="C468" s="102">
        <f t="shared" si="272"/>
        <v>0</v>
      </c>
      <c r="D468" s="102">
        <f t="shared" si="273"/>
        <v>0</v>
      </c>
      <c r="E468" s="102">
        <f ca="1">SUMIFS('Digital Product Summary by COA'!$S$54:$S$325,'Digital Product Summary by COA'!$T$54:$T$325,$A$422,'Digital Product Summary by COA'!$C$54:$C$325,$A468)</f>
        <v>0</v>
      </c>
      <c r="J468" s="213"/>
      <c r="K468" s="230"/>
      <c r="Z468" s="15"/>
      <c r="AA468" s="15"/>
      <c r="AB468" s="15"/>
      <c r="AC468" s="15"/>
    </row>
    <row r="469" spans="1:29" ht="15.75" customHeight="1" collapsed="1" x14ac:dyDescent="0.3">
      <c r="A469" s="166" t="s">
        <v>126</v>
      </c>
      <c r="B469" s="168">
        <f t="shared" ref="B469:E469" si="274">SUBTOTAL(9,B470:B472)</f>
        <v>0</v>
      </c>
      <c r="C469" s="168">
        <f t="shared" si="274"/>
        <v>0</v>
      </c>
      <c r="D469" s="168">
        <f t="shared" si="274"/>
        <v>0</v>
      </c>
      <c r="E469" s="168" t="e">
        <f t="shared" ca="1" si="274"/>
        <v>#NAME?</v>
      </c>
      <c r="J469" s="245">
        <f t="shared" ref="J469:K469" si="275">SUBTOTAL(9,J470:J472)</f>
        <v>0</v>
      </c>
      <c r="K469" s="168">
        <f t="shared" si="275"/>
        <v>0</v>
      </c>
      <c r="Z469" s="15"/>
      <c r="AA469" s="15"/>
      <c r="AB469" s="15"/>
      <c r="AC469" s="15"/>
    </row>
    <row r="470" spans="1:29" ht="15.75" hidden="1" customHeight="1" outlineLevel="1" x14ac:dyDescent="0.25">
      <c r="A470" s="129" t="s">
        <v>128</v>
      </c>
      <c r="B470" s="225">
        <v>0</v>
      </c>
      <c r="C470" s="102">
        <f t="shared" ref="C470:C472" si="276">J470+K470</f>
        <v>0</v>
      </c>
      <c r="D470" s="102">
        <f t="shared" ref="D470:D472" si="277">C470-B470</f>
        <v>0</v>
      </c>
      <c r="E470" s="102">
        <f ca="1">SUMIFS('Digital Product Summary by COA'!$S$54:$S$325,'Digital Product Summary by COA'!$T$54:$T$325,$A$422,'Digital Product Summary by COA'!$C$54:$C$325,$A470)</f>
        <v>0</v>
      </c>
      <c r="J470" s="213"/>
      <c r="K470" s="230"/>
      <c r="Z470" s="15"/>
      <c r="AA470" s="15"/>
      <c r="AB470" s="15"/>
      <c r="AC470" s="15"/>
    </row>
    <row r="471" spans="1:29" ht="15.75" hidden="1" customHeight="1" outlineLevel="1" x14ac:dyDescent="0.25">
      <c r="A471" s="129" t="s">
        <v>129</v>
      </c>
      <c r="B471" s="225">
        <v>0</v>
      </c>
      <c r="C471" s="102">
        <f t="shared" si="276"/>
        <v>0</v>
      </c>
      <c r="D471" s="102">
        <f t="shared" si="277"/>
        <v>0</v>
      </c>
      <c r="E471" s="102">
        <f ca="1">SUMIFS('Digital Product Summary by COA'!$S$54:$S$325,'Digital Product Summary by COA'!$T$54:$T$325,$A$422,'Digital Product Summary by COA'!$C$54:$C$325,$A471)</f>
        <v>0</v>
      </c>
      <c r="J471" s="213"/>
      <c r="K471" s="230"/>
      <c r="Z471" s="15"/>
      <c r="AA471" s="15"/>
      <c r="AB471" s="15"/>
      <c r="AC471" s="15"/>
    </row>
    <row r="472" spans="1:29" ht="15.75" hidden="1" customHeight="1" outlineLevel="1" x14ac:dyDescent="0.25">
      <c r="A472" s="129" t="s">
        <v>134</v>
      </c>
      <c r="B472" s="225">
        <v>0</v>
      </c>
      <c r="C472" s="102">
        <f t="shared" si="276"/>
        <v>0</v>
      </c>
      <c r="D472" s="102">
        <f t="shared" si="277"/>
        <v>0</v>
      </c>
      <c r="E472" s="102" t="e">
        <f ca="1">SUMIFS('Digital Product Summary by COA'!$S$54:$S$325,'Digital Product Summary by COA'!$T$54:$T$325,$A$422,'Digital Product Summary by COA'!$C$54:$C$325,$A472)</f>
        <v>#NAME?</v>
      </c>
      <c r="J472" s="213"/>
      <c r="K472" s="230"/>
      <c r="Z472" s="15"/>
      <c r="AA472" s="15"/>
      <c r="AB472" s="15"/>
      <c r="AC472" s="15"/>
    </row>
    <row r="473" spans="1:29" ht="15.75" customHeight="1" collapsed="1" x14ac:dyDescent="0.3">
      <c r="A473" s="166" t="s">
        <v>135</v>
      </c>
      <c r="B473" s="168">
        <f t="shared" ref="B473:E473" si="278">SUBTOTAL(9,B474)</f>
        <v>14458</v>
      </c>
      <c r="C473" s="168">
        <f t="shared" si="278"/>
        <v>6001.9068959434471</v>
      </c>
      <c r="D473" s="168">
        <f t="shared" si="278"/>
        <v>-8456.093104056552</v>
      </c>
      <c r="E473" s="168" t="e">
        <f t="shared" ca="1" si="278"/>
        <v>#NAME?</v>
      </c>
      <c r="F473" s="160"/>
      <c r="J473" s="245">
        <f t="shared" ref="J473:K473" si="279">SUBTOTAL(9,J474)</f>
        <v>6001.9068959434471</v>
      </c>
      <c r="K473" s="168">
        <f t="shared" si="279"/>
        <v>0</v>
      </c>
      <c r="Z473" s="15"/>
      <c r="AA473" s="15"/>
      <c r="AB473" s="15"/>
      <c r="AC473" s="15"/>
    </row>
    <row r="474" spans="1:29" ht="15.75" hidden="1" customHeight="1" outlineLevel="1" x14ac:dyDescent="0.25">
      <c r="A474" s="129" t="s">
        <v>138</v>
      </c>
      <c r="B474" s="102">
        <v>14458</v>
      </c>
      <c r="C474" s="102">
        <f>J474+K474</f>
        <v>6001.9068959434471</v>
      </c>
      <c r="D474" s="102">
        <f>C474-B474</f>
        <v>-8456.093104056552</v>
      </c>
      <c r="E474" s="102" t="e">
        <f ca="1">SUMIFS('Digital Product Summary by COA'!$S$54:$S$325,'Digital Product Summary by COA'!$T$54:$T$325,$A$422,'Digital Product Summary by COA'!$C$54:$C$325,$A474)</f>
        <v>#NAME?</v>
      </c>
      <c r="J474" s="204">
        <v>6001.9068959434471</v>
      </c>
      <c r="K474" s="230"/>
      <c r="Z474" s="15"/>
      <c r="AA474" s="15"/>
      <c r="AB474" s="15"/>
      <c r="AC474" s="15"/>
    </row>
    <row r="475" spans="1:29" ht="15.75" customHeight="1" x14ac:dyDescent="0.3">
      <c r="A475" s="134"/>
      <c r="B475" s="173">
        <f t="shared" ref="B475:E475" si="280">SUBTOTAL(9,B424:B474)</f>
        <v>477809</v>
      </c>
      <c r="C475" s="173">
        <f t="shared" si="280"/>
        <v>354916.49774171272</v>
      </c>
      <c r="D475" s="173">
        <f t="shared" si="280"/>
        <v>-122892.50225828729</v>
      </c>
      <c r="E475" s="173" t="e">
        <f t="shared" ca="1" si="280"/>
        <v>#NAME?</v>
      </c>
      <c r="J475" s="175">
        <f t="shared" ref="J475:K475" si="281">SUBTOTAL(9,J424:J474)</f>
        <v>329517.31666465005</v>
      </c>
      <c r="K475" s="173">
        <f t="shared" si="281"/>
        <v>25399.181077062658</v>
      </c>
      <c r="Z475" s="15"/>
      <c r="AA475" s="15"/>
      <c r="AB475" s="15"/>
      <c r="AC475" s="15"/>
    </row>
    <row r="476" spans="1:29" ht="15.75" customHeight="1" x14ac:dyDescent="0.25">
      <c r="B476" s="145"/>
      <c r="C476" s="145"/>
      <c r="D476" s="145"/>
      <c r="E476" s="50">
        <f ca="1">'Shared Summary by Dept_US$'!C6</f>
        <v>18390.804597701102</v>
      </c>
      <c r="J476" s="13"/>
      <c r="K476" s="145"/>
      <c r="Z476" s="15"/>
      <c r="AA476" s="15"/>
      <c r="AB476" s="15"/>
      <c r="AC476" s="15"/>
    </row>
    <row r="477" spans="1:29" ht="15.75" customHeight="1" x14ac:dyDescent="0.25">
      <c r="B477" s="145"/>
      <c r="C477" s="145"/>
      <c r="D477" s="145"/>
      <c r="E477" s="50" t="e">
        <f ca="1">E475-E476</f>
        <v>#NAME?</v>
      </c>
      <c r="J477" s="13"/>
      <c r="K477" s="145"/>
      <c r="Z477" s="15"/>
      <c r="AA477" s="15"/>
      <c r="AB477" s="15"/>
      <c r="AC477" s="15"/>
    </row>
    <row r="478" spans="1:29" ht="15.75" customHeight="1" x14ac:dyDescent="0.3">
      <c r="A478" s="154"/>
      <c r="B478" s="92">
        <v>2025</v>
      </c>
      <c r="C478" s="92">
        <v>2025</v>
      </c>
      <c r="D478" s="92">
        <v>2025</v>
      </c>
      <c r="E478" s="92">
        <v>2026</v>
      </c>
      <c r="J478" s="13"/>
      <c r="K478" s="145"/>
      <c r="Z478" s="15"/>
      <c r="AA478" s="15"/>
      <c r="AB478" s="15"/>
      <c r="AC478" s="15"/>
    </row>
    <row r="479" spans="1:29" ht="15.75" customHeight="1" x14ac:dyDescent="0.3">
      <c r="A479" s="156" t="s">
        <v>174</v>
      </c>
      <c r="B479" s="94" t="s">
        <v>13</v>
      </c>
      <c r="C479" s="94" t="s">
        <v>142</v>
      </c>
      <c r="D479" s="94" t="s">
        <v>71</v>
      </c>
      <c r="E479" s="92" t="s">
        <v>13</v>
      </c>
      <c r="J479" s="13"/>
      <c r="K479" s="145"/>
      <c r="Z479" s="15"/>
      <c r="AA479" s="15"/>
      <c r="AB479" s="15"/>
      <c r="AC479" s="15"/>
    </row>
    <row r="480" spans="1:29" ht="15.75" customHeight="1" collapsed="1" x14ac:dyDescent="0.3">
      <c r="A480" s="159" t="s">
        <v>37</v>
      </c>
      <c r="B480" s="96">
        <f t="shared" ref="B480:E480" si="282">SUBTOTAL(9,B481:B490)</f>
        <v>0</v>
      </c>
      <c r="C480" s="96">
        <f t="shared" si="282"/>
        <v>0</v>
      </c>
      <c r="D480" s="96">
        <f t="shared" si="282"/>
        <v>0</v>
      </c>
      <c r="E480" s="96" t="e">
        <f t="shared" ca="1" si="282"/>
        <v>#NAME?</v>
      </c>
      <c r="J480" s="13"/>
      <c r="K480" s="145"/>
      <c r="Z480" s="15"/>
      <c r="AA480" s="15"/>
      <c r="AB480" s="15"/>
      <c r="AC480" s="15"/>
    </row>
    <row r="481" spans="1:29" ht="15.75" hidden="1" customHeight="1" outlineLevel="1" x14ac:dyDescent="0.85">
      <c r="A481" s="162" t="s">
        <v>37</v>
      </c>
      <c r="B481" s="102"/>
      <c r="C481" s="102">
        <f t="shared" ref="C481:C490" si="283">J481+K481</f>
        <v>0</v>
      </c>
      <c r="D481" s="102">
        <f t="shared" ref="D481:D490" si="284">C481-B481</f>
        <v>0</v>
      </c>
      <c r="E481" s="102" t="e">
        <f ca="1">SUMIFS('Digital Product Summary by COA'!$S$54:$S$325,'Digital Product Summary by COA'!$T$54:$T$325,$A$479,'Digital Product Summary by COA'!$C$54:$C$325,$A481)</f>
        <v>#NAME?</v>
      </c>
      <c r="J481" s="13"/>
      <c r="K481" s="145"/>
      <c r="Z481" s="15"/>
      <c r="AA481" s="15"/>
      <c r="AB481" s="15"/>
      <c r="AC481" s="15"/>
    </row>
    <row r="482" spans="1:29" ht="15.75" hidden="1" customHeight="1" outlineLevel="1" x14ac:dyDescent="0.85">
      <c r="A482" s="165" t="s">
        <v>72</v>
      </c>
      <c r="B482" s="102"/>
      <c r="C482" s="102">
        <f t="shared" si="283"/>
        <v>0</v>
      </c>
      <c r="D482" s="102">
        <f t="shared" si="284"/>
        <v>0</v>
      </c>
      <c r="E482" s="102" t="e">
        <f ca="1">SUMIFS('Digital Product Summary by COA'!$S$54:$S$325,'Digital Product Summary by COA'!$T$54:$T$325,$A$479,'Digital Product Summary by COA'!$C$54:$C$325,$A482)</f>
        <v>#NAME?</v>
      </c>
      <c r="J482" s="13"/>
      <c r="K482" s="145"/>
      <c r="Z482" s="15"/>
      <c r="AA482" s="15"/>
      <c r="AB482" s="15"/>
      <c r="AC482" s="15"/>
    </row>
    <row r="483" spans="1:29" ht="15.75" hidden="1" customHeight="1" outlineLevel="1" x14ac:dyDescent="0.85">
      <c r="A483" s="165" t="s">
        <v>73</v>
      </c>
      <c r="B483" s="102"/>
      <c r="C483" s="102">
        <f t="shared" si="283"/>
        <v>0</v>
      </c>
      <c r="D483" s="102">
        <f t="shared" si="284"/>
        <v>0</v>
      </c>
      <c r="E483" s="102">
        <f ca="1">SUMIFS('Digital Product Summary by COA'!$S$54:$S$325,'Digital Product Summary by COA'!$T$54:$T$325,$A$479,'Digital Product Summary by COA'!$C$54:$C$325,$A483)</f>
        <v>0</v>
      </c>
      <c r="J483" s="13"/>
      <c r="K483" s="145"/>
      <c r="Z483" s="15"/>
      <c r="AA483" s="15"/>
      <c r="AB483" s="15"/>
      <c r="AC483" s="15"/>
    </row>
    <row r="484" spans="1:29" ht="15.75" hidden="1" customHeight="1" outlineLevel="1" x14ac:dyDescent="0.85">
      <c r="A484" s="165" t="s">
        <v>74</v>
      </c>
      <c r="B484" s="102"/>
      <c r="C484" s="102">
        <f t="shared" si="283"/>
        <v>0</v>
      </c>
      <c r="D484" s="102">
        <f t="shared" si="284"/>
        <v>0</v>
      </c>
      <c r="E484" s="102">
        <f ca="1">SUMIFS('Digital Product Summary by COA'!$S$54:$S$325,'Digital Product Summary by COA'!$T$54:$T$325,$A$479,'Digital Product Summary by COA'!$C$54:$C$325,$A484)</f>
        <v>0</v>
      </c>
      <c r="J484" s="13"/>
      <c r="K484" s="145"/>
      <c r="Z484" s="15"/>
      <c r="AA484" s="15"/>
      <c r="AB484" s="15"/>
      <c r="AC484" s="15"/>
    </row>
    <row r="485" spans="1:29" ht="15.75" hidden="1" customHeight="1" outlineLevel="1" x14ac:dyDescent="0.85">
      <c r="A485" s="165" t="s">
        <v>77</v>
      </c>
      <c r="B485" s="102"/>
      <c r="C485" s="102">
        <f t="shared" si="283"/>
        <v>0</v>
      </c>
      <c r="D485" s="102">
        <f t="shared" si="284"/>
        <v>0</v>
      </c>
      <c r="E485" s="102" t="e">
        <f ca="1">SUMIFS('Digital Product Summary by COA'!$S$54:$S$325,'Digital Product Summary by COA'!$T$54:$T$325,$A$479,'Digital Product Summary by COA'!$C$54:$C$325,$A485)</f>
        <v>#NAME?</v>
      </c>
      <c r="J485" s="13"/>
      <c r="K485" s="145"/>
      <c r="Z485" s="15"/>
      <c r="AA485" s="15"/>
      <c r="AB485" s="15"/>
      <c r="AC485" s="15"/>
    </row>
    <row r="486" spans="1:29" ht="15.75" hidden="1" customHeight="1" outlineLevel="1" x14ac:dyDescent="0.85">
      <c r="A486" s="165" t="s">
        <v>78</v>
      </c>
      <c r="B486" s="102"/>
      <c r="C486" s="102">
        <f t="shared" si="283"/>
        <v>0</v>
      </c>
      <c r="D486" s="102">
        <f t="shared" si="284"/>
        <v>0</v>
      </c>
      <c r="E486" s="102">
        <f ca="1">SUMIFS('Digital Product Summary by COA'!$S$54:$S$325,'Digital Product Summary by COA'!$T$54:$T$325,$A$479,'Digital Product Summary by COA'!$C$54:$C$325,$A486)</f>
        <v>0</v>
      </c>
      <c r="J486" s="13"/>
      <c r="K486" s="145"/>
      <c r="Z486" s="15"/>
      <c r="AA486" s="15"/>
      <c r="AB486" s="15"/>
      <c r="AC486" s="15"/>
    </row>
    <row r="487" spans="1:29" ht="15.75" hidden="1" customHeight="1" outlineLevel="1" x14ac:dyDescent="0.85">
      <c r="A487" s="165" t="s">
        <v>79</v>
      </c>
      <c r="B487" s="102"/>
      <c r="C487" s="102">
        <f t="shared" si="283"/>
        <v>0</v>
      </c>
      <c r="D487" s="102">
        <f t="shared" si="284"/>
        <v>0</v>
      </c>
      <c r="E487" s="102">
        <f ca="1">SUMIFS('Digital Product Summary by COA'!$S$54:$S$325,'Digital Product Summary by COA'!$T$54:$T$325,$A$479,'Digital Product Summary by COA'!$C$54:$C$325,$A487)</f>
        <v>0</v>
      </c>
      <c r="J487" s="13"/>
      <c r="K487" s="145"/>
      <c r="Z487" s="15"/>
      <c r="AA487" s="15"/>
      <c r="AB487" s="15"/>
      <c r="AC487" s="15"/>
    </row>
    <row r="488" spans="1:29" ht="15.75" hidden="1" customHeight="1" outlineLevel="1" x14ac:dyDescent="0.85">
      <c r="A488" s="165" t="s">
        <v>80</v>
      </c>
      <c r="B488" s="102"/>
      <c r="C488" s="102">
        <f t="shared" si="283"/>
        <v>0</v>
      </c>
      <c r="D488" s="102">
        <f t="shared" si="284"/>
        <v>0</v>
      </c>
      <c r="E488" s="102">
        <f ca="1">SUMIFS('Digital Product Summary by COA'!$S$54:$S$325,'Digital Product Summary by COA'!$T$54:$T$325,$A$479,'Digital Product Summary by COA'!$C$54:$C$325,$A488)</f>
        <v>0</v>
      </c>
      <c r="J488" s="13"/>
      <c r="K488" s="145"/>
      <c r="Z488" s="15"/>
      <c r="AA488" s="15"/>
      <c r="AB488" s="15"/>
      <c r="AC488" s="15"/>
    </row>
    <row r="489" spans="1:29" ht="15.75" hidden="1" customHeight="1" outlineLevel="1" x14ac:dyDescent="0.85">
      <c r="A489" s="165" t="s">
        <v>82</v>
      </c>
      <c r="B489" s="102"/>
      <c r="C489" s="102">
        <f t="shared" si="283"/>
        <v>0</v>
      </c>
      <c r="D489" s="102">
        <f t="shared" si="284"/>
        <v>0</v>
      </c>
      <c r="E489" s="102">
        <f ca="1">SUMIFS('Digital Product Summary by COA'!$S$54:$S$325,'Digital Product Summary by COA'!$T$54:$T$325,$A$479,'Digital Product Summary by COA'!$C$54:$C$325,$A489)</f>
        <v>0</v>
      </c>
      <c r="J489" s="13"/>
      <c r="K489" s="145"/>
      <c r="Z489" s="15"/>
      <c r="AA489" s="15"/>
      <c r="AB489" s="15"/>
      <c r="AC489" s="15"/>
    </row>
    <row r="490" spans="1:29" ht="15.75" hidden="1" customHeight="1" outlineLevel="1" x14ac:dyDescent="0.85">
      <c r="A490" s="165" t="s">
        <v>83</v>
      </c>
      <c r="B490" s="102"/>
      <c r="C490" s="102">
        <f t="shared" si="283"/>
        <v>0</v>
      </c>
      <c r="D490" s="102">
        <f t="shared" si="284"/>
        <v>0</v>
      </c>
      <c r="E490" s="102">
        <f ca="1">SUMIFS('Digital Product Summary by COA'!$S$54:$S$325,'Digital Product Summary by COA'!$T$54:$T$325,$A$479,'Digital Product Summary by COA'!$C$54:$C$325,$A490)</f>
        <v>0</v>
      </c>
      <c r="J490" s="13"/>
      <c r="K490" s="145"/>
      <c r="Z490" s="15"/>
      <c r="AA490" s="15"/>
      <c r="AB490" s="15"/>
      <c r="AC490" s="15"/>
    </row>
    <row r="491" spans="1:29" ht="15.75" customHeight="1" collapsed="1" x14ac:dyDescent="0.3">
      <c r="A491" s="166" t="s">
        <v>84</v>
      </c>
      <c r="B491" s="168">
        <f t="shared" ref="B491:E491" si="285">SUBTOTAL(9,B492)</f>
        <v>0</v>
      </c>
      <c r="C491" s="168">
        <f t="shared" si="285"/>
        <v>0</v>
      </c>
      <c r="D491" s="168">
        <f t="shared" si="285"/>
        <v>0</v>
      </c>
      <c r="E491" s="168" t="e">
        <f t="shared" ca="1" si="285"/>
        <v>#NAME?</v>
      </c>
      <c r="J491" s="13"/>
      <c r="K491" s="145"/>
      <c r="Z491" s="15"/>
      <c r="AA491" s="15"/>
      <c r="AB491" s="15"/>
      <c r="AC491" s="15"/>
    </row>
    <row r="492" spans="1:29" ht="15.75" hidden="1" customHeight="1" outlineLevel="1" x14ac:dyDescent="0.85">
      <c r="A492" s="165" t="s">
        <v>85</v>
      </c>
      <c r="B492" s="102"/>
      <c r="C492" s="102">
        <f>J492+K492</f>
        <v>0</v>
      </c>
      <c r="D492" s="102">
        <f>C492-B492</f>
        <v>0</v>
      </c>
      <c r="E492" s="102" t="e">
        <f ca="1">SUMIFS('Digital Product Summary by COA'!$S$54:$S$325,'Digital Product Summary by COA'!$T$54:$T$325,$A$479,'Digital Product Summary by COA'!$C$54:$C$325,$A492)</f>
        <v>#NAME?</v>
      </c>
      <c r="J492" s="13"/>
      <c r="K492" s="145"/>
      <c r="Z492" s="15"/>
      <c r="AA492" s="15"/>
      <c r="AB492" s="15"/>
      <c r="AC492" s="15"/>
    </row>
    <row r="493" spans="1:29" ht="15.75" customHeight="1" collapsed="1" x14ac:dyDescent="0.3">
      <c r="A493" s="166" t="s">
        <v>86</v>
      </c>
      <c r="B493" s="168">
        <f t="shared" ref="B493:E493" si="286">SUBTOTAL(9,B494:B499)</f>
        <v>0</v>
      </c>
      <c r="C493" s="168">
        <f t="shared" si="286"/>
        <v>0</v>
      </c>
      <c r="D493" s="168">
        <f t="shared" si="286"/>
        <v>0</v>
      </c>
      <c r="E493" s="168" t="e">
        <f t="shared" ca="1" si="286"/>
        <v>#NAME?</v>
      </c>
      <c r="J493" s="13"/>
      <c r="K493" s="145"/>
      <c r="Z493" s="15"/>
      <c r="AA493" s="15"/>
      <c r="AB493" s="15"/>
      <c r="AC493" s="15"/>
    </row>
    <row r="494" spans="1:29" ht="15.75" hidden="1" customHeight="1" outlineLevel="1" x14ac:dyDescent="0.85">
      <c r="A494" s="165" t="s">
        <v>88</v>
      </c>
      <c r="B494" s="102"/>
      <c r="C494" s="102">
        <f t="shared" ref="C494:C499" si="287">J494+K494</f>
        <v>0</v>
      </c>
      <c r="D494" s="102">
        <f t="shared" ref="D494:D499" si="288">C494-B494</f>
        <v>0</v>
      </c>
      <c r="E494" s="102" t="e">
        <f ca="1">SUMIFS('Digital Product Summary by COA'!$S$54:$S$325,'Digital Product Summary by COA'!$T$54:$T$325,$A$479,'Digital Product Summary by COA'!$C$54:$C$325,$A494)</f>
        <v>#NAME?</v>
      </c>
      <c r="J494" s="13"/>
      <c r="K494" s="145"/>
      <c r="Z494" s="15"/>
      <c r="AA494" s="15"/>
      <c r="AB494" s="15"/>
      <c r="AC494" s="15"/>
    </row>
    <row r="495" spans="1:29" ht="15.75" hidden="1" customHeight="1" outlineLevel="1" x14ac:dyDescent="0.85">
      <c r="A495" s="165" t="s">
        <v>89</v>
      </c>
      <c r="B495" s="102"/>
      <c r="C495" s="102">
        <f t="shared" si="287"/>
        <v>0</v>
      </c>
      <c r="D495" s="102">
        <f t="shared" si="288"/>
        <v>0</v>
      </c>
      <c r="E495" s="102" t="e">
        <f ca="1">SUMIFS('Digital Product Summary by COA'!$S$54:$S$325,'Digital Product Summary by COA'!$T$54:$T$325,$A$479,'Digital Product Summary by COA'!$C$54:$C$325,$A495)</f>
        <v>#NAME?</v>
      </c>
      <c r="J495" s="13"/>
      <c r="K495" s="145"/>
      <c r="Z495" s="15"/>
      <c r="AA495" s="15"/>
      <c r="AB495" s="15"/>
      <c r="AC495" s="15"/>
    </row>
    <row r="496" spans="1:29" ht="15.75" hidden="1" customHeight="1" outlineLevel="1" x14ac:dyDescent="0.85">
      <c r="A496" s="165" t="s">
        <v>90</v>
      </c>
      <c r="B496" s="102"/>
      <c r="C496" s="102">
        <f t="shared" si="287"/>
        <v>0</v>
      </c>
      <c r="D496" s="102">
        <f t="shared" si="288"/>
        <v>0</v>
      </c>
      <c r="E496" s="102" t="e">
        <f ca="1">SUMIFS('Digital Product Summary by COA'!$S$54:$S$325,'Digital Product Summary by COA'!$T$54:$T$325,$A$479,'Digital Product Summary by COA'!$C$54:$C$325,$A496)</f>
        <v>#NAME?</v>
      </c>
      <c r="J496" s="13"/>
      <c r="K496" s="145"/>
      <c r="Z496" s="15"/>
      <c r="AA496" s="15"/>
      <c r="AB496" s="15"/>
      <c r="AC496" s="15"/>
    </row>
    <row r="497" spans="1:29" ht="15.75" hidden="1" customHeight="1" outlineLevel="1" x14ac:dyDescent="0.85">
      <c r="A497" s="165" t="s">
        <v>91</v>
      </c>
      <c r="B497" s="102"/>
      <c r="C497" s="102">
        <f t="shared" si="287"/>
        <v>0</v>
      </c>
      <c r="D497" s="102">
        <f t="shared" si="288"/>
        <v>0</v>
      </c>
      <c r="E497" s="102" t="e">
        <f ca="1">SUMIFS('Digital Product Summary by COA'!$S$54:$S$325,'Digital Product Summary by COA'!$T$54:$T$325,$A$479,'Digital Product Summary by COA'!$C$54:$C$325,$A497)</f>
        <v>#NAME?</v>
      </c>
      <c r="J497" s="13"/>
      <c r="K497" s="145"/>
      <c r="Z497" s="15"/>
      <c r="AA497" s="15"/>
      <c r="AB497" s="15"/>
      <c r="AC497" s="15"/>
    </row>
    <row r="498" spans="1:29" ht="15.75" hidden="1" customHeight="1" outlineLevel="1" x14ac:dyDescent="0.85">
      <c r="A498" s="165" t="s">
        <v>92</v>
      </c>
      <c r="B498" s="102"/>
      <c r="C498" s="102">
        <f t="shared" si="287"/>
        <v>0</v>
      </c>
      <c r="D498" s="102">
        <f t="shared" si="288"/>
        <v>0</v>
      </c>
      <c r="E498" s="102" t="e">
        <f ca="1">SUMIFS('Digital Product Summary by COA'!$S$54:$S$325,'Digital Product Summary by COA'!$T$54:$T$325,$A$479,'Digital Product Summary by COA'!$C$54:$C$325,$A498)</f>
        <v>#NAME?</v>
      </c>
      <c r="J498" s="13"/>
      <c r="K498" s="145"/>
      <c r="Z498" s="15"/>
      <c r="AA498" s="15"/>
      <c r="AB498" s="15"/>
      <c r="AC498" s="15"/>
    </row>
    <row r="499" spans="1:29" ht="15.75" hidden="1" customHeight="1" outlineLevel="1" x14ac:dyDescent="0.85">
      <c r="A499" s="165" t="s">
        <v>93</v>
      </c>
      <c r="B499" s="102"/>
      <c r="C499" s="102">
        <f t="shared" si="287"/>
        <v>0</v>
      </c>
      <c r="D499" s="102">
        <f t="shared" si="288"/>
        <v>0</v>
      </c>
      <c r="E499" s="102" t="e">
        <f ca="1">SUMIFS('Digital Product Summary by COA'!$S$54:$S$325,'Digital Product Summary by COA'!$T$54:$T$325,$A$479,'Digital Product Summary by COA'!$C$54:$C$325,$A499)</f>
        <v>#NAME?</v>
      </c>
      <c r="J499" s="13"/>
      <c r="K499" s="145"/>
      <c r="Z499" s="15"/>
      <c r="AA499" s="15"/>
      <c r="AB499" s="15"/>
      <c r="AC499" s="15"/>
    </row>
    <row r="500" spans="1:29" ht="15.75" customHeight="1" collapsed="1" x14ac:dyDescent="0.3">
      <c r="A500" s="166" t="s">
        <v>94</v>
      </c>
      <c r="B500" s="168">
        <f t="shared" ref="B500:E500" si="289">SUBTOTAL(9,B501:B505)</f>
        <v>0</v>
      </c>
      <c r="C500" s="168">
        <f t="shared" si="289"/>
        <v>0</v>
      </c>
      <c r="D500" s="168">
        <f t="shared" si="289"/>
        <v>0</v>
      </c>
      <c r="E500" s="168" t="e">
        <f t="shared" ca="1" si="289"/>
        <v>#NAME?</v>
      </c>
      <c r="J500" s="13"/>
      <c r="K500" s="145"/>
      <c r="Z500" s="15"/>
      <c r="AA500" s="15"/>
      <c r="AB500" s="15"/>
      <c r="AC500" s="15"/>
    </row>
    <row r="501" spans="1:29" ht="15.75" hidden="1" customHeight="1" outlineLevel="1" x14ac:dyDescent="0.85">
      <c r="A501" s="165" t="s">
        <v>95</v>
      </c>
      <c r="B501" s="225"/>
      <c r="C501" s="102">
        <f t="shared" ref="C501:C505" si="290">J501+K501</f>
        <v>0</v>
      </c>
      <c r="D501" s="102">
        <f t="shared" ref="D501:D505" si="291">C501-B501</f>
        <v>0</v>
      </c>
      <c r="E501" s="102" t="e">
        <f ca="1">SUMIFS('Digital Product Summary by COA'!$S$54:$S$325,'Digital Product Summary by COA'!$T$54:$T$325,$A$479,'Digital Product Summary by COA'!$C$54:$C$325,$A501)</f>
        <v>#NAME?</v>
      </c>
      <c r="J501" s="13"/>
      <c r="K501" s="145"/>
      <c r="Z501" s="15"/>
      <c r="AA501" s="15"/>
      <c r="AB501" s="15"/>
      <c r="AC501" s="15"/>
    </row>
    <row r="502" spans="1:29" ht="15.75" hidden="1" customHeight="1" outlineLevel="1" x14ac:dyDescent="0.85">
      <c r="A502" s="165" t="s">
        <v>96</v>
      </c>
      <c r="B502" s="225"/>
      <c r="C502" s="102">
        <f t="shared" si="290"/>
        <v>0</v>
      </c>
      <c r="D502" s="102">
        <f t="shared" si="291"/>
        <v>0</v>
      </c>
      <c r="E502" s="102">
        <f ca="1">SUMIFS('Digital Product Summary by COA'!$S$54:$S$325,'Digital Product Summary by COA'!$T$54:$T$325,$A$479,'Digital Product Summary by COA'!$C$54:$C$325,$A502)</f>
        <v>0</v>
      </c>
      <c r="J502" s="13"/>
      <c r="K502" s="145"/>
      <c r="Z502" s="15"/>
      <c r="AA502" s="15"/>
      <c r="AB502" s="15"/>
      <c r="AC502" s="15"/>
    </row>
    <row r="503" spans="1:29" ht="15.75" hidden="1" customHeight="1" outlineLevel="1" x14ac:dyDescent="0.85">
      <c r="A503" s="165" t="s">
        <v>97</v>
      </c>
      <c r="B503" s="225"/>
      <c r="C503" s="102">
        <f t="shared" si="290"/>
        <v>0</v>
      </c>
      <c r="D503" s="102">
        <f t="shared" si="291"/>
        <v>0</v>
      </c>
      <c r="E503" s="102">
        <f ca="1">SUMIFS('Digital Product Summary by COA'!$S$54:$S$325,'Digital Product Summary by COA'!$T$54:$T$325,$A$479,'Digital Product Summary by COA'!$C$54:$C$325,$A503)</f>
        <v>0</v>
      </c>
      <c r="J503" s="13"/>
      <c r="K503" s="145"/>
      <c r="Z503" s="15"/>
      <c r="AA503" s="15"/>
      <c r="AB503" s="15"/>
      <c r="AC503" s="15"/>
    </row>
    <row r="504" spans="1:29" ht="15.75" hidden="1" customHeight="1" outlineLevel="1" x14ac:dyDescent="0.85">
      <c r="A504" s="165" t="s">
        <v>98</v>
      </c>
      <c r="B504" s="225"/>
      <c r="C504" s="102">
        <f t="shared" si="290"/>
        <v>0</v>
      </c>
      <c r="D504" s="102">
        <f t="shared" si="291"/>
        <v>0</v>
      </c>
      <c r="E504" s="102">
        <f ca="1">SUMIFS('Digital Product Summary by COA'!$S$54:$S$325,'Digital Product Summary by COA'!$T$54:$T$325,$A$479,'Digital Product Summary by COA'!$C$54:$C$325,$A504)</f>
        <v>0</v>
      </c>
      <c r="J504" s="13"/>
      <c r="K504" s="145"/>
      <c r="Z504" s="15"/>
      <c r="AA504" s="15"/>
      <c r="AB504" s="15"/>
      <c r="AC504" s="15"/>
    </row>
    <row r="505" spans="1:29" ht="15.75" hidden="1" customHeight="1" outlineLevel="1" x14ac:dyDescent="0.85">
      <c r="A505" s="165" t="s">
        <v>99</v>
      </c>
      <c r="B505" s="225"/>
      <c r="C505" s="102">
        <f t="shared" si="290"/>
        <v>0</v>
      </c>
      <c r="D505" s="102">
        <f t="shared" si="291"/>
        <v>0</v>
      </c>
      <c r="E505" s="102" t="e">
        <f ca="1">SUMIFS('Digital Product Summary by COA'!$S$54:$S$325,'Digital Product Summary by COA'!$T$54:$T$325,$A$479,'Digital Product Summary by COA'!$C$54:$C$325,$A505)</f>
        <v>#NAME?</v>
      </c>
      <c r="J505" s="13"/>
      <c r="K505" s="145"/>
      <c r="Z505" s="15"/>
      <c r="AA505" s="15"/>
      <c r="AB505" s="15"/>
      <c r="AC505" s="15"/>
    </row>
    <row r="506" spans="1:29" ht="15.75" customHeight="1" collapsed="1" x14ac:dyDescent="0.3">
      <c r="A506" s="166" t="s">
        <v>100</v>
      </c>
      <c r="B506" s="168">
        <f t="shared" ref="B506:E506" si="292">SUBTOTAL(9,B507:B509)</f>
        <v>0</v>
      </c>
      <c r="C506" s="168">
        <f t="shared" si="292"/>
        <v>0</v>
      </c>
      <c r="D506" s="168">
        <f t="shared" si="292"/>
        <v>0</v>
      </c>
      <c r="E506" s="168" t="e">
        <f t="shared" ca="1" si="292"/>
        <v>#NAME?</v>
      </c>
      <c r="F506" s="24"/>
      <c r="J506" s="13"/>
      <c r="K506" s="145"/>
      <c r="Z506" s="15"/>
      <c r="AA506" s="15"/>
      <c r="AB506" s="15"/>
      <c r="AC506" s="15"/>
    </row>
    <row r="507" spans="1:29" ht="15.75" hidden="1" customHeight="1" outlineLevel="1" x14ac:dyDescent="0.85">
      <c r="A507" s="165" t="s">
        <v>101</v>
      </c>
      <c r="B507" s="225"/>
      <c r="C507" s="102">
        <f t="shared" ref="C507:C509" si="293">J507+K507</f>
        <v>0</v>
      </c>
      <c r="D507" s="102"/>
      <c r="E507" s="102" t="e">
        <f ca="1">SUMIFS('Digital Product Summary by COA'!$S$54:$S$325,'Digital Product Summary by COA'!$T$54:$T$325,$A$479,'Digital Product Summary by COA'!$C$54:$C$325,$A507)</f>
        <v>#NAME?</v>
      </c>
      <c r="F507" s="24"/>
      <c r="J507" s="13"/>
      <c r="K507" s="145"/>
      <c r="Z507" s="15"/>
      <c r="AA507" s="15"/>
      <c r="AB507" s="15"/>
      <c r="AC507" s="15"/>
    </row>
    <row r="508" spans="1:29" ht="15.75" hidden="1" customHeight="1" outlineLevel="1" x14ac:dyDescent="0.85">
      <c r="A508" s="165" t="s">
        <v>103</v>
      </c>
      <c r="B508" s="225"/>
      <c r="C508" s="102">
        <f t="shared" si="293"/>
        <v>0</v>
      </c>
      <c r="D508" s="102">
        <f>C508-B508</f>
        <v>0</v>
      </c>
      <c r="E508" s="102" t="e">
        <f ca="1">SUMIFS('Digital Product Summary by COA'!$S$54:$S$325,'Digital Product Summary by COA'!$T$54:$T$325,$A$479,'Digital Product Summary by COA'!$C$54:$C$325,$A508)</f>
        <v>#NAME?</v>
      </c>
      <c r="F508" s="24"/>
      <c r="J508" s="13"/>
      <c r="K508" s="145"/>
      <c r="Z508" s="15"/>
      <c r="AA508" s="15"/>
      <c r="AB508" s="15"/>
      <c r="AC508" s="15"/>
    </row>
    <row r="509" spans="1:29" ht="15.75" hidden="1" customHeight="1" outlineLevel="1" x14ac:dyDescent="0.85">
      <c r="A509" s="165" t="s">
        <v>104</v>
      </c>
      <c r="B509" s="225"/>
      <c r="C509" s="102">
        <f t="shared" si="293"/>
        <v>0</v>
      </c>
      <c r="D509" s="172"/>
      <c r="E509" s="102" t="e">
        <f ca="1">SUMIFS('Digital Product Summary by COA'!$S$54:$S$325,'Digital Product Summary by COA'!$T$54:$T$325,$A$479,'Digital Product Summary by COA'!$C$54:$C$325,$A509)</f>
        <v>#NAME?</v>
      </c>
      <c r="F509" s="24"/>
      <c r="J509" s="13"/>
      <c r="K509" s="145"/>
      <c r="Z509" s="15"/>
      <c r="AA509" s="15"/>
      <c r="AB509" s="15"/>
      <c r="AC509" s="15"/>
    </row>
    <row r="510" spans="1:29" ht="15.75" customHeight="1" collapsed="1" x14ac:dyDescent="0.3">
      <c r="A510" s="166" t="s">
        <v>105</v>
      </c>
      <c r="B510" s="168">
        <f t="shared" ref="B510:E510" si="294">SUBTOTAL(9,B511:B525)</f>
        <v>0</v>
      </c>
      <c r="C510" s="168">
        <f t="shared" si="294"/>
        <v>0</v>
      </c>
      <c r="D510" s="168">
        <f t="shared" si="294"/>
        <v>0</v>
      </c>
      <c r="E510" s="168" t="e">
        <f t="shared" ca="1" si="294"/>
        <v>#NAME?</v>
      </c>
      <c r="F510" s="24"/>
      <c r="J510" s="13"/>
      <c r="K510" s="145"/>
      <c r="Z510" s="15"/>
      <c r="AA510" s="15"/>
      <c r="AB510" s="15"/>
      <c r="AC510" s="15"/>
    </row>
    <row r="511" spans="1:29" ht="15.75" hidden="1" customHeight="1" outlineLevel="1" x14ac:dyDescent="0.85">
      <c r="A511" s="165" t="s">
        <v>110</v>
      </c>
      <c r="B511" s="102"/>
      <c r="C511" s="102">
        <f t="shared" ref="C511:C525" si="295">J511+K511</f>
        <v>0</v>
      </c>
      <c r="D511" s="102">
        <f t="shared" ref="D511:D525" si="296">C511-B511</f>
        <v>0</v>
      </c>
      <c r="E511" s="102" t="e">
        <f ca="1">SUMIFS('Digital Product Summary by COA'!$S$54:$S$325,'Digital Product Summary by COA'!$T$54:$T$325,$A$479,'Digital Product Summary by COA'!$C$54:$C$325,$A511)</f>
        <v>#NAME?</v>
      </c>
      <c r="F511" s="24"/>
      <c r="J511" s="13"/>
      <c r="K511" s="145"/>
      <c r="Z511" s="15"/>
      <c r="AA511" s="15"/>
      <c r="AB511" s="15"/>
      <c r="AC511" s="15"/>
    </row>
    <row r="512" spans="1:29" ht="15.75" hidden="1" customHeight="1" outlineLevel="1" x14ac:dyDescent="0.85">
      <c r="A512" s="165" t="s">
        <v>111</v>
      </c>
      <c r="B512" s="102"/>
      <c r="C512" s="102">
        <f t="shared" si="295"/>
        <v>0</v>
      </c>
      <c r="D512" s="102">
        <f t="shared" si="296"/>
        <v>0</v>
      </c>
      <c r="E512" s="102">
        <f ca="1">SUMIFS('Digital Product Summary by COA'!$S$54:$S$325,'Digital Product Summary by COA'!$T$54:$T$325,$A$479,'Digital Product Summary by COA'!$C$54:$C$325,$A512)</f>
        <v>0</v>
      </c>
      <c r="F512" s="24"/>
      <c r="J512" s="13"/>
      <c r="K512" s="145"/>
      <c r="Z512" s="15"/>
      <c r="AA512" s="15"/>
      <c r="AB512" s="15"/>
      <c r="AC512" s="15"/>
    </row>
    <row r="513" spans="1:29" ht="15.75" hidden="1" customHeight="1" outlineLevel="1" x14ac:dyDescent="0.85">
      <c r="A513" s="165" t="s">
        <v>112</v>
      </c>
      <c r="B513" s="102"/>
      <c r="C513" s="102">
        <f t="shared" si="295"/>
        <v>0</v>
      </c>
      <c r="D513" s="102">
        <f t="shared" si="296"/>
        <v>0</v>
      </c>
      <c r="E513" s="102">
        <f ca="1">SUMIFS('Digital Product Summary by COA'!$S$54:$S$325,'Digital Product Summary by COA'!$T$54:$T$325,$A$479,'Digital Product Summary by COA'!$C$54:$C$325,$A513)</f>
        <v>0</v>
      </c>
      <c r="F513" s="24"/>
      <c r="J513" s="13"/>
      <c r="K513" s="145"/>
      <c r="Z513" s="15"/>
      <c r="AA513" s="15"/>
      <c r="AB513" s="15"/>
      <c r="AC513" s="15"/>
    </row>
    <row r="514" spans="1:29" ht="15.75" hidden="1" customHeight="1" outlineLevel="1" x14ac:dyDescent="0.85">
      <c r="A514" s="165" t="s">
        <v>113</v>
      </c>
      <c r="B514" s="102"/>
      <c r="C514" s="102">
        <f t="shared" si="295"/>
        <v>0</v>
      </c>
      <c r="D514" s="102">
        <f t="shared" si="296"/>
        <v>0</v>
      </c>
      <c r="E514" s="102" t="e">
        <f ca="1">SUMIFS('Digital Product Summary by COA'!$S$54:$S$325,'Digital Product Summary by COA'!$T$54:$T$325,$A$479,'Digital Product Summary by COA'!$C$54:$C$325,$A514)</f>
        <v>#NAME?</v>
      </c>
      <c r="F514" s="24"/>
      <c r="J514" s="13"/>
      <c r="K514" s="145"/>
      <c r="Z514" s="15"/>
      <c r="AA514" s="15"/>
      <c r="AB514" s="15"/>
      <c r="AC514" s="15"/>
    </row>
    <row r="515" spans="1:29" ht="15.75" hidden="1" customHeight="1" outlineLevel="1" x14ac:dyDescent="0.85">
      <c r="A515" s="165" t="s">
        <v>114</v>
      </c>
      <c r="B515" s="102"/>
      <c r="C515" s="102">
        <f t="shared" si="295"/>
        <v>0</v>
      </c>
      <c r="D515" s="102">
        <f t="shared" si="296"/>
        <v>0</v>
      </c>
      <c r="E515" s="102" t="e">
        <f ca="1">SUMIFS('Digital Product Summary by COA'!$S$54:$S$325,'Digital Product Summary by COA'!$T$54:$T$325,$A$479,'Digital Product Summary by COA'!$C$54:$C$325,$A515)</f>
        <v>#NAME?</v>
      </c>
      <c r="F515" s="24"/>
      <c r="J515" s="13"/>
      <c r="K515" s="145"/>
      <c r="Z515" s="15"/>
      <c r="AA515" s="15"/>
      <c r="AB515" s="15"/>
      <c r="AC515" s="15"/>
    </row>
    <row r="516" spans="1:29" ht="15.75" hidden="1" customHeight="1" outlineLevel="1" x14ac:dyDescent="0.85">
      <c r="A516" s="165" t="s">
        <v>115</v>
      </c>
      <c r="B516" s="102"/>
      <c r="C516" s="102">
        <f t="shared" si="295"/>
        <v>0</v>
      </c>
      <c r="D516" s="102">
        <f t="shared" si="296"/>
        <v>0</v>
      </c>
      <c r="E516" s="102">
        <f ca="1">SUMIFS('Digital Product Summary by COA'!$S$54:$S$325,'Digital Product Summary by COA'!$T$54:$T$325,$A$479,'Digital Product Summary by COA'!$C$54:$C$325,$A516)</f>
        <v>0</v>
      </c>
      <c r="F516" s="24"/>
      <c r="J516" s="13"/>
      <c r="K516" s="145"/>
      <c r="Z516" s="15"/>
      <c r="AA516" s="15"/>
      <c r="AB516" s="15"/>
      <c r="AC516" s="15"/>
    </row>
    <row r="517" spans="1:29" ht="15.75" hidden="1" customHeight="1" outlineLevel="1" x14ac:dyDescent="0.85">
      <c r="A517" s="165" t="s">
        <v>117</v>
      </c>
      <c r="B517" s="102"/>
      <c r="C517" s="102">
        <f t="shared" si="295"/>
        <v>0</v>
      </c>
      <c r="D517" s="102">
        <f t="shared" si="296"/>
        <v>0</v>
      </c>
      <c r="E517" s="102">
        <f ca="1">SUMIFS('Digital Product Summary by COA'!$S$54:$S$325,'Digital Product Summary by COA'!$T$54:$T$325,$A$479,'Digital Product Summary by COA'!$C$54:$C$325,$A517)</f>
        <v>0</v>
      </c>
      <c r="F517" s="24"/>
      <c r="J517" s="13"/>
      <c r="K517" s="145"/>
      <c r="Z517" s="15"/>
      <c r="AA517" s="15"/>
      <c r="AB517" s="15"/>
      <c r="AC517" s="15"/>
    </row>
    <row r="518" spans="1:29" ht="15.75" hidden="1" customHeight="1" outlineLevel="1" x14ac:dyDescent="0.85">
      <c r="A518" s="165" t="s">
        <v>118</v>
      </c>
      <c r="B518" s="102"/>
      <c r="C518" s="102">
        <f t="shared" si="295"/>
        <v>0</v>
      </c>
      <c r="D518" s="102">
        <f t="shared" si="296"/>
        <v>0</v>
      </c>
      <c r="E518" s="102">
        <f ca="1">SUMIFS('Digital Product Summary by COA'!$S$54:$S$325,'Digital Product Summary by COA'!$T$54:$T$325,$A$479,'Digital Product Summary by COA'!$C$54:$C$325,$A518)</f>
        <v>0</v>
      </c>
      <c r="F518" s="24"/>
      <c r="J518" s="13"/>
      <c r="K518" s="145"/>
      <c r="Z518" s="15"/>
      <c r="AA518" s="15"/>
      <c r="AB518" s="15"/>
      <c r="AC518" s="15"/>
    </row>
    <row r="519" spans="1:29" ht="15.75" hidden="1" customHeight="1" outlineLevel="1" x14ac:dyDescent="0.85">
      <c r="A519" s="165" t="s">
        <v>119</v>
      </c>
      <c r="B519" s="102"/>
      <c r="C519" s="102">
        <f t="shared" si="295"/>
        <v>0</v>
      </c>
      <c r="D519" s="102">
        <f t="shared" si="296"/>
        <v>0</v>
      </c>
      <c r="E519" s="102">
        <f ca="1">SUMIFS('Digital Product Summary by COA'!$S$54:$S$325,'Digital Product Summary by COA'!$T$54:$T$325,$A$479,'Digital Product Summary by COA'!$C$54:$C$325,$A519)</f>
        <v>0</v>
      </c>
      <c r="F519" s="24"/>
      <c r="J519" s="13"/>
      <c r="K519" s="145"/>
      <c r="Z519" s="15"/>
      <c r="AA519" s="15"/>
      <c r="AB519" s="15"/>
      <c r="AC519" s="15"/>
    </row>
    <row r="520" spans="1:29" ht="15.75" hidden="1" customHeight="1" outlineLevel="1" x14ac:dyDescent="0.85">
      <c r="A520" s="165" t="s">
        <v>120</v>
      </c>
      <c r="B520" s="102"/>
      <c r="C520" s="102">
        <f t="shared" si="295"/>
        <v>0</v>
      </c>
      <c r="D520" s="102">
        <f t="shared" si="296"/>
        <v>0</v>
      </c>
      <c r="E520" s="102">
        <f ca="1">SUMIFS('Digital Product Summary by COA'!$S$54:$S$325,'Digital Product Summary by COA'!$T$54:$T$325,$A$479,'Digital Product Summary by COA'!$C$54:$C$325,$A520)</f>
        <v>0</v>
      </c>
      <c r="F520" s="24"/>
      <c r="J520" s="13"/>
      <c r="K520" s="145"/>
      <c r="Z520" s="15"/>
      <c r="AA520" s="15"/>
      <c r="AB520" s="15"/>
      <c r="AC520" s="15"/>
    </row>
    <row r="521" spans="1:29" ht="15.75" hidden="1" customHeight="1" outlineLevel="1" x14ac:dyDescent="0.85">
      <c r="A521" s="165" t="s">
        <v>121</v>
      </c>
      <c r="B521" s="102"/>
      <c r="C521" s="102">
        <f t="shared" si="295"/>
        <v>0</v>
      </c>
      <c r="D521" s="102">
        <f t="shared" si="296"/>
        <v>0</v>
      </c>
      <c r="E521" s="102">
        <f ca="1">SUMIFS('Digital Product Summary by COA'!$S$54:$S$325,'Digital Product Summary by COA'!$T$54:$T$325,$A$479,'Digital Product Summary by COA'!$C$54:$C$325,$A521)</f>
        <v>0</v>
      </c>
      <c r="F521" s="24"/>
      <c r="J521" s="13"/>
      <c r="K521" s="145"/>
      <c r="Z521" s="15"/>
      <c r="AA521" s="15"/>
      <c r="AB521" s="15"/>
      <c r="AC521" s="15"/>
    </row>
    <row r="522" spans="1:29" ht="15.75" hidden="1" customHeight="1" outlineLevel="1" x14ac:dyDescent="0.85">
      <c r="A522" s="165" t="s">
        <v>122</v>
      </c>
      <c r="B522" s="102"/>
      <c r="C522" s="102">
        <f t="shared" si="295"/>
        <v>0</v>
      </c>
      <c r="D522" s="102">
        <f t="shared" si="296"/>
        <v>0</v>
      </c>
      <c r="E522" s="102">
        <f ca="1">SUMIFS('Digital Product Summary by COA'!$S$54:$S$325,'Digital Product Summary by COA'!$T$54:$T$325,$A$479,'Digital Product Summary by COA'!$C$54:$C$325,$A522)</f>
        <v>0</v>
      </c>
      <c r="F522" s="24"/>
      <c r="J522" s="13"/>
      <c r="K522" s="145"/>
      <c r="Z522" s="15"/>
      <c r="AA522" s="15"/>
      <c r="AB522" s="15"/>
      <c r="AC522" s="15"/>
    </row>
    <row r="523" spans="1:29" ht="15.75" hidden="1" customHeight="1" outlineLevel="1" x14ac:dyDescent="0.85">
      <c r="A523" s="165" t="s">
        <v>144</v>
      </c>
      <c r="B523" s="102"/>
      <c r="C523" s="102">
        <f t="shared" si="295"/>
        <v>0</v>
      </c>
      <c r="D523" s="102">
        <f t="shared" si="296"/>
        <v>0</v>
      </c>
      <c r="E523" s="102">
        <f ca="1">SUMIFS('Digital Product Summary by COA'!$S$54:$S$325,'Digital Product Summary by COA'!$T$54:$T$325,$A$479,'Digital Product Summary by COA'!$C$54:$C$325,$A523)</f>
        <v>0</v>
      </c>
      <c r="F523" s="24"/>
      <c r="J523" s="13"/>
      <c r="K523" s="145"/>
      <c r="Z523" s="15"/>
      <c r="AA523" s="15"/>
      <c r="AB523" s="15"/>
      <c r="AC523" s="15"/>
    </row>
    <row r="524" spans="1:29" ht="15.75" hidden="1" customHeight="1" outlineLevel="1" x14ac:dyDescent="0.25">
      <c r="A524" s="129" t="s">
        <v>124</v>
      </c>
      <c r="B524" s="102"/>
      <c r="C524" s="102">
        <f t="shared" si="295"/>
        <v>0</v>
      </c>
      <c r="D524" s="102">
        <f t="shared" si="296"/>
        <v>0</v>
      </c>
      <c r="E524" s="102">
        <f ca="1">SUMIFS('Digital Product Summary by COA'!$S$54:$S$325,'Digital Product Summary by COA'!$T$54:$T$325,$A$479,'Digital Product Summary by COA'!$C$54:$C$325,$A524)</f>
        <v>0</v>
      </c>
      <c r="F524" s="24"/>
      <c r="J524" s="13"/>
      <c r="K524" s="145"/>
      <c r="Z524" s="15"/>
      <c r="AA524" s="15"/>
      <c r="AB524" s="15"/>
      <c r="AC524" s="15"/>
    </row>
    <row r="525" spans="1:29" ht="15.75" hidden="1" customHeight="1" outlineLevel="1" x14ac:dyDescent="0.25">
      <c r="A525" s="129" t="s">
        <v>125</v>
      </c>
      <c r="B525" s="102"/>
      <c r="C525" s="102">
        <f t="shared" si="295"/>
        <v>0</v>
      </c>
      <c r="D525" s="102">
        <f t="shared" si="296"/>
        <v>0</v>
      </c>
      <c r="E525" s="102">
        <f ca="1">SUMIFS('Digital Product Summary by COA'!$S$54:$S$325,'Digital Product Summary by COA'!$T$54:$T$325,$A$479,'Digital Product Summary by COA'!$C$54:$C$325,$A525)</f>
        <v>0</v>
      </c>
      <c r="F525" s="24"/>
      <c r="J525" s="13"/>
      <c r="K525" s="145"/>
      <c r="Z525" s="15"/>
      <c r="AA525" s="15"/>
      <c r="AB525" s="15"/>
      <c r="AC525" s="15"/>
    </row>
    <row r="526" spans="1:29" ht="15.75" customHeight="1" collapsed="1" x14ac:dyDescent="0.3">
      <c r="A526" s="166" t="s">
        <v>126</v>
      </c>
      <c r="B526" s="168">
        <f t="shared" ref="B526:E526" si="297">SUBTOTAL(9,B527:B529)</f>
        <v>0</v>
      </c>
      <c r="C526" s="168">
        <f t="shared" si="297"/>
        <v>0</v>
      </c>
      <c r="D526" s="168">
        <f t="shared" si="297"/>
        <v>0</v>
      </c>
      <c r="E526" s="168" t="e">
        <f t="shared" ca="1" si="297"/>
        <v>#NAME?</v>
      </c>
      <c r="F526" s="24" t="s">
        <v>127</v>
      </c>
      <c r="J526" s="13"/>
      <c r="K526" s="145"/>
      <c r="Z526" s="15"/>
      <c r="AA526" s="15"/>
      <c r="AB526" s="15"/>
      <c r="AC526" s="15"/>
    </row>
    <row r="527" spans="1:29" ht="15.75" hidden="1" customHeight="1" outlineLevel="1" x14ac:dyDescent="0.25">
      <c r="A527" s="129" t="s">
        <v>128</v>
      </c>
      <c r="B527" s="225"/>
      <c r="C527" s="102">
        <f t="shared" ref="C527:C529" si="298">J527+K527</f>
        <v>0</v>
      </c>
      <c r="D527" s="102">
        <f t="shared" ref="D527:D529" si="299">C527-B527</f>
        <v>0</v>
      </c>
      <c r="E527" s="102">
        <f ca="1">SUMIFS('Digital Product Summary by COA'!$S$54:$S$325,'Digital Product Summary by COA'!$T$54:$T$325,$A$479,'Digital Product Summary by COA'!$C$54:$C$325,$A527)</f>
        <v>0</v>
      </c>
      <c r="F527" s="24"/>
      <c r="J527" s="13"/>
      <c r="K527" s="145"/>
      <c r="Z527" s="15"/>
      <c r="AA527" s="15"/>
      <c r="AB527" s="15"/>
      <c r="AC527" s="15"/>
    </row>
    <row r="528" spans="1:29" ht="15.75" hidden="1" customHeight="1" outlineLevel="1" x14ac:dyDescent="0.25">
      <c r="A528" s="129" t="s">
        <v>129</v>
      </c>
      <c r="B528" s="225"/>
      <c r="C528" s="102">
        <f t="shared" si="298"/>
        <v>0</v>
      </c>
      <c r="D528" s="102">
        <f t="shared" si="299"/>
        <v>0</v>
      </c>
      <c r="E528" s="102">
        <f ca="1">SUMIFS('Digital Product Summary by COA'!$S$54:$S$325,'Digital Product Summary by COA'!$T$54:$T$325,$A$479,'Digital Product Summary by COA'!$C$54:$C$325,$A528)</f>
        <v>0</v>
      </c>
      <c r="F528" s="24"/>
      <c r="J528" s="13"/>
      <c r="K528" s="145"/>
      <c r="Z528" s="15"/>
      <c r="AA528" s="15"/>
      <c r="AB528" s="15"/>
      <c r="AC528" s="15"/>
    </row>
    <row r="529" spans="1:29" ht="15.75" hidden="1" customHeight="1" outlineLevel="1" x14ac:dyDescent="0.25">
      <c r="A529" s="129" t="s">
        <v>134</v>
      </c>
      <c r="B529" s="225"/>
      <c r="C529" s="102">
        <f t="shared" si="298"/>
        <v>0</v>
      </c>
      <c r="D529" s="102">
        <f t="shared" si="299"/>
        <v>0</v>
      </c>
      <c r="E529" s="102" t="e">
        <f ca="1">SUMIFS('Digital Product Summary by COA'!$S$54:$S$325,'Digital Product Summary by COA'!$T$54:$T$325,$A$479,'Digital Product Summary by COA'!$C$54:$C$325,$A529)</f>
        <v>#NAME?</v>
      </c>
      <c r="F529" s="24"/>
      <c r="J529" s="13"/>
      <c r="K529" s="145"/>
      <c r="Z529" s="15"/>
      <c r="AA529" s="15"/>
      <c r="AB529" s="15"/>
      <c r="AC529" s="15"/>
    </row>
    <row r="530" spans="1:29" ht="15.75" customHeight="1" collapsed="1" x14ac:dyDescent="0.3">
      <c r="A530" s="166" t="s">
        <v>135</v>
      </c>
      <c r="B530" s="168">
        <f t="shared" ref="B530:E530" si="300">SUBTOTAL(9,B531)</f>
        <v>0</v>
      </c>
      <c r="C530" s="168">
        <f t="shared" si="300"/>
        <v>0</v>
      </c>
      <c r="D530" s="168">
        <f t="shared" si="300"/>
        <v>0</v>
      </c>
      <c r="E530" s="168" t="e">
        <f t="shared" ca="1" si="300"/>
        <v>#NAME?</v>
      </c>
      <c r="F530" s="24"/>
      <c r="J530" s="13"/>
      <c r="K530" s="145"/>
      <c r="Z530" s="15"/>
      <c r="AA530" s="15"/>
      <c r="AB530" s="15"/>
      <c r="AC530" s="15"/>
    </row>
    <row r="531" spans="1:29" ht="15.75" hidden="1" customHeight="1" outlineLevel="1" x14ac:dyDescent="0.25">
      <c r="A531" s="129" t="s">
        <v>138</v>
      </c>
      <c r="B531" s="225"/>
      <c r="C531" s="102">
        <f>J531+K531</f>
        <v>0</v>
      </c>
      <c r="D531" s="102">
        <f>C531-B531</f>
        <v>0</v>
      </c>
      <c r="E531" s="102" t="e">
        <f ca="1">SUMIFS('Digital Product Summary by COA'!$S$54:$S$325,'Digital Product Summary by COA'!$T$54:$T$325,$A$479,'Digital Product Summary by COA'!$C$54:$C$325,$A531)</f>
        <v>#NAME?</v>
      </c>
      <c r="J531" s="13"/>
      <c r="K531" s="145"/>
      <c r="Z531" s="15"/>
      <c r="AA531" s="15"/>
      <c r="AB531" s="15"/>
      <c r="AC531" s="15"/>
    </row>
    <row r="532" spans="1:29" ht="15.75" customHeight="1" x14ac:dyDescent="0.3">
      <c r="A532" s="134"/>
      <c r="B532" s="173">
        <f t="shared" ref="B532:E532" si="301">SUBTOTAL(9,B481:B531)</f>
        <v>0</v>
      </c>
      <c r="C532" s="173">
        <f t="shared" si="301"/>
        <v>0</v>
      </c>
      <c r="D532" s="173">
        <f t="shared" si="301"/>
        <v>0</v>
      </c>
      <c r="E532" s="174" t="e">
        <f t="shared" ca="1" si="301"/>
        <v>#NAME?</v>
      </c>
      <c r="J532" s="13"/>
      <c r="K532" s="145"/>
      <c r="Z532" s="15"/>
      <c r="AA532" s="15"/>
      <c r="AB532" s="15"/>
      <c r="AC532" s="15"/>
    </row>
    <row r="533" spans="1:29" ht="15.75" customHeight="1" x14ac:dyDescent="0.25">
      <c r="B533" s="145"/>
      <c r="C533" s="145"/>
      <c r="D533" s="145"/>
      <c r="E533" s="50">
        <f ca="1">'Shared Summary by Dept_US$'!C14</f>
        <v>326653.48754789215</v>
      </c>
      <c r="J533" s="13"/>
      <c r="K533" s="145"/>
      <c r="Z533" s="15"/>
      <c r="AA533" s="15"/>
      <c r="AB533" s="15"/>
      <c r="AC533" s="15"/>
    </row>
    <row r="534" spans="1:29" ht="15.75" customHeight="1" x14ac:dyDescent="0.25">
      <c r="B534" s="145"/>
      <c r="C534" s="145"/>
      <c r="D534" s="145"/>
      <c r="E534" s="50" t="e">
        <f ca="1">E532-E533</f>
        <v>#NAME?</v>
      </c>
      <c r="J534" s="13"/>
      <c r="K534" s="145"/>
      <c r="Z534" s="15"/>
      <c r="AA534" s="15"/>
      <c r="AB534" s="15"/>
      <c r="AC534" s="15"/>
    </row>
    <row r="535" spans="1:29" ht="15.75" customHeight="1" x14ac:dyDescent="0.3">
      <c r="A535" s="154"/>
      <c r="B535" s="92">
        <v>2025</v>
      </c>
      <c r="C535" s="92">
        <v>2025</v>
      </c>
      <c r="D535" s="92">
        <v>2025</v>
      </c>
      <c r="E535" s="92">
        <v>2026</v>
      </c>
      <c r="J535" s="13"/>
      <c r="Z535" s="15"/>
      <c r="AA535" s="15"/>
      <c r="AB535" s="15"/>
      <c r="AC535" s="15"/>
    </row>
    <row r="536" spans="1:29" ht="15.75" customHeight="1" x14ac:dyDescent="0.3">
      <c r="A536" s="156" t="s">
        <v>175</v>
      </c>
      <c r="B536" s="94" t="s">
        <v>13</v>
      </c>
      <c r="C536" s="94" t="s">
        <v>142</v>
      </c>
      <c r="D536" s="94" t="s">
        <v>71</v>
      </c>
      <c r="E536" s="92" t="s">
        <v>13</v>
      </c>
      <c r="J536" s="13"/>
      <c r="Z536" s="15"/>
      <c r="AA536" s="15"/>
      <c r="AB536" s="15"/>
      <c r="AC536" s="15"/>
    </row>
    <row r="537" spans="1:29" ht="15.75" customHeight="1" collapsed="1" x14ac:dyDescent="0.3">
      <c r="A537" s="159" t="s">
        <v>37</v>
      </c>
      <c r="B537" s="96">
        <f t="shared" ref="B537:E537" si="302">SUBTOTAL(9,B538:B547)</f>
        <v>0</v>
      </c>
      <c r="C537" s="96">
        <f t="shared" si="302"/>
        <v>0</v>
      </c>
      <c r="D537" s="96">
        <f t="shared" si="302"/>
        <v>0</v>
      </c>
      <c r="E537" s="96" t="e">
        <f t="shared" ca="1" si="302"/>
        <v>#NAME?</v>
      </c>
      <c r="J537" s="13"/>
      <c r="Z537" s="15"/>
      <c r="AA537" s="15"/>
      <c r="AB537" s="15"/>
      <c r="AC537" s="15"/>
    </row>
    <row r="538" spans="1:29" ht="15.75" hidden="1" customHeight="1" outlineLevel="1" x14ac:dyDescent="0.85">
      <c r="A538" s="162" t="s">
        <v>37</v>
      </c>
      <c r="B538" s="102"/>
      <c r="C538" s="102">
        <f t="shared" ref="C538:C547" si="303">J538+K538</f>
        <v>0</v>
      </c>
      <c r="D538" s="102">
        <f t="shared" ref="D538:D547" si="304">C538-B538</f>
        <v>0</v>
      </c>
      <c r="E538" s="102" t="e">
        <f ca="1">SUMIFS('Digital Product Summary by COA'!$S$54:$S$325,'Digital Product Summary by COA'!$T$54:$T$325,$A$536,'Digital Product Summary by COA'!$C$54:$C$325,$A538)</f>
        <v>#NAME?</v>
      </c>
      <c r="J538" s="13"/>
      <c r="Z538" s="15"/>
      <c r="AA538" s="15"/>
      <c r="AB538" s="15"/>
      <c r="AC538" s="15"/>
    </row>
    <row r="539" spans="1:29" ht="15.75" hidden="1" customHeight="1" outlineLevel="1" x14ac:dyDescent="0.85">
      <c r="A539" s="165" t="s">
        <v>72</v>
      </c>
      <c r="B539" s="102"/>
      <c r="C539" s="102">
        <f t="shared" si="303"/>
        <v>0</v>
      </c>
      <c r="D539" s="102">
        <f t="shared" si="304"/>
        <v>0</v>
      </c>
      <c r="E539" s="102" t="e">
        <f ca="1">SUMIFS('Digital Product Summary by COA'!$S$54:$S$325,'Digital Product Summary by COA'!$T$54:$T$325,$A$536,'Digital Product Summary by COA'!$C$54:$C$325,$A539)</f>
        <v>#NAME?</v>
      </c>
      <c r="J539" s="13"/>
      <c r="Z539" s="15"/>
      <c r="AA539" s="15"/>
      <c r="AB539" s="15"/>
      <c r="AC539" s="15"/>
    </row>
    <row r="540" spans="1:29" ht="15.75" hidden="1" customHeight="1" outlineLevel="1" x14ac:dyDescent="0.85">
      <c r="A540" s="165" t="s">
        <v>73</v>
      </c>
      <c r="B540" s="102"/>
      <c r="C540" s="102">
        <f t="shared" si="303"/>
        <v>0</v>
      </c>
      <c r="D540" s="102">
        <f t="shared" si="304"/>
        <v>0</v>
      </c>
      <c r="E540" s="102">
        <f ca="1">SUMIFS('Digital Product Summary by COA'!$S$54:$S$325,'Digital Product Summary by COA'!$T$54:$T$325,$A$536,'Digital Product Summary by COA'!$C$54:$C$325,$A540)</f>
        <v>0</v>
      </c>
      <c r="J540" s="13"/>
      <c r="Z540" s="15"/>
      <c r="AA540" s="15"/>
      <c r="AB540" s="15"/>
      <c r="AC540" s="15"/>
    </row>
    <row r="541" spans="1:29" ht="15.75" hidden="1" customHeight="1" outlineLevel="1" x14ac:dyDescent="0.85">
      <c r="A541" s="165" t="s">
        <v>74</v>
      </c>
      <c r="B541" s="102"/>
      <c r="C541" s="102">
        <f t="shared" si="303"/>
        <v>0</v>
      </c>
      <c r="D541" s="102">
        <f t="shared" si="304"/>
        <v>0</v>
      </c>
      <c r="E541" s="102">
        <f ca="1">SUMIFS('Digital Product Summary by COA'!$S$54:$S$325,'Digital Product Summary by COA'!$T$54:$T$325,$A$536,'Digital Product Summary by COA'!$C$54:$C$325,$A541)</f>
        <v>0</v>
      </c>
      <c r="J541" s="13"/>
      <c r="Z541" s="15"/>
      <c r="AA541" s="15"/>
      <c r="AB541" s="15"/>
      <c r="AC541" s="15"/>
    </row>
    <row r="542" spans="1:29" ht="15.75" hidden="1" customHeight="1" outlineLevel="1" x14ac:dyDescent="0.85">
      <c r="A542" s="165" t="s">
        <v>77</v>
      </c>
      <c r="B542" s="102"/>
      <c r="C542" s="102">
        <f t="shared" si="303"/>
        <v>0</v>
      </c>
      <c r="D542" s="102">
        <f t="shared" si="304"/>
        <v>0</v>
      </c>
      <c r="E542" s="102" t="e">
        <f ca="1">SUMIFS('Digital Product Summary by COA'!$S$54:$S$325,'Digital Product Summary by COA'!$T$54:$T$325,$A$536,'Digital Product Summary by COA'!$C$54:$C$325,$A542)</f>
        <v>#NAME?</v>
      </c>
      <c r="J542" s="13"/>
      <c r="Z542" s="15"/>
      <c r="AA542" s="15"/>
      <c r="AB542" s="15"/>
      <c r="AC542" s="15"/>
    </row>
    <row r="543" spans="1:29" ht="15.75" hidden="1" customHeight="1" outlineLevel="1" x14ac:dyDescent="0.85">
      <c r="A543" s="165" t="s">
        <v>78</v>
      </c>
      <c r="B543" s="102"/>
      <c r="C543" s="102">
        <f t="shared" si="303"/>
        <v>0</v>
      </c>
      <c r="D543" s="102">
        <f t="shared" si="304"/>
        <v>0</v>
      </c>
      <c r="E543" s="102">
        <f ca="1">SUMIFS('Digital Product Summary by COA'!$S$54:$S$325,'Digital Product Summary by COA'!$T$54:$T$325,$A$536,'Digital Product Summary by COA'!$C$54:$C$325,$A543)</f>
        <v>0</v>
      </c>
      <c r="J543" s="13"/>
      <c r="Z543" s="15"/>
      <c r="AA543" s="15"/>
      <c r="AB543" s="15"/>
      <c r="AC543" s="15"/>
    </row>
    <row r="544" spans="1:29" ht="15.75" hidden="1" customHeight="1" outlineLevel="1" x14ac:dyDescent="0.85">
      <c r="A544" s="165" t="s">
        <v>79</v>
      </c>
      <c r="B544" s="102"/>
      <c r="C544" s="102">
        <f t="shared" si="303"/>
        <v>0</v>
      </c>
      <c r="D544" s="102">
        <f t="shared" si="304"/>
        <v>0</v>
      </c>
      <c r="E544" s="102">
        <f ca="1">SUMIFS('Digital Product Summary by COA'!$S$54:$S$325,'Digital Product Summary by COA'!$T$54:$T$325,$A$536,'Digital Product Summary by COA'!$C$54:$C$325,$A544)</f>
        <v>0</v>
      </c>
      <c r="J544" s="13"/>
      <c r="Z544" s="15"/>
      <c r="AA544" s="15"/>
      <c r="AB544" s="15"/>
      <c r="AC544" s="15"/>
    </row>
    <row r="545" spans="1:29" ht="15.75" hidden="1" customHeight="1" outlineLevel="1" x14ac:dyDescent="0.85">
      <c r="A545" s="165" t="s">
        <v>80</v>
      </c>
      <c r="B545" s="102"/>
      <c r="C545" s="102">
        <f t="shared" si="303"/>
        <v>0</v>
      </c>
      <c r="D545" s="102">
        <f t="shared" si="304"/>
        <v>0</v>
      </c>
      <c r="E545" s="102">
        <f ca="1">SUMIFS('Digital Product Summary by COA'!$S$54:$S$325,'Digital Product Summary by COA'!$T$54:$T$325,$A$536,'Digital Product Summary by COA'!$C$54:$C$325,$A545)</f>
        <v>0</v>
      </c>
      <c r="J545" s="13"/>
      <c r="Z545" s="15"/>
      <c r="AA545" s="15"/>
      <c r="AB545" s="15"/>
      <c r="AC545" s="15"/>
    </row>
    <row r="546" spans="1:29" ht="15.75" hidden="1" customHeight="1" outlineLevel="1" x14ac:dyDescent="0.85">
      <c r="A546" s="165" t="s">
        <v>82</v>
      </c>
      <c r="B546" s="102"/>
      <c r="C546" s="102">
        <f t="shared" si="303"/>
        <v>0</v>
      </c>
      <c r="D546" s="102">
        <f t="shared" si="304"/>
        <v>0</v>
      </c>
      <c r="E546" s="102">
        <f ca="1">SUMIFS('Digital Product Summary by COA'!$S$54:$S$325,'Digital Product Summary by COA'!$T$54:$T$325,$A$536,'Digital Product Summary by COA'!$C$54:$C$325,$A546)</f>
        <v>0</v>
      </c>
      <c r="J546" s="13"/>
      <c r="Z546" s="15"/>
      <c r="AA546" s="15"/>
      <c r="AB546" s="15"/>
      <c r="AC546" s="15"/>
    </row>
    <row r="547" spans="1:29" ht="15.75" hidden="1" customHeight="1" outlineLevel="1" x14ac:dyDescent="0.85">
      <c r="A547" s="165" t="s">
        <v>83</v>
      </c>
      <c r="B547" s="102"/>
      <c r="C547" s="102">
        <f t="shared" si="303"/>
        <v>0</v>
      </c>
      <c r="D547" s="102">
        <f t="shared" si="304"/>
        <v>0</v>
      </c>
      <c r="E547" s="102">
        <f ca="1">SUMIFS('Digital Product Summary by COA'!$S$54:$S$325,'Digital Product Summary by COA'!$T$54:$T$325,$A$536,'Digital Product Summary by COA'!$C$54:$C$325,$A547)</f>
        <v>0</v>
      </c>
      <c r="J547" s="13"/>
      <c r="Z547" s="15"/>
      <c r="AA547" s="15"/>
      <c r="AB547" s="15"/>
      <c r="AC547" s="15"/>
    </row>
    <row r="548" spans="1:29" ht="15.75" customHeight="1" collapsed="1" x14ac:dyDescent="0.3">
      <c r="A548" s="166" t="s">
        <v>84</v>
      </c>
      <c r="B548" s="168">
        <f t="shared" ref="B548:E548" si="305">SUBTOTAL(9,B549)</f>
        <v>0</v>
      </c>
      <c r="C548" s="168">
        <f t="shared" si="305"/>
        <v>0</v>
      </c>
      <c r="D548" s="168">
        <f t="shared" si="305"/>
        <v>0</v>
      </c>
      <c r="E548" s="168" t="e">
        <f t="shared" ca="1" si="305"/>
        <v>#NAME?</v>
      </c>
      <c r="J548" s="13"/>
      <c r="Z548" s="15"/>
      <c r="AA548" s="15"/>
      <c r="AB548" s="15"/>
      <c r="AC548" s="15"/>
    </row>
    <row r="549" spans="1:29" ht="15.75" hidden="1" customHeight="1" outlineLevel="1" x14ac:dyDescent="0.85">
      <c r="A549" s="165" t="s">
        <v>85</v>
      </c>
      <c r="B549" s="102"/>
      <c r="C549" s="102">
        <f>J549+K549</f>
        <v>0</v>
      </c>
      <c r="D549" s="102">
        <f>C549-B549</f>
        <v>0</v>
      </c>
      <c r="E549" s="102" t="e">
        <f ca="1">SUMIFS('Digital Product Summary by COA'!$S$54:$S$325,'Digital Product Summary by COA'!$T$54:$T$325,$A$536,'Digital Product Summary by COA'!$C$54:$C$325,$A549)</f>
        <v>#NAME?</v>
      </c>
      <c r="J549" s="13"/>
      <c r="Z549" s="15"/>
      <c r="AA549" s="15"/>
      <c r="AB549" s="15"/>
      <c r="AC549" s="15"/>
    </row>
    <row r="550" spans="1:29" ht="15.75" customHeight="1" collapsed="1" x14ac:dyDescent="0.3">
      <c r="A550" s="166" t="s">
        <v>86</v>
      </c>
      <c r="B550" s="168">
        <f t="shared" ref="B550:E550" si="306">SUBTOTAL(9,B551:B556)</f>
        <v>0</v>
      </c>
      <c r="C550" s="168">
        <f t="shared" si="306"/>
        <v>0</v>
      </c>
      <c r="D550" s="168">
        <f t="shared" si="306"/>
        <v>0</v>
      </c>
      <c r="E550" s="168" t="e">
        <f t="shared" ca="1" si="306"/>
        <v>#NAME?</v>
      </c>
      <c r="J550" s="13"/>
      <c r="Z550" s="15"/>
      <c r="AA550" s="15"/>
      <c r="AB550" s="15"/>
      <c r="AC550" s="15"/>
    </row>
    <row r="551" spans="1:29" ht="15.75" hidden="1" customHeight="1" outlineLevel="1" x14ac:dyDescent="0.85">
      <c r="A551" s="165" t="s">
        <v>88</v>
      </c>
      <c r="B551" s="102"/>
      <c r="C551" s="102">
        <f t="shared" ref="C551:C556" si="307">J551+K551</f>
        <v>0</v>
      </c>
      <c r="D551" s="102">
        <f t="shared" ref="D551:D556" si="308">C551-B551</f>
        <v>0</v>
      </c>
      <c r="E551" s="102" t="e">
        <f ca="1">SUMIFS('Digital Product Summary by COA'!$S$54:$S$325,'Digital Product Summary by COA'!$T$54:$T$325,$A$536,'Digital Product Summary by COA'!$C$54:$C$325,$A551)</f>
        <v>#NAME?</v>
      </c>
      <c r="J551" s="13"/>
      <c r="Z551" s="15"/>
      <c r="AA551" s="15"/>
      <c r="AB551" s="15"/>
      <c r="AC551" s="15"/>
    </row>
    <row r="552" spans="1:29" ht="15.75" hidden="1" customHeight="1" outlineLevel="1" x14ac:dyDescent="0.85">
      <c r="A552" s="165" t="s">
        <v>89</v>
      </c>
      <c r="B552" s="102"/>
      <c r="C552" s="102">
        <f t="shared" si="307"/>
        <v>0</v>
      </c>
      <c r="D552" s="102">
        <f t="shared" si="308"/>
        <v>0</v>
      </c>
      <c r="E552" s="102" t="e">
        <f ca="1">SUMIFS('Digital Product Summary by COA'!$S$54:$S$325,'Digital Product Summary by COA'!$T$54:$T$325,$A$536,'Digital Product Summary by COA'!$C$54:$C$325,$A552)</f>
        <v>#NAME?</v>
      </c>
      <c r="J552" s="13"/>
      <c r="Z552" s="15"/>
      <c r="AA552" s="15"/>
      <c r="AB552" s="15"/>
      <c r="AC552" s="15"/>
    </row>
    <row r="553" spans="1:29" ht="15.75" hidden="1" customHeight="1" outlineLevel="1" x14ac:dyDescent="0.85">
      <c r="A553" s="165" t="s">
        <v>90</v>
      </c>
      <c r="B553" s="102"/>
      <c r="C553" s="102">
        <f t="shared" si="307"/>
        <v>0</v>
      </c>
      <c r="D553" s="102">
        <f t="shared" si="308"/>
        <v>0</v>
      </c>
      <c r="E553" s="102" t="e">
        <f ca="1">SUMIFS('Digital Product Summary by COA'!$S$54:$S$325,'Digital Product Summary by COA'!$T$54:$T$325,$A$536,'Digital Product Summary by COA'!$C$54:$C$325,$A553)</f>
        <v>#NAME?</v>
      </c>
      <c r="J553" s="13"/>
      <c r="Z553" s="15"/>
      <c r="AA553" s="15"/>
      <c r="AB553" s="15"/>
      <c r="AC553" s="15"/>
    </row>
    <row r="554" spans="1:29" ht="15.75" hidden="1" customHeight="1" outlineLevel="1" x14ac:dyDescent="0.85">
      <c r="A554" s="165" t="s">
        <v>91</v>
      </c>
      <c r="B554" s="102"/>
      <c r="C554" s="102">
        <f t="shared" si="307"/>
        <v>0</v>
      </c>
      <c r="D554" s="102">
        <f t="shared" si="308"/>
        <v>0</v>
      </c>
      <c r="E554" s="102" t="e">
        <f ca="1">SUMIFS('Digital Product Summary by COA'!$S$54:$S$325,'Digital Product Summary by COA'!$T$54:$T$325,$A$536,'Digital Product Summary by COA'!$C$54:$C$325,$A554)</f>
        <v>#NAME?</v>
      </c>
      <c r="J554" s="13"/>
      <c r="Z554" s="15"/>
      <c r="AA554" s="15"/>
      <c r="AB554" s="15"/>
      <c r="AC554" s="15"/>
    </row>
    <row r="555" spans="1:29" ht="15.75" hidden="1" customHeight="1" outlineLevel="1" x14ac:dyDescent="0.85">
      <c r="A555" s="165" t="s">
        <v>92</v>
      </c>
      <c r="B555" s="102"/>
      <c r="C555" s="102">
        <f t="shared" si="307"/>
        <v>0</v>
      </c>
      <c r="D555" s="102">
        <f t="shared" si="308"/>
        <v>0</v>
      </c>
      <c r="E555" s="102" t="e">
        <f ca="1">SUMIFS('Digital Product Summary by COA'!$S$54:$S$325,'Digital Product Summary by COA'!$T$54:$T$325,$A$536,'Digital Product Summary by COA'!$C$54:$C$325,$A555)</f>
        <v>#NAME?</v>
      </c>
      <c r="J555" s="13"/>
      <c r="Z555" s="15"/>
      <c r="AA555" s="15"/>
      <c r="AB555" s="15"/>
      <c r="AC555" s="15"/>
    </row>
    <row r="556" spans="1:29" ht="15.75" hidden="1" customHeight="1" outlineLevel="1" x14ac:dyDescent="0.85">
      <c r="A556" s="165" t="s">
        <v>93</v>
      </c>
      <c r="B556" s="102"/>
      <c r="C556" s="102">
        <f t="shared" si="307"/>
        <v>0</v>
      </c>
      <c r="D556" s="102">
        <f t="shared" si="308"/>
        <v>0</v>
      </c>
      <c r="E556" s="102" t="e">
        <f ca="1">SUMIFS('Digital Product Summary by COA'!$S$54:$S$325,'Digital Product Summary by COA'!$T$54:$T$325,$A$536,'Digital Product Summary by COA'!$C$54:$C$325,$A556)</f>
        <v>#NAME?</v>
      </c>
      <c r="J556" s="13"/>
      <c r="Z556" s="15"/>
      <c r="AA556" s="15"/>
      <c r="AB556" s="15"/>
      <c r="AC556" s="15"/>
    </row>
    <row r="557" spans="1:29" ht="15.75" customHeight="1" collapsed="1" x14ac:dyDescent="0.3">
      <c r="A557" s="166" t="s">
        <v>94</v>
      </c>
      <c r="B557" s="168">
        <f t="shared" ref="B557:E557" si="309">SUBTOTAL(9,B558:B562)</f>
        <v>0</v>
      </c>
      <c r="C557" s="168">
        <f t="shared" si="309"/>
        <v>0</v>
      </c>
      <c r="D557" s="168">
        <f t="shared" si="309"/>
        <v>0</v>
      </c>
      <c r="E557" s="168" t="e">
        <f t="shared" ca="1" si="309"/>
        <v>#NAME?</v>
      </c>
      <c r="J557" s="13"/>
      <c r="Z557" s="15"/>
      <c r="AA557" s="15"/>
      <c r="AB557" s="15"/>
      <c r="AC557" s="15"/>
    </row>
    <row r="558" spans="1:29" ht="15.75" hidden="1" customHeight="1" outlineLevel="1" x14ac:dyDescent="0.85">
      <c r="A558" s="165" t="s">
        <v>95</v>
      </c>
      <c r="B558" s="225"/>
      <c r="C558" s="102">
        <f t="shared" ref="C558:C562" si="310">J558+K558</f>
        <v>0</v>
      </c>
      <c r="D558" s="102">
        <f t="shared" ref="D558:D562" si="311">C558-B558</f>
        <v>0</v>
      </c>
      <c r="E558" s="102" t="e">
        <f ca="1">SUMIFS('Digital Product Summary by COA'!$S$54:$S$325,'Digital Product Summary by COA'!$T$54:$T$325,$A$536,'Digital Product Summary by COA'!$C$54:$C$325,$A558)</f>
        <v>#NAME?</v>
      </c>
      <c r="J558" s="13"/>
      <c r="Z558" s="15"/>
      <c r="AA558" s="15"/>
      <c r="AB558" s="15"/>
      <c r="AC558" s="15"/>
    </row>
    <row r="559" spans="1:29" ht="15.75" hidden="1" customHeight="1" outlineLevel="1" x14ac:dyDescent="0.85">
      <c r="A559" s="165" t="s">
        <v>96</v>
      </c>
      <c r="B559" s="225"/>
      <c r="C559" s="102">
        <f t="shared" si="310"/>
        <v>0</v>
      </c>
      <c r="D559" s="102">
        <f t="shared" si="311"/>
        <v>0</v>
      </c>
      <c r="E559" s="102">
        <f ca="1">SUMIFS('Digital Product Summary by COA'!$S$54:$S$325,'Digital Product Summary by COA'!$T$54:$T$325,$A$536,'Digital Product Summary by COA'!$C$54:$C$325,$A559)</f>
        <v>0</v>
      </c>
      <c r="J559" s="13"/>
      <c r="Z559" s="15"/>
      <c r="AA559" s="15"/>
      <c r="AB559" s="15"/>
      <c r="AC559" s="15"/>
    </row>
    <row r="560" spans="1:29" ht="15.75" hidden="1" customHeight="1" outlineLevel="1" x14ac:dyDescent="0.85">
      <c r="A560" s="165" t="s">
        <v>97</v>
      </c>
      <c r="B560" s="225"/>
      <c r="C560" s="102">
        <f t="shared" si="310"/>
        <v>0</v>
      </c>
      <c r="D560" s="102">
        <f t="shared" si="311"/>
        <v>0</v>
      </c>
      <c r="E560" s="102">
        <f ca="1">SUMIFS('Digital Product Summary by COA'!$S$54:$S$325,'Digital Product Summary by COA'!$T$54:$T$325,$A$536,'Digital Product Summary by COA'!$C$54:$C$325,$A560)</f>
        <v>0</v>
      </c>
      <c r="J560" s="13"/>
      <c r="Z560" s="15"/>
      <c r="AA560" s="15"/>
      <c r="AB560" s="15"/>
      <c r="AC560" s="15"/>
    </row>
    <row r="561" spans="1:29" ht="15.75" hidden="1" customHeight="1" outlineLevel="1" x14ac:dyDescent="0.85">
      <c r="A561" s="165" t="s">
        <v>98</v>
      </c>
      <c r="B561" s="225"/>
      <c r="C561" s="102">
        <f t="shared" si="310"/>
        <v>0</v>
      </c>
      <c r="D561" s="102">
        <f t="shared" si="311"/>
        <v>0</v>
      </c>
      <c r="E561" s="102">
        <f ca="1">SUMIFS('Digital Product Summary by COA'!$S$54:$S$325,'Digital Product Summary by COA'!$T$54:$T$325,$A$536,'Digital Product Summary by COA'!$C$54:$C$325,$A561)</f>
        <v>0</v>
      </c>
      <c r="J561" s="13"/>
      <c r="Z561" s="15"/>
      <c r="AA561" s="15"/>
      <c r="AB561" s="15"/>
      <c r="AC561" s="15"/>
    </row>
    <row r="562" spans="1:29" ht="15.75" hidden="1" customHeight="1" outlineLevel="1" x14ac:dyDescent="0.85">
      <c r="A562" s="165" t="s">
        <v>99</v>
      </c>
      <c r="B562" s="225"/>
      <c r="C562" s="102">
        <f t="shared" si="310"/>
        <v>0</v>
      </c>
      <c r="D562" s="102">
        <f t="shared" si="311"/>
        <v>0</v>
      </c>
      <c r="E562" s="102" t="e">
        <f ca="1">SUMIFS('Digital Product Summary by COA'!$S$54:$S$325,'Digital Product Summary by COA'!$T$54:$T$325,$A$536,'Digital Product Summary by COA'!$C$54:$C$325,$A562)</f>
        <v>#NAME?</v>
      </c>
      <c r="J562" s="13"/>
      <c r="Z562" s="15"/>
      <c r="AA562" s="15"/>
      <c r="AB562" s="15"/>
      <c r="AC562" s="15"/>
    </row>
    <row r="563" spans="1:29" ht="15.75" customHeight="1" collapsed="1" x14ac:dyDescent="0.3">
      <c r="A563" s="166" t="s">
        <v>100</v>
      </c>
      <c r="B563" s="168">
        <f t="shared" ref="B563:E563" si="312">SUBTOTAL(9,B564:B566)</f>
        <v>0</v>
      </c>
      <c r="C563" s="168">
        <f t="shared" si="312"/>
        <v>0</v>
      </c>
      <c r="D563" s="168">
        <f t="shared" si="312"/>
        <v>0</v>
      </c>
      <c r="E563" s="168" t="e">
        <f t="shared" ca="1" si="312"/>
        <v>#NAME?</v>
      </c>
      <c r="J563" s="13"/>
      <c r="Z563" s="15"/>
      <c r="AA563" s="15"/>
      <c r="AB563" s="15"/>
      <c r="AC563" s="15"/>
    </row>
    <row r="564" spans="1:29" ht="15.75" hidden="1" customHeight="1" outlineLevel="1" x14ac:dyDescent="0.85">
      <c r="A564" s="165" t="s">
        <v>101</v>
      </c>
      <c r="B564" s="225"/>
      <c r="C564" s="102">
        <f t="shared" ref="C564:C566" si="313">J564+K564</f>
        <v>0</v>
      </c>
      <c r="D564" s="102"/>
      <c r="E564" s="102" t="e">
        <f ca="1">SUMIFS('Digital Product Summary by COA'!$S$54:$S$325,'Digital Product Summary by COA'!$T$54:$T$325,$A$536,'Digital Product Summary by COA'!$C$54:$C$325,$A564)</f>
        <v>#NAME?</v>
      </c>
      <c r="J564" s="13"/>
      <c r="Z564" s="15"/>
      <c r="AA564" s="15"/>
      <c r="AB564" s="15"/>
      <c r="AC564" s="15"/>
    </row>
    <row r="565" spans="1:29" ht="15.75" hidden="1" customHeight="1" outlineLevel="1" x14ac:dyDescent="0.85">
      <c r="A565" s="165" t="s">
        <v>103</v>
      </c>
      <c r="B565" s="225"/>
      <c r="C565" s="102">
        <f t="shared" si="313"/>
        <v>0</v>
      </c>
      <c r="D565" s="102">
        <f>C565-B565</f>
        <v>0</v>
      </c>
      <c r="E565" s="102" t="e">
        <f ca="1">SUMIFS('Digital Product Summary by COA'!$S$54:$S$325,'Digital Product Summary by COA'!$T$54:$T$325,$A$536,'Digital Product Summary by COA'!$C$54:$C$325,$A565)</f>
        <v>#NAME?</v>
      </c>
      <c r="J565" s="13"/>
      <c r="Z565" s="15"/>
      <c r="AA565" s="15"/>
      <c r="AB565" s="15"/>
      <c r="AC565" s="15"/>
    </row>
    <row r="566" spans="1:29" ht="15.75" hidden="1" customHeight="1" outlineLevel="1" x14ac:dyDescent="0.85">
      <c r="A566" s="165" t="s">
        <v>104</v>
      </c>
      <c r="B566" s="225"/>
      <c r="C566" s="102">
        <f t="shared" si="313"/>
        <v>0</v>
      </c>
      <c r="D566" s="172"/>
      <c r="E566" s="102" t="e">
        <f ca="1">SUMIFS('Digital Product Summary by COA'!$S$54:$S$325,'Digital Product Summary by COA'!$T$54:$T$325,$A$536,'Digital Product Summary by COA'!$C$54:$C$325,$A566)</f>
        <v>#NAME?</v>
      </c>
      <c r="J566" s="13"/>
      <c r="Z566" s="15"/>
      <c r="AA566" s="15"/>
      <c r="AB566" s="15"/>
      <c r="AC566" s="15"/>
    </row>
    <row r="567" spans="1:29" ht="15.75" customHeight="1" collapsed="1" x14ac:dyDescent="0.3">
      <c r="A567" s="166" t="s">
        <v>105</v>
      </c>
      <c r="B567" s="168">
        <f t="shared" ref="B567:E567" si="314">SUBTOTAL(9,B568:B582)</f>
        <v>0</v>
      </c>
      <c r="C567" s="168">
        <f t="shared" si="314"/>
        <v>0</v>
      </c>
      <c r="D567" s="168">
        <f t="shared" si="314"/>
        <v>0</v>
      </c>
      <c r="E567" s="168" t="e">
        <f t="shared" ca="1" si="314"/>
        <v>#NAME?</v>
      </c>
      <c r="J567" s="13"/>
      <c r="Z567" s="15"/>
      <c r="AA567" s="15"/>
      <c r="AB567" s="15"/>
      <c r="AC567" s="15"/>
    </row>
    <row r="568" spans="1:29" ht="15.75" hidden="1" customHeight="1" outlineLevel="1" x14ac:dyDescent="0.85">
      <c r="A568" s="165" t="s">
        <v>110</v>
      </c>
      <c r="B568" s="102"/>
      <c r="C568" s="102">
        <f t="shared" ref="C568:C582" si="315">J568+K568</f>
        <v>0</v>
      </c>
      <c r="D568" s="102">
        <f t="shared" ref="D568:D582" si="316">C568-B568</f>
        <v>0</v>
      </c>
      <c r="E568" s="102" t="e">
        <f ca="1">SUMIFS('Digital Product Summary by COA'!$S$54:$S$325,'Digital Product Summary by COA'!$T$54:$T$325,$A$536,'Digital Product Summary by COA'!$C$54:$C$325,$A568)</f>
        <v>#NAME?</v>
      </c>
      <c r="J568" s="13"/>
      <c r="Z568" s="15"/>
      <c r="AA568" s="15"/>
      <c r="AB568" s="15"/>
      <c r="AC568" s="15"/>
    </row>
    <row r="569" spans="1:29" ht="15.75" hidden="1" customHeight="1" outlineLevel="1" x14ac:dyDescent="0.85">
      <c r="A569" s="165" t="s">
        <v>111</v>
      </c>
      <c r="B569" s="102"/>
      <c r="C569" s="102">
        <f t="shared" si="315"/>
        <v>0</v>
      </c>
      <c r="D569" s="102">
        <f t="shared" si="316"/>
        <v>0</v>
      </c>
      <c r="E569" s="102">
        <f ca="1">SUMIFS('Digital Product Summary by COA'!$S$54:$S$325,'Digital Product Summary by COA'!$T$54:$T$325,$A$536,'Digital Product Summary by COA'!$C$54:$C$325,$A569)</f>
        <v>0</v>
      </c>
      <c r="J569" s="13"/>
      <c r="Z569" s="15"/>
      <c r="AA569" s="15"/>
      <c r="AB569" s="15"/>
      <c r="AC569" s="15"/>
    </row>
    <row r="570" spans="1:29" ht="15.75" hidden="1" customHeight="1" outlineLevel="1" x14ac:dyDescent="0.85">
      <c r="A570" s="165" t="s">
        <v>112</v>
      </c>
      <c r="B570" s="102"/>
      <c r="C570" s="102">
        <f t="shared" si="315"/>
        <v>0</v>
      </c>
      <c r="D570" s="102">
        <f t="shared" si="316"/>
        <v>0</v>
      </c>
      <c r="E570" s="102">
        <f ca="1">SUMIFS('Digital Product Summary by COA'!$S$54:$S$325,'Digital Product Summary by COA'!$T$54:$T$325,$A$536,'Digital Product Summary by COA'!$C$54:$C$325,$A570)</f>
        <v>0</v>
      </c>
      <c r="J570" s="13"/>
      <c r="Z570" s="15"/>
      <c r="AA570" s="15"/>
      <c r="AB570" s="15"/>
      <c r="AC570" s="15"/>
    </row>
    <row r="571" spans="1:29" ht="15.75" hidden="1" customHeight="1" outlineLevel="1" x14ac:dyDescent="0.85">
      <c r="A571" s="165" t="s">
        <v>113</v>
      </c>
      <c r="B571" s="102"/>
      <c r="C571" s="102">
        <f t="shared" si="315"/>
        <v>0</v>
      </c>
      <c r="D571" s="102">
        <f t="shared" si="316"/>
        <v>0</v>
      </c>
      <c r="E571" s="102" t="e">
        <f ca="1">SUMIFS('Digital Product Summary by COA'!$S$54:$S$325,'Digital Product Summary by COA'!$T$54:$T$325,$A$536,'Digital Product Summary by COA'!$C$54:$C$325,$A571)</f>
        <v>#NAME?</v>
      </c>
      <c r="J571" s="13"/>
      <c r="Z571" s="15"/>
      <c r="AA571" s="15"/>
      <c r="AB571" s="15"/>
      <c r="AC571" s="15"/>
    </row>
    <row r="572" spans="1:29" ht="15.75" hidden="1" customHeight="1" outlineLevel="1" x14ac:dyDescent="0.85">
      <c r="A572" s="165" t="s">
        <v>114</v>
      </c>
      <c r="B572" s="102"/>
      <c r="C572" s="102">
        <f t="shared" si="315"/>
        <v>0</v>
      </c>
      <c r="D572" s="102">
        <f t="shared" si="316"/>
        <v>0</v>
      </c>
      <c r="E572" s="102" t="e">
        <f ca="1">SUMIFS('Digital Product Summary by COA'!$S$54:$S$325,'Digital Product Summary by COA'!$T$54:$T$325,$A$536,'Digital Product Summary by COA'!$C$54:$C$325,$A572)</f>
        <v>#NAME?</v>
      </c>
      <c r="J572" s="13"/>
      <c r="Z572" s="15"/>
      <c r="AA572" s="15"/>
      <c r="AB572" s="15"/>
      <c r="AC572" s="15"/>
    </row>
    <row r="573" spans="1:29" ht="15.75" hidden="1" customHeight="1" outlineLevel="1" x14ac:dyDescent="0.85">
      <c r="A573" s="165" t="s">
        <v>115</v>
      </c>
      <c r="B573" s="102"/>
      <c r="C573" s="102">
        <f t="shared" si="315"/>
        <v>0</v>
      </c>
      <c r="D573" s="102">
        <f t="shared" si="316"/>
        <v>0</v>
      </c>
      <c r="E573" s="102">
        <f ca="1">SUMIFS('Digital Product Summary by COA'!$S$54:$S$325,'Digital Product Summary by COA'!$T$54:$T$325,$A$536,'Digital Product Summary by COA'!$C$54:$C$325,$A573)</f>
        <v>0</v>
      </c>
      <c r="J573" s="13"/>
      <c r="Z573" s="15"/>
      <c r="AA573" s="15"/>
      <c r="AB573" s="15"/>
      <c r="AC573" s="15"/>
    </row>
    <row r="574" spans="1:29" ht="15.75" hidden="1" customHeight="1" outlineLevel="1" x14ac:dyDescent="0.85">
      <c r="A574" s="165" t="s">
        <v>117</v>
      </c>
      <c r="B574" s="102"/>
      <c r="C574" s="102">
        <f t="shared" si="315"/>
        <v>0</v>
      </c>
      <c r="D574" s="102">
        <f t="shared" si="316"/>
        <v>0</v>
      </c>
      <c r="E574" s="102">
        <f ca="1">SUMIFS('Digital Product Summary by COA'!$S$54:$S$325,'Digital Product Summary by COA'!$T$54:$T$325,$A$536,'Digital Product Summary by COA'!$C$54:$C$325,$A574)</f>
        <v>0</v>
      </c>
      <c r="J574" s="13"/>
      <c r="Z574" s="15"/>
      <c r="AA574" s="15"/>
      <c r="AB574" s="15"/>
      <c r="AC574" s="15"/>
    </row>
    <row r="575" spans="1:29" ht="15.75" hidden="1" customHeight="1" outlineLevel="1" x14ac:dyDescent="0.85">
      <c r="A575" s="165" t="s">
        <v>118</v>
      </c>
      <c r="B575" s="102"/>
      <c r="C575" s="102">
        <f t="shared" si="315"/>
        <v>0</v>
      </c>
      <c r="D575" s="102">
        <f t="shared" si="316"/>
        <v>0</v>
      </c>
      <c r="E575" s="102">
        <f ca="1">SUMIFS('Digital Product Summary by COA'!$S$54:$S$325,'Digital Product Summary by COA'!$T$54:$T$325,$A$536,'Digital Product Summary by COA'!$C$54:$C$325,$A575)</f>
        <v>0</v>
      </c>
      <c r="J575" s="13"/>
      <c r="Z575" s="15"/>
      <c r="AA575" s="15"/>
      <c r="AB575" s="15"/>
      <c r="AC575" s="15"/>
    </row>
    <row r="576" spans="1:29" ht="15.75" hidden="1" customHeight="1" outlineLevel="1" x14ac:dyDescent="0.85">
      <c r="A576" s="165" t="s">
        <v>119</v>
      </c>
      <c r="B576" s="102"/>
      <c r="C576" s="102">
        <f t="shared" si="315"/>
        <v>0</v>
      </c>
      <c r="D576" s="102">
        <f t="shared" si="316"/>
        <v>0</v>
      </c>
      <c r="E576" s="102">
        <f ca="1">SUMIFS('Digital Product Summary by COA'!$S$54:$S$325,'Digital Product Summary by COA'!$T$54:$T$325,$A$536,'Digital Product Summary by COA'!$C$54:$C$325,$A576)</f>
        <v>0</v>
      </c>
      <c r="J576" s="13"/>
      <c r="Z576" s="15"/>
      <c r="AA576" s="15"/>
      <c r="AB576" s="15"/>
      <c r="AC576" s="15"/>
    </row>
    <row r="577" spans="1:29" ht="15.75" hidden="1" customHeight="1" outlineLevel="1" x14ac:dyDescent="0.85">
      <c r="A577" s="165" t="s">
        <v>120</v>
      </c>
      <c r="B577" s="102"/>
      <c r="C577" s="102">
        <f t="shared" si="315"/>
        <v>0</v>
      </c>
      <c r="D577" s="102">
        <f t="shared" si="316"/>
        <v>0</v>
      </c>
      <c r="E577" s="102">
        <f ca="1">SUMIFS('Digital Product Summary by COA'!$S$54:$S$325,'Digital Product Summary by COA'!$T$54:$T$325,$A$536,'Digital Product Summary by COA'!$C$54:$C$325,$A577)</f>
        <v>0</v>
      </c>
      <c r="J577" s="13"/>
      <c r="Z577" s="15"/>
      <c r="AA577" s="15"/>
      <c r="AB577" s="15"/>
      <c r="AC577" s="15"/>
    </row>
    <row r="578" spans="1:29" ht="15.75" hidden="1" customHeight="1" outlineLevel="1" x14ac:dyDescent="0.85">
      <c r="A578" s="165" t="s">
        <v>121</v>
      </c>
      <c r="B578" s="102"/>
      <c r="C578" s="102">
        <f t="shared" si="315"/>
        <v>0</v>
      </c>
      <c r="D578" s="102">
        <f t="shared" si="316"/>
        <v>0</v>
      </c>
      <c r="E578" s="102">
        <f ca="1">SUMIFS('Digital Product Summary by COA'!$S$54:$S$325,'Digital Product Summary by COA'!$T$54:$T$325,$A$536,'Digital Product Summary by COA'!$C$54:$C$325,$A578)</f>
        <v>0</v>
      </c>
      <c r="J578" s="13"/>
      <c r="Z578" s="15"/>
      <c r="AA578" s="15"/>
      <c r="AB578" s="15"/>
      <c r="AC578" s="15"/>
    </row>
    <row r="579" spans="1:29" ht="15.75" hidden="1" customHeight="1" outlineLevel="1" x14ac:dyDescent="0.85">
      <c r="A579" s="165" t="s">
        <v>122</v>
      </c>
      <c r="B579" s="102"/>
      <c r="C579" s="102">
        <f t="shared" si="315"/>
        <v>0</v>
      </c>
      <c r="D579" s="102">
        <f t="shared" si="316"/>
        <v>0</v>
      </c>
      <c r="E579" s="102">
        <f ca="1">SUMIFS('Digital Product Summary by COA'!$S$54:$S$325,'Digital Product Summary by COA'!$T$54:$T$325,$A$536,'Digital Product Summary by COA'!$C$54:$C$325,$A579)</f>
        <v>0</v>
      </c>
      <c r="J579" s="13"/>
      <c r="Z579" s="15"/>
      <c r="AA579" s="15"/>
      <c r="AB579" s="15"/>
      <c r="AC579" s="15"/>
    </row>
    <row r="580" spans="1:29" ht="15.75" hidden="1" customHeight="1" outlineLevel="1" x14ac:dyDescent="0.85">
      <c r="A580" s="165" t="s">
        <v>144</v>
      </c>
      <c r="B580" s="102"/>
      <c r="C580" s="102">
        <f t="shared" si="315"/>
        <v>0</v>
      </c>
      <c r="D580" s="102">
        <f t="shared" si="316"/>
        <v>0</v>
      </c>
      <c r="E580" s="102">
        <f ca="1">SUMIFS('Digital Product Summary by COA'!$S$54:$S$325,'Digital Product Summary by COA'!$T$54:$T$325,$A$536,'Digital Product Summary by COA'!$C$54:$C$325,$A580)</f>
        <v>0</v>
      </c>
      <c r="J580" s="13"/>
      <c r="Z580" s="15"/>
      <c r="AA580" s="15"/>
      <c r="AB580" s="15"/>
      <c r="AC580" s="15"/>
    </row>
    <row r="581" spans="1:29" ht="15.75" hidden="1" customHeight="1" outlineLevel="1" x14ac:dyDescent="0.25">
      <c r="A581" s="129" t="s">
        <v>124</v>
      </c>
      <c r="B581" s="102"/>
      <c r="C581" s="102">
        <f t="shared" si="315"/>
        <v>0</v>
      </c>
      <c r="D581" s="102">
        <f t="shared" si="316"/>
        <v>0</v>
      </c>
      <c r="E581" s="102">
        <f ca="1">SUMIFS('Digital Product Summary by COA'!$S$54:$S$325,'Digital Product Summary by COA'!$T$54:$T$325,$A$536,'Digital Product Summary by COA'!$C$54:$C$325,$A581)</f>
        <v>0</v>
      </c>
      <c r="J581" s="13"/>
      <c r="Z581" s="15"/>
      <c r="AA581" s="15"/>
      <c r="AB581" s="15"/>
      <c r="AC581" s="15"/>
    </row>
    <row r="582" spans="1:29" ht="15.75" hidden="1" customHeight="1" outlineLevel="1" x14ac:dyDescent="0.25">
      <c r="A582" s="129" t="s">
        <v>125</v>
      </c>
      <c r="B582" s="102"/>
      <c r="C582" s="102">
        <f t="shared" si="315"/>
        <v>0</v>
      </c>
      <c r="D582" s="102">
        <f t="shared" si="316"/>
        <v>0</v>
      </c>
      <c r="E582" s="102">
        <f ca="1">SUMIFS('Digital Product Summary by COA'!$S$54:$S$325,'Digital Product Summary by COA'!$T$54:$T$325,$A$536,'Digital Product Summary by COA'!$C$54:$C$325,$A582)</f>
        <v>0</v>
      </c>
      <c r="J582" s="13"/>
      <c r="Z582" s="15"/>
      <c r="AA582" s="15"/>
      <c r="AB582" s="15"/>
      <c r="AC582" s="15"/>
    </row>
    <row r="583" spans="1:29" ht="15.75" customHeight="1" collapsed="1" x14ac:dyDescent="0.3">
      <c r="A583" s="166" t="s">
        <v>126</v>
      </c>
      <c r="B583" s="168">
        <f t="shared" ref="B583:E583" si="317">SUBTOTAL(9,B584:B586)</f>
        <v>0</v>
      </c>
      <c r="C583" s="168">
        <f t="shared" si="317"/>
        <v>0</v>
      </c>
      <c r="D583" s="168">
        <f t="shared" si="317"/>
        <v>0</v>
      </c>
      <c r="E583" s="168" t="e">
        <f t="shared" ca="1" si="317"/>
        <v>#NAME?</v>
      </c>
      <c r="J583" s="13"/>
      <c r="Z583" s="15"/>
      <c r="AA583" s="15"/>
      <c r="AB583" s="15"/>
      <c r="AC583" s="15"/>
    </row>
    <row r="584" spans="1:29" ht="15.75" hidden="1" customHeight="1" outlineLevel="1" x14ac:dyDescent="0.25">
      <c r="A584" s="129" t="s">
        <v>128</v>
      </c>
      <c r="B584" s="225"/>
      <c r="C584" s="102">
        <f t="shared" ref="C584:C586" si="318">J584+K584</f>
        <v>0</v>
      </c>
      <c r="D584" s="102">
        <f t="shared" ref="D584:D586" si="319">C584-B584</f>
        <v>0</v>
      </c>
      <c r="E584" s="102">
        <f ca="1">SUMIFS('Digital Product Summary by COA'!$S$54:$S$325,'Digital Product Summary by COA'!$T$54:$T$325,$A$536,'Digital Product Summary by COA'!$C$54:$C$325,$A584)</f>
        <v>0</v>
      </c>
      <c r="J584" s="13"/>
      <c r="Z584" s="15"/>
      <c r="AA584" s="15"/>
      <c r="AB584" s="15"/>
      <c r="AC584" s="15"/>
    </row>
    <row r="585" spans="1:29" ht="15.75" hidden="1" customHeight="1" outlineLevel="1" x14ac:dyDescent="0.25">
      <c r="A585" s="129" t="s">
        <v>129</v>
      </c>
      <c r="B585" s="225"/>
      <c r="C585" s="102">
        <f t="shared" si="318"/>
        <v>0</v>
      </c>
      <c r="D585" s="102">
        <f t="shared" si="319"/>
        <v>0</v>
      </c>
      <c r="E585" s="102">
        <f ca="1">SUMIFS('Digital Product Summary by COA'!$S$54:$S$325,'Digital Product Summary by COA'!$T$54:$T$325,$A$536,'Digital Product Summary by COA'!$C$54:$C$325,$A585)</f>
        <v>0</v>
      </c>
      <c r="J585" s="13"/>
      <c r="Z585" s="15"/>
      <c r="AA585" s="15"/>
      <c r="AB585" s="15"/>
      <c r="AC585" s="15"/>
    </row>
    <row r="586" spans="1:29" ht="15.75" hidden="1" customHeight="1" outlineLevel="1" x14ac:dyDescent="0.25">
      <c r="A586" s="129" t="s">
        <v>134</v>
      </c>
      <c r="B586" s="225"/>
      <c r="C586" s="102">
        <f t="shared" si="318"/>
        <v>0</v>
      </c>
      <c r="D586" s="102">
        <f t="shared" si="319"/>
        <v>0</v>
      </c>
      <c r="E586" s="102" t="e">
        <f ca="1">SUMIFS('Digital Product Summary by COA'!$S$54:$S$325,'Digital Product Summary by COA'!$T$54:$T$325,$A$536,'Digital Product Summary by COA'!$C$54:$C$325,$A586)</f>
        <v>#NAME?</v>
      </c>
      <c r="J586" s="13"/>
      <c r="Z586" s="15"/>
      <c r="AA586" s="15"/>
      <c r="AB586" s="15"/>
      <c r="AC586" s="15"/>
    </row>
    <row r="587" spans="1:29" ht="15.75" customHeight="1" collapsed="1" x14ac:dyDescent="0.3">
      <c r="A587" s="166" t="s">
        <v>135</v>
      </c>
      <c r="B587" s="168">
        <f t="shared" ref="B587:E587" si="320">SUBTOTAL(9,B588)</f>
        <v>0</v>
      </c>
      <c r="C587" s="168">
        <f t="shared" si="320"/>
        <v>0</v>
      </c>
      <c r="D587" s="168">
        <f t="shared" si="320"/>
        <v>0</v>
      </c>
      <c r="E587" s="168" t="e">
        <f t="shared" ca="1" si="320"/>
        <v>#NAME?</v>
      </c>
      <c r="J587" s="13"/>
      <c r="Z587" s="15"/>
      <c r="AA587" s="15"/>
      <c r="AB587" s="15"/>
      <c r="AC587" s="15"/>
    </row>
    <row r="588" spans="1:29" ht="15.75" hidden="1" customHeight="1" outlineLevel="1" x14ac:dyDescent="0.25">
      <c r="A588" s="129" t="s">
        <v>138</v>
      </c>
      <c r="B588" s="225"/>
      <c r="C588" s="102">
        <f>J588+K588</f>
        <v>0</v>
      </c>
      <c r="D588" s="102">
        <f>C588-B588</f>
        <v>0</v>
      </c>
      <c r="E588" s="102" t="e">
        <f ca="1">SUMIFS('Digital Product Summary by COA'!$S$54:$S$325,'Digital Product Summary by COA'!$T$54:$T$325,$A$536,'Digital Product Summary by COA'!$C$54:$C$325,$A588)</f>
        <v>#NAME?</v>
      </c>
      <c r="J588" s="13"/>
      <c r="Z588" s="15"/>
      <c r="AA588" s="15"/>
      <c r="AB588" s="15"/>
      <c r="AC588" s="15"/>
    </row>
    <row r="589" spans="1:29" ht="15.75" customHeight="1" x14ac:dyDescent="0.3">
      <c r="A589" s="134"/>
      <c r="B589" s="173">
        <f t="shared" ref="B589:E589" si="321">SUBTOTAL(9,B538:B588)</f>
        <v>0</v>
      </c>
      <c r="C589" s="173">
        <f t="shared" si="321"/>
        <v>0</v>
      </c>
      <c r="D589" s="173">
        <f t="shared" si="321"/>
        <v>0</v>
      </c>
      <c r="E589" s="174" t="e">
        <f t="shared" ca="1" si="321"/>
        <v>#NAME?</v>
      </c>
      <c r="J589" s="13"/>
      <c r="Z589" s="15"/>
      <c r="AA589" s="15"/>
      <c r="AB589" s="15"/>
      <c r="AC589" s="15"/>
    </row>
    <row r="590" spans="1:29" ht="15.75" customHeight="1" x14ac:dyDescent="0.25">
      <c r="B590" s="145"/>
      <c r="C590" s="145"/>
      <c r="D590" s="145"/>
      <c r="E590" s="50">
        <f>'Shared Summary by Dept_US$'!C17</f>
        <v>21193.777777777777</v>
      </c>
      <c r="J590" s="13"/>
      <c r="Z590" s="15"/>
      <c r="AA590" s="15"/>
      <c r="AB590" s="15"/>
      <c r="AC590" s="15"/>
    </row>
    <row r="591" spans="1:29" ht="15.75" customHeight="1" x14ac:dyDescent="0.25">
      <c r="B591" s="145"/>
      <c r="C591" s="145"/>
      <c r="D591" s="145"/>
      <c r="E591" s="50" t="e">
        <f ca="1">E589-E590</f>
        <v>#NAME?</v>
      </c>
      <c r="J591" s="13"/>
      <c r="Z591" s="15"/>
      <c r="AA591" s="15"/>
      <c r="AB591" s="15"/>
      <c r="AC591" s="15"/>
    </row>
    <row r="592" spans="1:29" ht="15.75" customHeight="1" x14ac:dyDescent="0.3">
      <c r="A592" s="154"/>
      <c r="B592" s="92">
        <v>2025</v>
      </c>
      <c r="C592" s="92">
        <v>2025</v>
      </c>
      <c r="D592" s="92">
        <v>2025</v>
      </c>
      <c r="E592" s="92">
        <v>2026</v>
      </c>
      <c r="J592" s="13"/>
      <c r="Z592" s="15"/>
      <c r="AA592" s="15"/>
      <c r="AB592" s="15"/>
      <c r="AC592" s="15"/>
    </row>
    <row r="593" spans="1:29" ht="15" customHeight="1" x14ac:dyDescent="0.3">
      <c r="A593" s="156" t="s">
        <v>176</v>
      </c>
      <c r="B593" s="94" t="s">
        <v>13</v>
      </c>
      <c r="C593" s="94" t="s">
        <v>142</v>
      </c>
      <c r="D593" s="94" t="s">
        <v>71</v>
      </c>
      <c r="E593" s="92" t="s">
        <v>13</v>
      </c>
      <c r="J593" s="13"/>
      <c r="Z593" s="15"/>
      <c r="AA593" s="15"/>
      <c r="AB593" s="15"/>
      <c r="AC593" s="15"/>
    </row>
    <row r="594" spans="1:29" ht="15" customHeight="1" collapsed="1" x14ac:dyDescent="0.3">
      <c r="A594" s="159" t="s">
        <v>37</v>
      </c>
      <c r="B594" s="96">
        <f t="shared" ref="B594:E594" si="322">SUBTOTAL(9,B595:B604)</f>
        <v>0</v>
      </c>
      <c r="C594" s="96">
        <f t="shared" si="322"/>
        <v>0</v>
      </c>
      <c r="D594" s="96">
        <f t="shared" si="322"/>
        <v>0</v>
      </c>
      <c r="E594" s="96" t="e">
        <f t="shared" ca="1" si="322"/>
        <v>#NAME?</v>
      </c>
      <c r="J594" s="13"/>
      <c r="Z594" s="15"/>
      <c r="AA594" s="15"/>
      <c r="AB594" s="15"/>
      <c r="AC594" s="15"/>
    </row>
    <row r="595" spans="1:29" ht="15" hidden="1" customHeight="1" outlineLevel="1" x14ac:dyDescent="0.85">
      <c r="A595" s="162" t="s">
        <v>37</v>
      </c>
      <c r="B595" s="102"/>
      <c r="C595" s="102">
        <f t="shared" ref="C595:C604" si="323">J595+K595</f>
        <v>0</v>
      </c>
      <c r="D595" s="102">
        <f t="shared" ref="D595:D604" si="324">C595-B595</f>
        <v>0</v>
      </c>
      <c r="E595" s="102" t="e">
        <f ca="1">SUMIFS('Digital Product Summary by COA'!$S$54:$S$325,'Digital Product Summary by COA'!$T$54:$T$325,$A$593,'Digital Product Summary by COA'!$C$54:$C$325,$A595)</f>
        <v>#NAME?</v>
      </c>
      <c r="J595" s="13"/>
      <c r="Z595" s="15"/>
      <c r="AA595" s="15"/>
      <c r="AB595" s="15"/>
      <c r="AC595" s="15"/>
    </row>
    <row r="596" spans="1:29" ht="15" hidden="1" customHeight="1" outlineLevel="1" x14ac:dyDescent="0.85">
      <c r="A596" s="165" t="s">
        <v>72</v>
      </c>
      <c r="B596" s="102"/>
      <c r="C596" s="102">
        <f t="shared" si="323"/>
        <v>0</v>
      </c>
      <c r="D596" s="102">
        <f t="shared" si="324"/>
        <v>0</v>
      </c>
      <c r="E596" s="102" t="e">
        <f ca="1">SUMIFS('Digital Product Summary by COA'!$S$54:$S$325,'Digital Product Summary by COA'!$T$54:$T$325,$A$593,'Digital Product Summary by COA'!$C$54:$C$325,$A596)</f>
        <v>#NAME?</v>
      </c>
      <c r="J596" s="13"/>
      <c r="Z596" s="15"/>
      <c r="AA596" s="15"/>
      <c r="AB596" s="15"/>
      <c r="AC596" s="15"/>
    </row>
    <row r="597" spans="1:29" ht="15" hidden="1" customHeight="1" outlineLevel="1" x14ac:dyDescent="0.85">
      <c r="A597" s="165" t="s">
        <v>73</v>
      </c>
      <c r="B597" s="102"/>
      <c r="C597" s="102">
        <f t="shared" si="323"/>
        <v>0</v>
      </c>
      <c r="D597" s="102">
        <f t="shared" si="324"/>
        <v>0</v>
      </c>
      <c r="E597" s="102">
        <f ca="1">SUMIFS('Digital Product Summary by COA'!$S$54:$S$325,'Digital Product Summary by COA'!$T$54:$T$325,$A$593,'Digital Product Summary by COA'!$C$54:$C$325,$A597)</f>
        <v>0</v>
      </c>
      <c r="J597" s="13"/>
      <c r="Z597" s="15"/>
      <c r="AA597" s="15"/>
      <c r="AB597" s="15"/>
      <c r="AC597" s="15"/>
    </row>
    <row r="598" spans="1:29" ht="15" hidden="1" customHeight="1" outlineLevel="1" x14ac:dyDescent="0.85">
      <c r="A598" s="165" t="s">
        <v>74</v>
      </c>
      <c r="B598" s="102"/>
      <c r="C598" s="102">
        <f t="shared" si="323"/>
        <v>0</v>
      </c>
      <c r="D598" s="102">
        <f t="shared" si="324"/>
        <v>0</v>
      </c>
      <c r="E598" s="102">
        <f ca="1">SUMIFS('Digital Product Summary by COA'!$S$54:$S$325,'Digital Product Summary by COA'!$T$54:$T$325,$A$593,'Digital Product Summary by COA'!$C$54:$C$325,$A598)</f>
        <v>0</v>
      </c>
      <c r="J598" s="13"/>
      <c r="Z598" s="15"/>
      <c r="AA598" s="15"/>
      <c r="AB598" s="15"/>
      <c r="AC598" s="15"/>
    </row>
    <row r="599" spans="1:29" ht="15" hidden="1" customHeight="1" outlineLevel="1" x14ac:dyDescent="0.85">
      <c r="A599" s="165" t="s">
        <v>77</v>
      </c>
      <c r="B599" s="102"/>
      <c r="C599" s="102">
        <f t="shared" si="323"/>
        <v>0</v>
      </c>
      <c r="D599" s="102">
        <f t="shared" si="324"/>
        <v>0</v>
      </c>
      <c r="E599" s="102" t="e">
        <f ca="1">SUMIFS('Digital Product Summary by COA'!$S$54:$S$325,'Digital Product Summary by COA'!$T$54:$T$325,$A$593,'Digital Product Summary by COA'!$C$54:$C$325,$A599)</f>
        <v>#NAME?</v>
      </c>
      <c r="J599" s="13"/>
      <c r="Z599" s="15"/>
      <c r="AA599" s="15"/>
      <c r="AB599" s="15"/>
      <c r="AC599" s="15"/>
    </row>
    <row r="600" spans="1:29" ht="15" hidden="1" customHeight="1" outlineLevel="1" x14ac:dyDescent="0.85">
      <c r="A600" s="165" t="s">
        <v>78</v>
      </c>
      <c r="B600" s="102"/>
      <c r="C600" s="102">
        <f t="shared" si="323"/>
        <v>0</v>
      </c>
      <c r="D600" s="102">
        <f t="shared" si="324"/>
        <v>0</v>
      </c>
      <c r="E600" s="102">
        <f ca="1">SUMIFS('Digital Product Summary by COA'!$S$54:$S$325,'Digital Product Summary by COA'!$T$54:$T$325,$A$593,'Digital Product Summary by COA'!$C$54:$C$325,$A600)</f>
        <v>0</v>
      </c>
      <c r="J600" s="13"/>
      <c r="Z600" s="15"/>
      <c r="AA600" s="15"/>
      <c r="AB600" s="15"/>
      <c r="AC600" s="15"/>
    </row>
    <row r="601" spans="1:29" ht="15" hidden="1" customHeight="1" outlineLevel="1" x14ac:dyDescent="0.85">
      <c r="A601" s="165" t="s">
        <v>79</v>
      </c>
      <c r="B601" s="102"/>
      <c r="C601" s="102">
        <f t="shared" si="323"/>
        <v>0</v>
      </c>
      <c r="D601" s="102">
        <f t="shared" si="324"/>
        <v>0</v>
      </c>
      <c r="E601" s="102">
        <f ca="1">SUMIFS('Digital Product Summary by COA'!$S$54:$S$325,'Digital Product Summary by COA'!$T$54:$T$325,$A$593,'Digital Product Summary by COA'!$C$54:$C$325,$A601)</f>
        <v>0</v>
      </c>
      <c r="J601" s="13"/>
      <c r="Z601" s="15"/>
      <c r="AA601" s="15"/>
      <c r="AB601" s="15"/>
      <c r="AC601" s="15"/>
    </row>
    <row r="602" spans="1:29" ht="15" hidden="1" customHeight="1" outlineLevel="1" x14ac:dyDescent="0.85">
      <c r="A602" s="165" t="s">
        <v>80</v>
      </c>
      <c r="B602" s="102"/>
      <c r="C602" s="102">
        <f t="shared" si="323"/>
        <v>0</v>
      </c>
      <c r="D602" s="102">
        <f t="shared" si="324"/>
        <v>0</v>
      </c>
      <c r="E602" s="102">
        <f ca="1">SUMIFS('Digital Product Summary by COA'!$S$54:$S$325,'Digital Product Summary by COA'!$T$54:$T$325,$A$593,'Digital Product Summary by COA'!$C$54:$C$325,$A602)</f>
        <v>0</v>
      </c>
      <c r="J602" s="13"/>
      <c r="Z602" s="15"/>
      <c r="AA602" s="15"/>
      <c r="AB602" s="15"/>
      <c r="AC602" s="15"/>
    </row>
    <row r="603" spans="1:29" ht="15" hidden="1" customHeight="1" outlineLevel="1" x14ac:dyDescent="0.85">
      <c r="A603" s="165" t="s">
        <v>82</v>
      </c>
      <c r="B603" s="102"/>
      <c r="C603" s="102">
        <f t="shared" si="323"/>
        <v>0</v>
      </c>
      <c r="D603" s="102">
        <f t="shared" si="324"/>
        <v>0</v>
      </c>
      <c r="E603" s="102">
        <f ca="1">SUMIFS('Digital Product Summary by COA'!$S$54:$S$325,'Digital Product Summary by COA'!$T$54:$T$325,$A$593,'Digital Product Summary by COA'!$C$54:$C$325,$A603)</f>
        <v>0</v>
      </c>
      <c r="J603" s="13"/>
      <c r="Z603" s="15"/>
      <c r="AA603" s="15"/>
      <c r="AB603" s="15"/>
      <c r="AC603" s="15"/>
    </row>
    <row r="604" spans="1:29" ht="15" hidden="1" customHeight="1" outlineLevel="1" x14ac:dyDescent="0.85">
      <c r="A604" s="165" t="s">
        <v>83</v>
      </c>
      <c r="B604" s="102"/>
      <c r="C604" s="102">
        <f t="shared" si="323"/>
        <v>0</v>
      </c>
      <c r="D604" s="102">
        <f t="shared" si="324"/>
        <v>0</v>
      </c>
      <c r="E604" s="102">
        <f ca="1">SUMIFS('Digital Product Summary by COA'!$S$54:$S$325,'Digital Product Summary by COA'!$T$54:$T$325,$A$593,'Digital Product Summary by COA'!$C$54:$C$325,$A604)</f>
        <v>0</v>
      </c>
      <c r="J604" s="13"/>
      <c r="Z604" s="15"/>
      <c r="AA604" s="15"/>
      <c r="AB604" s="15"/>
      <c r="AC604" s="15"/>
    </row>
    <row r="605" spans="1:29" ht="15" customHeight="1" collapsed="1" x14ac:dyDescent="0.3">
      <c r="A605" s="166" t="s">
        <v>84</v>
      </c>
      <c r="B605" s="168">
        <f t="shared" ref="B605:E605" si="325">SUBTOTAL(9,B606)</f>
        <v>0</v>
      </c>
      <c r="C605" s="168">
        <f t="shared" si="325"/>
        <v>0</v>
      </c>
      <c r="D605" s="168">
        <f t="shared" si="325"/>
        <v>0</v>
      </c>
      <c r="E605" s="168" t="e">
        <f t="shared" ca="1" si="325"/>
        <v>#NAME?</v>
      </c>
      <c r="J605" s="13"/>
      <c r="Z605" s="15"/>
      <c r="AA605" s="15"/>
      <c r="AB605" s="15"/>
      <c r="AC605" s="15"/>
    </row>
    <row r="606" spans="1:29" ht="15" hidden="1" customHeight="1" outlineLevel="1" x14ac:dyDescent="0.85">
      <c r="A606" s="165" t="s">
        <v>85</v>
      </c>
      <c r="B606" s="102"/>
      <c r="C606" s="102">
        <f>J606+K606</f>
        <v>0</v>
      </c>
      <c r="D606" s="102">
        <f>C606-B606</f>
        <v>0</v>
      </c>
      <c r="E606" s="102" t="e">
        <f ca="1">SUMIFS('Digital Product Summary by COA'!$S$54:$S$325,'Digital Product Summary by COA'!$T$54:$T$325,$A$593,'Digital Product Summary by COA'!$C$54:$C$325,$A606)</f>
        <v>#NAME?</v>
      </c>
      <c r="J606" s="13"/>
      <c r="Z606" s="15"/>
      <c r="AA606" s="15"/>
      <c r="AB606" s="15"/>
      <c r="AC606" s="15"/>
    </row>
    <row r="607" spans="1:29" ht="15" customHeight="1" collapsed="1" x14ac:dyDescent="0.3">
      <c r="A607" s="166" t="s">
        <v>86</v>
      </c>
      <c r="B607" s="168">
        <f t="shared" ref="B607:E607" si="326">SUBTOTAL(9,B608:B613)</f>
        <v>0</v>
      </c>
      <c r="C607" s="168">
        <f t="shared" si="326"/>
        <v>0</v>
      </c>
      <c r="D607" s="168">
        <f t="shared" si="326"/>
        <v>0</v>
      </c>
      <c r="E607" s="168" t="e">
        <f t="shared" ca="1" si="326"/>
        <v>#NAME?</v>
      </c>
      <c r="J607" s="13"/>
      <c r="Z607" s="15"/>
      <c r="AA607" s="15"/>
      <c r="AB607" s="15"/>
      <c r="AC607" s="15"/>
    </row>
    <row r="608" spans="1:29" ht="15" hidden="1" customHeight="1" outlineLevel="1" x14ac:dyDescent="0.85">
      <c r="A608" s="165" t="s">
        <v>88</v>
      </c>
      <c r="B608" s="102"/>
      <c r="C608" s="102">
        <f t="shared" ref="C608:C613" si="327">J608+K608</f>
        <v>0</v>
      </c>
      <c r="D608" s="102">
        <f t="shared" ref="D608:D613" si="328">C608-B608</f>
        <v>0</v>
      </c>
      <c r="E608" s="102" t="e">
        <f ca="1">SUMIFS('Digital Product Summary by COA'!$S$54:$S$325,'Digital Product Summary by COA'!$T$54:$T$325,$A$593,'Digital Product Summary by COA'!$C$54:$C$325,$A608)</f>
        <v>#NAME?</v>
      </c>
      <c r="J608" s="13"/>
      <c r="Z608" s="15"/>
      <c r="AA608" s="15"/>
      <c r="AB608" s="15"/>
      <c r="AC608" s="15"/>
    </row>
    <row r="609" spans="1:29" ht="15" hidden="1" customHeight="1" outlineLevel="1" x14ac:dyDescent="0.85">
      <c r="A609" s="165" t="s">
        <v>89</v>
      </c>
      <c r="B609" s="102"/>
      <c r="C609" s="102">
        <f t="shared" si="327"/>
        <v>0</v>
      </c>
      <c r="D609" s="102">
        <f t="shared" si="328"/>
        <v>0</v>
      </c>
      <c r="E609" s="102" t="e">
        <f ca="1">SUMIFS('Digital Product Summary by COA'!$S$54:$S$325,'Digital Product Summary by COA'!$T$54:$T$325,$A$593,'Digital Product Summary by COA'!$C$54:$C$325,$A609)</f>
        <v>#NAME?</v>
      </c>
      <c r="J609" s="13"/>
      <c r="Z609" s="15"/>
      <c r="AA609" s="15"/>
      <c r="AB609" s="15"/>
      <c r="AC609" s="15"/>
    </row>
    <row r="610" spans="1:29" ht="15" hidden="1" customHeight="1" outlineLevel="1" x14ac:dyDescent="0.85">
      <c r="A610" s="165" t="s">
        <v>90</v>
      </c>
      <c r="B610" s="102"/>
      <c r="C610" s="102">
        <f t="shared" si="327"/>
        <v>0</v>
      </c>
      <c r="D610" s="102">
        <f t="shared" si="328"/>
        <v>0</v>
      </c>
      <c r="E610" s="102" t="e">
        <f ca="1">SUMIFS('Digital Product Summary by COA'!$S$54:$S$325,'Digital Product Summary by COA'!$T$54:$T$325,$A$593,'Digital Product Summary by COA'!$C$54:$C$325,$A610)</f>
        <v>#NAME?</v>
      </c>
      <c r="J610" s="13"/>
      <c r="Z610" s="15"/>
      <c r="AA610" s="15"/>
      <c r="AB610" s="15"/>
      <c r="AC610" s="15"/>
    </row>
    <row r="611" spans="1:29" ht="15" hidden="1" customHeight="1" outlineLevel="1" x14ac:dyDescent="0.85">
      <c r="A611" s="165" t="s">
        <v>91</v>
      </c>
      <c r="B611" s="102"/>
      <c r="C611" s="102">
        <f t="shared" si="327"/>
        <v>0</v>
      </c>
      <c r="D611" s="102">
        <f t="shared" si="328"/>
        <v>0</v>
      </c>
      <c r="E611" s="102" t="e">
        <f ca="1">SUMIFS('Digital Product Summary by COA'!$S$54:$S$325,'Digital Product Summary by COA'!$T$54:$T$325,$A$593,'Digital Product Summary by COA'!$C$54:$C$325,$A611)</f>
        <v>#NAME?</v>
      </c>
      <c r="J611" s="13"/>
      <c r="Z611" s="15"/>
      <c r="AA611" s="15"/>
      <c r="AB611" s="15"/>
      <c r="AC611" s="15"/>
    </row>
    <row r="612" spans="1:29" ht="15" hidden="1" customHeight="1" outlineLevel="1" x14ac:dyDescent="0.85">
      <c r="A612" s="165" t="s">
        <v>92</v>
      </c>
      <c r="B612" s="102"/>
      <c r="C612" s="102">
        <f t="shared" si="327"/>
        <v>0</v>
      </c>
      <c r="D612" s="102">
        <f t="shared" si="328"/>
        <v>0</v>
      </c>
      <c r="E612" s="102" t="e">
        <f ca="1">SUMIFS('Digital Product Summary by COA'!$S$54:$S$325,'Digital Product Summary by COA'!$T$54:$T$325,$A$593,'Digital Product Summary by COA'!$C$54:$C$325,$A612)</f>
        <v>#NAME?</v>
      </c>
      <c r="J612" s="13"/>
      <c r="Z612" s="15"/>
      <c r="AA612" s="15"/>
      <c r="AB612" s="15"/>
      <c r="AC612" s="15"/>
    </row>
    <row r="613" spans="1:29" ht="15" hidden="1" customHeight="1" outlineLevel="1" x14ac:dyDescent="0.85">
      <c r="A613" s="165" t="s">
        <v>93</v>
      </c>
      <c r="B613" s="102"/>
      <c r="C613" s="102">
        <f t="shared" si="327"/>
        <v>0</v>
      </c>
      <c r="D613" s="102">
        <f t="shared" si="328"/>
        <v>0</v>
      </c>
      <c r="E613" s="102" t="e">
        <f ca="1">SUMIFS('Digital Product Summary by COA'!$S$54:$S$325,'Digital Product Summary by COA'!$T$54:$T$325,$A$593,'Digital Product Summary by COA'!$C$54:$C$325,$A613)</f>
        <v>#NAME?</v>
      </c>
      <c r="J613" s="13"/>
      <c r="Z613" s="15"/>
      <c r="AA613" s="15"/>
      <c r="AB613" s="15"/>
      <c r="AC613" s="15"/>
    </row>
    <row r="614" spans="1:29" ht="15" customHeight="1" collapsed="1" x14ac:dyDescent="0.3">
      <c r="A614" s="166" t="s">
        <v>94</v>
      </c>
      <c r="B614" s="168">
        <f t="shared" ref="B614:E614" si="329">SUBTOTAL(9,B615:B619)</f>
        <v>0</v>
      </c>
      <c r="C614" s="168">
        <f t="shared" si="329"/>
        <v>0</v>
      </c>
      <c r="D614" s="168">
        <f t="shared" si="329"/>
        <v>0</v>
      </c>
      <c r="E614" s="168" t="e">
        <f t="shared" ca="1" si="329"/>
        <v>#NAME?</v>
      </c>
      <c r="J614" s="13"/>
      <c r="Z614" s="15"/>
      <c r="AA614" s="15"/>
      <c r="AB614" s="15"/>
      <c r="AC614" s="15"/>
    </row>
    <row r="615" spans="1:29" ht="15" hidden="1" customHeight="1" outlineLevel="1" x14ac:dyDescent="0.85">
      <c r="A615" s="165" t="s">
        <v>95</v>
      </c>
      <c r="B615" s="225"/>
      <c r="C615" s="102">
        <f t="shared" ref="C615:C619" si="330">J615+K615</f>
        <v>0</v>
      </c>
      <c r="D615" s="102">
        <f t="shared" ref="D615:D619" si="331">C615-B615</f>
        <v>0</v>
      </c>
      <c r="E615" s="102" t="e">
        <f ca="1">SUMIFS('Digital Product Summary by COA'!$S$54:$S$325,'Digital Product Summary by COA'!$T$54:$T$325,$A$593,'Digital Product Summary by COA'!$C$54:$C$325,$A615)</f>
        <v>#NAME?</v>
      </c>
      <c r="J615" s="13"/>
      <c r="Z615" s="15"/>
      <c r="AA615" s="15"/>
      <c r="AB615" s="15"/>
      <c r="AC615" s="15"/>
    </row>
    <row r="616" spans="1:29" ht="15" hidden="1" customHeight="1" outlineLevel="1" x14ac:dyDescent="0.85">
      <c r="A616" s="165" t="s">
        <v>96</v>
      </c>
      <c r="B616" s="225"/>
      <c r="C616" s="102">
        <f t="shared" si="330"/>
        <v>0</v>
      </c>
      <c r="D616" s="102">
        <f t="shared" si="331"/>
        <v>0</v>
      </c>
      <c r="E616" s="102">
        <f ca="1">SUMIFS('Digital Product Summary by COA'!$S$54:$S$325,'Digital Product Summary by COA'!$T$54:$T$325,$A$593,'Digital Product Summary by COA'!$C$54:$C$325,$A616)</f>
        <v>0</v>
      </c>
      <c r="J616" s="13"/>
      <c r="Z616" s="15"/>
      <c r="AA616" s="15"/>
      <c r="AB616" s="15"/>
      <c r="AC616" s="15"/>
    </row>
    <row r="617" spans="1:29" ht="15" hidden="1" customHeight="1" outlineLevel="1" x14ac:dyDescent="0.85">
      <c r="A617" s="165" t="s">
        <v>97</v>
      </c>
      <c r="B617" s="225"/>
      <c r="C617" s="102">
        <f t="shared" si="330"/>
        <v>0</v>
      </c>
      <c r="D617" s="102">
        <f t="shared" si="331"/>
        <v>0</v>
      </c>
      <c r="E617" s="102">
        <f ca="1">SUMIFS('Digital Product Summary by COA'!$S$54:$S$325,'Digital Product Summary by COA'!$T$54:$T$325,$A$593,'Digital Product Summary by COA'!$C$54:$C$325,$A617)</f>
        <v>0</v>
      </c>
      <c r="J617" s="13"/>
      <c r="Z617" s="15"/>
      <c r="AA617" s="15"/>
      <c r="AB617" s="15"/>
      <c r="AC617" s="15"/>
    </row>
    <row r="618" spans="1:29" ht="15" hidden="1" customHeight="1" outlineLevel="1" x14ac:dyDescent="0.85">
      <c r="A618" s="165" t="s">
        <v>98</v>
      </c>
      <c r="B618" s="225"/>
      <c r="C618" s="102">
        <f t="shared" si="330"/>
        <v>0</v>
      </c>
      <c r="D618" s="102">
        <f t="shared" si="331"/>
        <v>0</v>
      </c>
      <c r="E618" s="102">
        <f ca="1">SUMIFS('Digital Product Summary by COA'!$S$54:$S$325,'Digital Product Summary by COA'!$T$54:$T$325,$A$593,'Digital Product Summary by COA'!$C$54:$C$325,$A618)</f>
        <v>0</v>
      </c>
      <c r="J618" s="13"/>
      <c r="Z618" s="15"/>
      <c r="AA618" s="15"/>
      <c r="AB618" s="15"/>
      <c r="AC618" s="15"/>
    </row>
    <row r="619" spans="1:29" ht="15" hidden="1" customHeight="1" outlineLevel="1" x14ac:dyDescent="0.85">
      <c r="A619" s="165" t="s">
        <v>99</v>
      </c>
      <c r="B619" s="225"/>
      <c r="C619" s="102">
        <f t="shared" si="330"/>
        <v>0</v>
      </c>
      <c r="D619" s="102">
        <f t="shared" si="331"/>
        <v>0</v>
      </c>
      <c r="E619" s="102" t="e">
        <f ca="1">SUMIFS('Digital Product Summary by COA'!$S$54:$S$325,'Digital Product Summary by COA'!$T$54:$T$325,$A$593,'Digital Product Summary by COA'!$C$54:$C$325,$A619)</f>
        <v>#NAME?</v>
      </c>
      <c r="J619" s="13"/>
      <c r="Z619" s="15"/>
      <c r="AA619" s="15"/>
      <c r="AB619" s="15"/>
      <c r="AC619" s="15"/>
    </row>
    <row r="620" spans="1:29" ht="15" customHeight="1" collapsed="1" x14ac:dyDescent="0.3">
      <c r="A620" s="166" t="s">
        <v>100</v>
      </c>
      <c r="B620" s="168">
        <f t="shared" ref="B620:E620" si="332">SUBTOTAL(9,B621:B623)</f>
        <v>0</v>
      </c>
      <c r="C620" s="168">
        <f t="shared" si="332"/>
        <v>0</v>
      </c>
      <c r="D620" s="168">
        <f t="shared" si="332"/>
        <v>0</v>
      </c>
      <c r="E620" s="168" t="e">
        <f t="shared" ca="1" si="332"/>
        <v>#NAME?</v>
      </c>
      <c r="J620" s="13"/>
      <c r="Z620" s="15"/>
      <c r="AA620" s="15"/>
      <c r="AB620" s="15"/>
      <c r="AC620" s="15"/>
    </row>
    <row r="621" spans="1:29" ht="15" hidden="1" customHeight="1" outlineLevel="1" x14ac:dyDescent="0.85">
      <c r="A621" s="165" t="s">
        <v>101</v>
      </c>
      <c r="B621" s="225"/>
      <c r="C621" s="102">
        <f t="shared" ref="C621:C623" si="333">J621+K621</f>
        <v>0</v>
      </c>
      <c r="D621" s="102"/>
      <c r="E621" s="102" t="e">
        <f ca="1">SUMIFS('Digital Product Summary by COA'!$S$54:$S$325,'Digital Product Summary by COA'!$T$54:$T$325,$A$593,'Digital Product Summary by COA'!$C$54:$C$325,$A621)</f>
        <v>#NAME?</v>
      </c>
      <c r="J621" s="13"/>
      <c r="Z621" s="15"/>
      <c r="AA621" s="15"/>
      <c r="AB621" s="15"/>
      <c r="AC621" s="15"/>
    </row>
    <row r="622" spans="1:29" ht="15" hidden="1" customHeight="1" outlineLevel="1" x14ac:dyDescent="0.85">
      <c r="A622" s="165" t="s">
        <v>103</v>
      </c>
      <c r="B622" s="225"/>
      <c r="C622" s="102">
        <f t="shared" si="333"/>
        <v>0</v>
      </c>
      <c r="D622" s="102">
        <f>C622-B622</f>
        <v>0</v>
      </c>
      <c r="E622" s="102" t="e">
        <f ca="1">SUMIFS('Digital Product Summary by COA'!$S$54:$S$325,'Digital Product Summary by COA'!$T$54:$T$325,$A$593,'Digital Product Summary by COA'!$C$54:$C$325,$A622)</f>
        <v>#NAME?</v>
      </c>
      <c r="J622" s="13"/>
      <c r="Z622" s="15"/>
      <c r="AA622" s="15"/>
      <c r="AB622" s="15"/>
      <c r="AC622" s="15"/>
    </row>
    <row r="623" spans="1:29" ht="15" hidden="1" customHeight="1" outlineLevel="1" x14ac:dyDescent="0.85">
      <c r="A623" s="165" t="s">
        <v>104</v>
      </c>
      <c r="B623" s="225"/>
      <c r="C623" s="102">
        <f t="shared" si="333"/>
        <v>0</v>
      </c>
      <c r="D623" s="172"/>
      <c r="E623" s="102" t="e">
        <f ca="1">SUMIFS('Digital Product Summary by COA'!$S$54:$S$325,'Digital Product Summary by COA'!$T$54:$T$325,$A$593,'Digital Product Summary by COA'!$C$54:$C$325,$A623)</f>
        <v>#NAME?</v>
      </c>
      <c r="J623" s="13"/>
      <c r="Z623" s="15"/>
      <c r="AA623" s="15"/>
      <c r="AB623" s="15"/>
      <c r="AC623" s="15"/>
    </row>
    <row r="624" spans="1:29" ht="15" customHeight="1" collapsed="1" x14ac:dyDescent="0.3">
      <c r="A624" s="166" t="s">
        <v>105</v>
      </c>
      <c r="B624" s="168">
        <f t="shared" ref="B624:E624" si="334">SUBTOTAL(9,B625:B639)</f>
        <v>0</v>
      </c>
      <c r="C624" s="168">
        <f t="shared" si="334"/>
        <v>0</v>
      </c>
      <c r="D624" s="168">
        <f t="shared" si="334"/>
        <v>0</v>
      </c>
      <c r="E624" s="168" t="e">
        <f t="shared" ca="1" si="334"/>
        <v>#NAME?</v>
      </c>
      <c r="J624" s="13"/>
      <c r="Z624" s="15"/>
      <c r="AA624" s="15"/>
      <c r="AB624" s="15"/>
      <c r="AC624" s="15"/>
    </row>
    <row r="625" spans="1:29" ht="15" hidden="1" customHeight="1" outlineLevel="1" x14ac:dyDescent="0.85">
      <c r="A625" s="165" t="s">
        <v>110</v>
      </c>
      <c r="B625" s="102"/>
      <c r="C625" s="102">
        <f t="shared" ref="C625:C639" si="335">J625+K625</f>
        <v>0</v>
      </c>
      <c r="D625" s="102">
        <f t="shared" ref="D625:D639" si="336">C625-B625</f>
        <v>0</v>
      </c>
      <c r="E625" s="102" t="e">
        <f ca="1">SUMIFS('Digital Product Summary by COA'!$S$54:$S$325,'Digital Product Summary by COA'!$T$54:$T$325,$A$593,'Digital Product Summary by COA'!$C$54:$C$325,$A625)</f>
        <v>#NAME?</v>
      </c>
      <c r="J625" s="13"/>
      <c r="Z625" s="15"/>
      <c r="AA625" s="15"/>
      <c r="AB625" s="15"/>
      <c r="AC625" s="15"/>
    </row>
    <row r="626" spans="1:29" ht="15" hidden="1" customHeight="1" outlineLevel="1" x14ac:dyDescent="0.85">
      <c r="A626" s="165" t="s">
        <v>111</v>
      </c>
      <c r="B626" s="102"/>
      <c r="C626" s="102">
        <f t="shared" si="335"/>
        <v>0</v>
      </c>
      <c r="D626" s="102">
        <f t="shared" si="336"/>
        <v>0</v>
      </c>
      <c r="E626" s="102">
        <f ca="1">SUMIFS('Digital Product Summary by COA'!$S$54:$S$325,'Digital Product Summary by COA'!$T$54:$T$325,$A$593,'Digital Product Summary by COA'!$C$54:$C$325,$A626)</f>
        <v>0</v>
      </c>
      <c r="J626" s="13"/>
      <c r="Z626" s="15"/>
      <c r="AA626" s="15"/>
      <c r="AB626" s="15"/>
      <c r="AC626" s="15"/>
    </row>
    <row r="627" spans="1:29" ht="15" hidden="1" customHeight="1" outlineLevel="1" x14ac:dyDescent="0.85">
      <c r="A627" s="165" t="s">
        <v>112</v>
      </c>
      <c r="B627" s="102"/>
      <c r="C627" s="102">
        <f t="shared" si="335"/>
        <v>0</v>
      </c>
      <c r="D627" s="102">
        <f t="shared" si="336"/>
        <v>0</v>
      </c>
      <c r="E627" s="102">
        <f ca="1">SUMIFS('Digital Product Summary by COA'!$S$54:$S$325,'Digital Product Summary by COA'!$T$54:$T$325,$A$593,'Digital Product Summary by COA'!$C$54:$C$325,$A627)</f>
        <v>0</v>
      </c>
      <c r="J627" s="13"/>
      <c r="Z627" s="15"/>
      <c r="AA627" s="15"/>
      <c r="AB627" s="15"/>
      <c r="AC627" s="15"/>
    </row>
    <row r="628" spans="1:29" ht="15" hidden="1" customHeight="1" outlineLevel="1" x14ac:dyDescent="0.85">
      <c r="A628" s="165" t="s">
        <v>113</v>
      </c>
      <c r="B628" s="102"/>
      <c r="C628" s="102">
        <f t="shared" si="335"/>
        <v>0</v>
      </c>
      <c r="D628" s="102">
        <f t="shared" si="336"/>
        <v>0</v>
      </c>
      <c r="E628" s="102" t="e">
        <f ca="1">SUMIFS('Digital Product Summary by COA'!$S$54:$S$325,'Digital Product Summary by COA'!$T$54:$T$325,$A$593,'Digital Product Summary by COA'!$C$54:$C$325,$A628)</f>
        <v>#NAME?</v>
      </c>
      <c r="J628" s="13"/>
      <c r="Z628" s="15"/>
      <c r="AA628" s="15"/>
      <c r="AB628" s="15"/>
      <c r="AC628" s="15"/>
    </row>
    <row r="629" spans="1:29" ht="15" hidden="1" customHeight="1" outlineLevel="1" x14ac:dyDescent="0.85">
      <c r="A629" s="165" t="s">
        <v>114</v>
      </c>
      <c r="B629" s="102"/>
      <c r="C629" s="102">
        <f t="shared" si="335"/>
        <v>0</v>
      </c>
      <c r="D629" s="102">
        <f t="shared" si="336"/>
        <v>0</v>
      </c>
      <c r="E629" s="102" t="e">
        <f ca="1">SUMIFS('Digital Product Summary by COA'!$S$54:$S$325,'Digital Product Summary by COA'!$T$54:$T$325,$A$593,'Digital Product Summary by COA'!$C$54:$C$325,$A629)</f>
        <v>#NAME?</v>
      </c>
      <c r="J629" s="13"/>
      <c r="Z629" s="15"/>
      <c r="AA629" s="15"/>
      <c r="AB629" s="15"/>
      <c r="AC629" s="15"/>
    </row>
    <row r="630" spans="1:29" ht="15" hidden="1" customHeight="1" outlineLevel="1" x14ac:dyDescent="0.85">
      <c r="A630" s="165" t="s">
        <v>115</v>
      </c>
      <c r="B630" s="102"/>
      <c r="C630" s="102">
        <f t="shared" si="335"/>
        <v>0</v>
      </c>
      <c r="D630" s="102">
        <f t="shared" si="336"/>
        <v>0</v>
      </c>
      <c r="E630" s="102">
        <f ca="1">SUMIFS('Digital Product Summary by COA'!$S$54:$S$325,'Digital Product Summary by COA'!$T$54:$T$325,$A$593,'Digital Product Summary by COA'!$C$54:$C$325,$A630)</f>
        <v>0</v>
      </c>
      <c r="J630" s="13"/>
      <c r="Z630" s="15"/>
      <c r="AA630" s="15"/>
      <c r="AB630" s="15"/>
      <c r="AC630" s="15"/>
    </row>
    <row r="631" spans="1:29" ht="15" hidden="1" customHeight="1" outlineLevel="1" x14ac:dyDescent="0.85">
      <c r="A631" s="165" t="s">
        <v>117</v>
      </c>
      <c r="B631" s="102"/>
      <c r="C631" s="102">
        <f t="shared" si="335"/>
        <v>0</v>
      </c>
      <c r="D631" s="102">
        <f t="shared" si="336"/>
        <v>0</v>
      </c>
      <c r="E631" s="102">
        <f ca="1">SUMIFS('Digital Product Summary by COA'!$S$54:$S$325,'Digital Product Summary by COA'!$T$54:$T$325,$A$593,'Digital Product Summary by COA'!$C$54:$C$325,$A631)</f>
        <v>0</v>
      </c>
      <c r="J631" s="13"/>
      <c r="Z631" s="15"/>
      <c r="AA631" s="15"/>
      <c r="AB631" s="15"/>
      <c r="AC631" s="15"/>
    </row>
    <row r="632" spans="1:29" ht="15" hidden="1" customHeight="1" outlineLevel="1" x14ac:dyDescent="0.85">
      <c r="A632" s="165" t="s">
        <v>118</v>
      </c>
      <c r="B632" s="102"/>
      <c r="C632" s="102">
        <f t="shared" si="335"/>
        <v>0</v>
      </c>
      <c r="D632" s="102">
        <f t="shared" si="336"/>
        <v>0</v>
      </c>
      <c r="E632" s="102">
        <f ca="1">SUMIFS('Digital Product Summary by COA'!$S$54:$S$325,'Digital Product Summary by COA'!$T$54:$T$325,$A$593,'Digital Product Summary by COA'!$C$54:$C$325,$A632)</f>
        <v>0</v>
      </c>
      <c r="J632" s="13"/>
      <c r="Z632" s="15"/>
      <c r="AA632" s="15"/>
      <c r="AB632" s="15"/>
      <c r="AC632" s="15"/>
    </row>
    <row r="633" spans="1:29" ht="15" hidden="1" customHeight="1" outlineLevel="1" x14ac:dyDescent="0.85">
      <c r="A633" s="165" t="s">
        <v>119</v>
      </c>
      <c r="B633" s="102"/>
      <c r="C633" s="102">
        <f t="shared" si="335"/>
        <v>0</v>
      </c>
      <c r="D633" s="102">
        <f t="shared" si="336"/>
        <v>0</v>
      </c>
      <c r="E633" s="102">
        <f ca="1">SUMIFS('Digital Product Summary by COA'!$S$54:$S$325,'Digital Product Summary by COA'!$T$54:$T$325,$A$593,'Digital Product Summary by COA'!$C$54:$C$325,$A633)</f>
        <v>0</v>
      </c>
      <c r="J633" s="13"/>
      <c r="Z633" s="15"/>
      <c r="AA633" s="15"/>
      <c r="AB633" s="15"/>
      <c r="AC633" s="15"/>
    </row>
    <row r="634" spans="1:29" ht="15" hidden="1" customHeight="1" outlineLevel="1" x14ac:dyDescent="0.85">
      <c r="A634" s="165" t="s">
        <v>120</v>
      </c>
      <c r="B634" s="102"/>
      <c r="C634" s="102">
        <f t="shared" si="335"/>
        <v>0</v>
      </c>
      <c r="D634" s="102">
        <f t="shared" si="336"/>
        <v>0</v>
      </c>
      <c r="E634" s="102">
        <f ca="1">SUMIFS('Digital Product Summary by COA'!$S$54:$S$325,'Digital Product Summary by COA'!$T$54:$T$325,$A$593,'Digital Product Summary by COA'!$C$54:$C$325,$A634)</f>
        <v>0</v>
      </c>
      <c r="J634" s="13"/>
      <c r="Z634" s="15"/>
      <c r="AA634" s="15"/>
      <c r="AB634" s="15"/>
      <c r="AC634" s="15"/>
    </row>
    <row r="635" spans="1:29" ht="15" hidden="1" customHeight="1" outlineLevel="1" x14ac:dyDescent="0.85">
      <c r="A635" s="165" t="s">
        <v>121</v>
      </c>
      <c r="B635" s="102"/>
      <c r="C635" s="102">
        <f t="shared" si="335"/>
        <v>0</v>
      </c>
      <c r="D635" s="102">
        <f t="shared" si="336"/>
        <v>0</v>
      </c>
      <c r="E635" s="102">
        <f ca="1">SUMIFS('Digital Product Summary by COA'!$S$54:$S$325,'Digital Product Summary by COA'!$T$54:$T$325,$A$593,'Digital Product Summary by COA'!$C$54:$C$325,$A635)</f>
        <v>0</v>
      </c>
      <c r="J635" s="13"/>
      <c r="Z635" s="15"/>
      <c r="AA635" s="15"/>
      <c r="AB635" s="15"/>
      <c r="AC635" s="15"/>
    </row>
    <row r="636" spans="1:29" ht="15" hidden="1" customHeight="1" outlineLevel="1" x14ac:dyDescent="0.85">
      <c r="A636" s="165" t="s">
        <v>122</v>
      </c>
      <c r="B636" s="102"/>
      <c r="C636" s="102">
        <f t="shared" si="335"/>
        <v>0</v>
      </c>
      <c r="D636" s="102">
        <f t="shared" si="336"/>
        <v>0</v>
      </c>
      <c r="E636" s="102">
        <f ca="1">SUMIFS('Digital Product Summary by COA'!$S$54:$S$325,'Digital Product Summary by COA'!$T$54:$T$325,$A$593,'Digital Product Summary by COA'!$C$54:$C$325,$A636)</f>
        <v>0</v>
      </c>
      <c r="J636" s="13"/>
      <c r="Z636" s="15"/>
      <c r="AA636" s="15"/>
      <c r="AB636" s="15"/>
      <c r="AC636" s="15"/>
    </row>
    <row r="637" spans="1:29" ht="15" hidden="1" customHeight="1" outlineLevel="1" x14ac:dyDescent="0.85">
      <c r="A637" s="165" t="s">
        <v>144</v>
      </c>
      <c r="B637" s="102"/>
      <c r="C637" s="102">
        <f t="shared" si="335"/>
        <v>0</v>
      </c>
      <c r="D637" s="102">
        <f t="shared" si="336"/>
        <v>0</v>
      </c>
      <c r="E637" s="102">
        <f ca="1">SUMIFS('Digital Product Summary by COA'!$S$54:$S$325,'Digital Product Summary by COA'!$T$54:$T$325,$A$593,'Digital Product Summary by COA'!$C$54:$C$325,$A637)</f>
        <v>0</v>
      </c>
      <c r="J637" s="13"/>
      <c r="Z637" s="15"/>
      <c r="AA637" s="15"/>
      <c r="AB637" s="15"/>
      <c r="AC637" s="15"/>
    </row>
    <row r="638" spans="1:29" ht="15" hidden="1" customHeight="1" outlineLevel="1" x14ac:dyDescent="0.25">
      <c r="A638" s="129" t="s">
        <v>124</v>
      </c>
      <c r="B638" s="102"/>
      <c r="C638" s="102">
        <f t="shared" si="335"/>
        <v>0</v>
      </c>
      <c r="D638" s="102">
        <f t="shared" si="336"/>
        <v>0</v>
      </c>
      <c r="E638" s="102">
        <f ca="1">SUMIFS('Digital Product Summary by COA'!$S$54:$S$325,'Digital Product Summary by COA'!$T$54:$T$325,$A$593,'Digital Product Summary by COA'!$C$54:$C$325,$A638)</f>
        <v>0</v>
      </c>
      <c r="J638" s="13"/>
      <c r="Z638" s="15"/>
      <c r="AA638" s="15"/>
      <c r="AB638" s="15"/>
      <c r="AC638" s="15"/>
    </row>
    <row r="639" spans="1:29" ht="15" hidden="1" customHeight="1" outlineLevel="1" x14ac:dyDescent="0.25">
      <c r="A639" s="129" t="s">
        <v>125</v>
      </c>
      <c r="B639" s="102"/>
      <c r="C639" s="102">
        <f t="shared" si="335"/>
        <v>0</v>
      </c>
      <c r="D639" s="102">
        <f t="shared" si="336"/>
        <v>0</v>
      </c>
      <c r="E639" s="102">
        <f ca="1">SUMIFS('Digital Product Summary by COA'!$S$54:$S$325,'Digital Product Summary by COA'!$T$54:$T$325,$A$593,'Digital Product Summary by COA'!$C$54:$C$325,$A639)</f>
        <v>0</v>
      </c>
      <c r="J639" s="13"/>
      <c r="Z639" s="15"/>
      <c r="AA639" s="15"/>
      <c r="AB639" s="15"/>
      <c r="AC639" s="15"/>
    </row>
    <row r="640" spans="1:29" ht="15" customHeight="1" collapsed="1" x14ac:dyDescent="0.3">
      <c r="A640" s="166" t="s">
        <v>126</v>
      </c>
      <c r="B640" s="168">
        <f t="shared" ref="B640:E640" si="337">SUBTOTAL(9,B641:B643)</f>
        <v>0</v>
      </c>
      <c r="C640" s="168">
        <f t="shared" si="337"/>
        <v>0</v>
      </c>
      <c r="D640" s="168">
        <f t="shared" si="337"/>
        <v>0</v>
      </c>
      <c r="E640" s="168" t="e">
        <f t="shared" ca="1" si="337"/>
        <v>#NAME?</v>
      </c>
      <c r="J640" s="13"/>
      <c r="Z640" s="15"/>
      <c r="AA640" s="15"/>
      <c r="AB640" s="15"/>
      <c r="AC640" s="15"/>
    </row>
    <row r="641" spans="1:29" ht="15" hidden="1" customHeight="1" outlineLevel="1" x14ac:dyDescent="0.25">
      <c r="A641" s="129" t="s">
        <v>128</v>
      </c>
      <c r="B641" s="225"/>
      <c r="C641" s="102">
        <f t="shared" ref="C641:C643" si="338">J641+K641</f>
        <v>0</v>
      </c>
      <c r="D641" s="102">
        <f t="shared" ref="D641:D643" si="339">C641-B641</f>
        <v>0</v>
      </c>
      <c r="E641" s="102">
        <f ca="1">SUMIFS('Digital Product Summary by COA'!$S$54:$S$325,'Digital Product Summary by COA'!$T$54:$T$325,$A$593,'Digital Product Summary by COA'!$C$54:$C$325,$A641)</f>
        <v>0</v>
      </c>
      <c r="J641" s="13"/>
      <c r="Z641" s="15"/>
      <c r="AA641" s="15"/>
      <c r="AB641" s="15"/>
      <c r="AC641" s="15"/>
    </row>
    <row r="642" spans="1:29" ht="15" hidden="1" customHeight="1" outlineLevel="1" x14ac:dyDescent="0.25">
      <c r="A642" s="129" t="s">
        <v>129</v>
      </c>
      <c r="B642" s="225"/>
      <c r="C642" s="102">
        <f t="shared" si="338"/>
        <v>0</v>
      </c>
      <c r="D642" s="102">
        <f t="shared" si="339"/>
        <v>0</v>
      </c>
      <c r="E642" s="102">
        <f ca="1">SUMIFS('Digital Product Summary by COA'!$S$54:$S$325,'Digital Product Summary by COA'!$T$54:$T$325,$A$593,'Digital Product Summary by COA'!$C$54:$C$325,$A642)</f>
        <v>0</v>
      </c>
      <c r="J642" s="13"/>
      <c r="Z642" s="15"/>
      <c r="AA642" s="15"/>
      <c r="AB642" s="15"/>
      <c r="AC642" s="15"/>
    </row>
    <row r="643" spans="1:29" ht="15" hidden="1" customHeight="1" outlineLevel="1" x14ac:dyDescent="0.25">
      <c r="A643" s="129" t="s">
        <v>134</v>
      </c>
      <c r="B643" s="225"/>
      <c r="C643" s="102">
        <f t="shared" si="338"/>
        <v>0</v>
      </c>
      <c r="D643" s="102">
        <f t="shared" si="339"/>
        <v>0</v>
      </c>
      <c r="E643" s="102" t="e">
        <f ca="1">SUMIFS('Digital Product Summary by COA'!$S$54:$S$325,'Digital Product Summary by COA'!$T$54:$T$325,$A$593,'Digital Product Summary by COA'!$C$54:$C$325,$A643)</f>
        <v>#NAME?</v>
      </c>
      <c r="J643" s="13"/>
      <c r="Z643" s="15"/>
      <c r="AA643" s="15"/>
      <c r="AB643" s="15"/>
      <c r="AC643" s="15"/>
    </row>
    <row r="644" spans="1:29" ht="15" customHeight="1" collapsed="1" x14ac:dyDescent="0.3">
      <c r="A644" s="166" t="s">
        <v>135</v>
      </c>
      <c r="B644" s="168">
        <f t="shared" ref="B644:E644" si="340">SUBTOTAL(9,B645)</f>
        <v>0</v>
      </c>
      <c r="C644" s="168">
        <f t="shared" si="340"/>
        <v>0</v>
      </c>
      <c r="D644" s="168">
        <f t="shared" si="340"/>
        <v>0</v>
      </c>
      <c r="E644" s="168" t="e">
        <f t="shared" ca="1" si="340"/>
        <v>#NAME?</v>
      </c>
      <c r="J644" s="13"/>
      <c r="Z644" s="15"/>
      <c r="AA644" s="15"/>
      <c r="AB644" s="15"/>
      <c r="AC644" s="15"/>
    </row>
    <row r="645" spans="1:29" ht="15" hidden="1" customHeight="1" outlineLevel="1" x14ac:dyDescent="0.25">
      <c r="A645" s="129" t="s">
        <v>138</v>
      </c>
      <c r="B645" s="225"/>
      <c r="C645" s="102">
        <f>J645+K645</f>
        <v>0</v>
      </c>
      <c r="D645" s="102">
        <f>C645-B645</f>
        <v>0</v>
      </c>
      <c r="E645" s="102" t="e">
        <f ca="1">SUMIFS('Digital Product Summary by COA'!$S$54:$S$325,'Digital Product Summary by COA'!$T$54:$T$325,$A$593,'Digital Product Summary by COA'!$C$54:$C$325,$A645)</f>
        <v>#NAME?</v>
      </c>
      <c r="J645" s="13"/>
      <c r="Z645" s="15"/>
      <c r="AA645" s="15"/>
      <c r="AB645" s="15"/>
      <c r="AC645" s="15"/>
    </row>
    <row r="646" spans="1:29" ht="15" customHeight="1" x14ac:dyDescent="0.3">
      <c r="A646" s="134"/>
      <c r="B646" s="173">
        <f t="shared" ref="B646:E646" si="341">SUBTOTAL(9,B595:B645)</f>
        <v>0</v>
      </c>
      <c r="C646" s="173">
        <f t="shared" si="341"/>
        <v>0</v>
      </c>
      <c r="D646" s="173">
        <f t="shared" si="341"/>
        <v>0</v>
      </c>
      <c r="E646" s="174" t="e">
        <f t="shared" ca="1" si="341"/>
        <v>#NAME?</v>
      </c>
      <c r="J646" s="13"/>
      <c r="Z646" s="15"/>
      <c r="AA646" s="15"/>
      <c r="AB646" s="15"/>
      <c r="AC646" s="15"/>
    </row>
    <row r="647" spans="1:29" ht="15" customHeight="1" x14ac:dyDescent="0.25">
      <c r="B647" s="145"/>
      <c r="C647" s="145"/>
      <c r="D647" s="145"/>
      <c r="E647" s="50">
        <f ca="1">'Shared Summary by Dept_US$'!C19</f>
        <v>0</v>
      </c>
      <c r="J647" s="13"/>
      <c r="Z647" s="15"/>
      <c r="AA647" s="15"/>
      <c r="AB647" s="15"/>
      <c r="AC647" s="15"/>
    </row>
    <row r="648" spans="1:29" ht="15" customHeight="1" x14ac:dyDescent="0.25">
      <c r="B648" s="145"/>
      <c r="C648" s="145"/>
      <c r="D648" s="145"/>
      <c r="E648" s="50" t="e">
        <f ca="1">E646-E647</f>
        <v>#NAME?</v>
      </c>
      <c r="J648" s="13"/>
      <c r="Z648" s="15"/>
      <c r="AA648" s="15"/>
      <c r="AB648" s="15"/>
      <c r="AC648" s="15"/>
    </row>
    <row r="649" spans="1:29" ht="15" customHeight="1" x14ac:dyDescent="0.3">
      <c r="A649" s="154"/>
      <c r="B649" s="92">
        <v>2025</v>
      </c>
      <c r="C649" s="92">
        <v>2025</v>
      </c>
      <c r="D649" s="92">
        <v>2025</v>
      </c>
      <c r="E649" s="92">
        <v>2026</v>
      </c>
      <c r="J649" s="13"/>
      <c r="Z649" s="15"/>
      <c r="AA649" s="15"/>
      <c r="AB649" s="15"/>
      <c r="AC649" s="15"/>
    </row>
    <row r="650" spans="1:29" ht="15" customHeight="1" x14ac:dyDescent="0.3">
      <c r="A650" s="156" t="s">
        <v>177</v>
      </c>
      <c r="B650" s="94" t="s">
        <v>13</v>
      </c>
      <c r="C650" s="94" t="s">
        <v>142</v>
      </c>
      <c r="D650" s="94" t="s">
        <v>71</v>
      </c>
      <c r="E650" s="92" t="s">
        <v>13</v>
      </c>
      <c r="J650" s="13"/>
      <c r="Z650" s="15"/>
      <c r="AA650" s="15"/>
      <c r="AB650" s="15"/>
      <c r="AC650" s="15"/>
    </row>
    <row r="651" spans="1:29" ht="15" customHeight="1" collapsed="1" x14ac:dyDescent="0.3">
      <c r="A651" s="159" t="s">
        <v>37</v>
      </c>
      <c r="B651" s="96">
        <f t="shared" ref="B651:E651" si="342">SUBTOTAL(9,B652:B661)</f>
        <v>0</v>
      </c>
      <c r="C651" s="96">
        <f t="shared" si="342"/>
        <v>0</v>
      </c>
      <c r="D651" s="96">
        <f t="shared" si="342"/>
        <v>0</v>
      </c>
      <c r="E651" s="96" t="e">
        <f t="shared" ca="1" si="342"/>
        <v>#NAME?</v>
      </c>
      <c r="J651" s="13"/>
      <c r="Z651" s="15"/>
      <c r="AA651" s="15"/>
      <c r="AB651" s="15"/>
      <c r="AC651" s="15"/>
    </row>
    <row r="652" spans="1:29" ht="15" hidden="1" customHeight="1" outlineLevel="1" x14ac:dyDescent="0.85">
      <c r="A652" s="162" t="s">
        <v>37</v>
      </c>
      <c r="B652" s="102"/>
      <c r="C652" s="102">
        <f t="shared" ref="C652:C661" si="343">J652+K652</f>
        <v>0</v>
      </c>
      <c r="D652" s="102">
        <f t="shared" ref="D652:D661" si="344">C652-B652</f>
        <v>0</v>
      </c>
      <c r="E652" s="102" t="e">
        <f ca="1">SUMIFS('Digital Product Summary by COA'!$S$54:$S$325,'Digital Product Summary by COA'!$T$54:$T$325,$A$650,'Digital Product Summary by COA'!$C$54:$C$325,$A652)</f>
        <v>#NAME?</v>
      </c>
      <c r="J652" s="13"/>
      <c r="Z652" s="15"/>
      <c r="AA652" s="15"/>
      <c r="AB652" s="15"/>
      <c r="AC652" s="15"/>
    </row>
    <row r="653" spans="1:29" ht="15" hidden="1" customHeight="1" outlineLevel="1" x14ac:dyDescent="0.85">
      <c r="A653" s="165" t="s">
        <v>72</v>
      </c>
      <c r="B653" s="102"/>
      <c r="C653" s="102">
        <f t="shared" si="343"/>
        <v>0</v>
      </c>
      <c r="D653" s="102">
        <f t="shared" si="344"/>
        <v>0</v>
      </c>
      <c r="E653" s="102" t="e">
        <f ca="1">SUMIFS('Digital Product Summary by COA'!$S$54:$S$325,'Digital Product Summary by COA'!$T$54:$T$325,$A$650,'Digital Product Summary by COA'!$C$54:$C$325,$A653)</f>
        <v>#NAME?</v>
      </c>
      <c r="J653" s="13"/>
      <c r="Z653" s="15"/>
      <c r="AA653" s="15"/>
      <c r="AB653" s="15"/>
      <c r="AC653" s="15"/>
    </row>
    <row r="654" spans="1:29" ht="15" hidden="1" customHeight="1" outlineLevel="1" x14ac:dyDescent="0.85">
      <c r="A654" s="165" t="s">
        <v>73</v>
      </c>
      <c r="B654" s="102"/>
      <c r="C654" s="102">
        <f t="shared" si="343"/>
        <v>0</v>
      </c>
      <c r="D654" s="102">
        <f t="shared" si="344"/>
        <v>0</v>
      </c>
      <c r="E654" s="102">
        <f ca="1">SUMIFS('Digital Product Summary by COA'!$S$54:$S$325,'Digital Product Summary by COA'!$T$54:$T$325,$A$650,'Digital Product Summary by COA'!$C$54:$C$325,$A654)</f>
        <v>0</v>
      </c>
      <c r="J654" s="13"/>
      <c r="Z654" s="15"/>
      <c r="AA654" s="15"/>
      <c r="AB654" s="15"/>
      <c r="AC654" s="15"/>
    </row>
    <row r="655" spans="1:29" ht="15" hidden="1" customHeight="1" outlineLevel="1" x14ac:dyDescent="0.85">
      <c r="A655" s="165" t="s">
        <v>74</v>
      </c>
      <c r="B655" s="102"/>
      <c r="C655" s="102">
        <f t="shared" si="343"/>
        <v>0</v>
      </c>
      <c r="D655" s="102">
        <f t="shared" si="344"/>
        <v>0</v>
      </c>
      <c r="E655" s="102">
        <f ca="1">SUMIFS('Digital Product Summary by COA'!$S$54:$S$325,'Digital Product Summary by COA'!$T$54:$T$325,$A$650,'Digital Product Summary by COA'!$C$54:$C$325,$A655)</f>
        <v>0</v>
      </c>
      <c r="J655" s="13"/>
      <c r="Z655" s="15"/>
      <c r="AA655" s="15"/>
      <c r="AB655" s="15"/>
      <c r="AC655" s="15"/>
    </row>
    <row r="656" spans="1:29" ht="15" hidden="1" customHeight="1" outlineLevel="1" x14ac:dyDescent="0.85">
      <c r="A656" s="165" t="s">
        <v>77</v>
      </c>
      <c r="B656" s="102"/>
      <c r="C656" s="102">
        <f t="shared" si="343"/>
        <v>0</v>
      </c>
      <c r="D656" s="102">
        <f t="shared" si="344"/>
        <v>0</v>
      </c>
      <c r="E656" s="102" t="e">
        <f ca="1">SUMIFS('Digital Product Summary by COA'!$S$54:$S$325,'Digital Product Summary by COA'!$T$54:$T$325,$A$650,'Digital Product Summary by COA'!$C$54:$C$325,$A656)</f>
        <v>#NAME?</v>
      </c>
      <c r="J656" s="13"/>
      <c r="Z656" s="15"/>
      <c r="AA656" s="15"/>
      <c r="AB656" s="15"/>
      <c r="AC656" s="15"/>
    </row>
    <row r="657" spans="1:29" ht="15" hidden="1" customHeight="1" outlineLevel="1" x14ac:dyDescent="0.85">
      <c r="A657" s="165" t="s">
        <v>78</v>
      </c>
      <c r="B657" s="102"/>
      <c r="C657" s="102">
        <f t="shared" si="343"/>
        <v>0</v>
      </c>
      <c r="D657" s="102">
        <f t="shared" si="344"/>
        <v>0</v>
      </c>
      <c r="E657" s="102">
        <f ca="1">SUMIFS('Digital Product Summary by COA'!$S$54:$S$325,'Digital Product Summary by COA'!$T$54:$T$325,$A$650,'Digital Product Summary by COA'!$C$54:$C$325,$A657)</f>
        <v>0</v>
      </c>
      <c r="J657" s="13"/>
      <c r="Z657" s="15"/>
      <c r="AA657" s="15"/>
      <c r="AB657" s="15"/>
      <c r="AC657" s="15"/>
    </row>
    <row r="658" spans="1:29" ht="15" hidden="1" customHeight="1" outlineLevel="1" x14ac:dyDescent="0.85">
      <c r="A658" s="165" t="s">
        <v>79</v>
      </c>
      <c r="B658" s="102"/>
      <c r="C658" s="102">
        <f t="shared" si="343"/>
        <v>0</v>
      </c>
      <c r="D658" s="102">
        <f t="shared" si="344"/>
        <v>0</v>
      </c>
      <c r="E658" s="102">
        <f ca="1">SUMIFS('Digital Product Summary by COA'!$S$54:$S$325,'Digital Product Summary by COA'!$T$54:$T$325,$A$650,'Digital Product Summary by COA'!$C$54:$C$325,$A658)</f>
        <v>0</v>
      </c>
      <c r="J658" s="13"/>
      <c r="Z658" s="15"/>
      <c r="AA658" s="15"/>
      <c r="AB658" s="15"/>
      <c r="AC658" s="15"/>
    </row>
    <row r="659" spans="1:29" ht="15" hidden="1" customHeight="1" outlineLevel="1" x14ac:dyDescent="0.85">
      <c r="A659" s="165" t="s">
        <v>80</v>
      </c>
      <c r="B659" s="102"/>
      <c r="C659" s="102">
        <f t="shared" si="343"/>
        <v>0</v>
      </c>
      <c r="D659" s="102">
        <f t="shared" si="344"/>
        <v>0</v>
      </c>
      <c r="E659" s="102">
        <f ca="1">SUMIFS('Digital Product Summary by COA'!$S$54:$S$325,'Digital Product Summary by COA'!$T$54:$T$325,$A$650,'Digital Product Summary by COA'!$C$54:$C$325,$A659)</f>
        <v>0</v>
      </c>
      <c r="J659" s="13"/>
      <c r="Z659" s="15"/>
      <c r="AA659" s="15"/>
      <c r="AB659" s="15"/>
      <c r="AC659" s="15"/>
    </row>
    <row r="660" spans="1:29" ht="15" hidden="1" customHeight="1" outlineLevel="1" x14ac:dyDescent="0.85">
      <c r="A660" s="165" t="s">
        <v>82</v>
      </c>
      <c r="B660" s="102"/>
      <c r="C660" s="102">
        <f t="shared" si="343"/>
        <v>0</v>
      </c>
      <c r="D660" s="102">
        <f t="shared" si="344"/>
        <v>0</v>
      </c>
      <c r="E660" s="102">
        <f ca="1">SUMIFS('Digital Product Summary by COA'!$S$54:$S$325,'Digital Product Summary by COA'!$T$54:$T$325,$A$650,'Digital Product Summary by COA'!$C$54:$C$325,$A660)</f>
        <v>0</v>
      </c>
      <c r="J660" s="13"/>
      <c r="Z660" s="15"/>
      <c r="AA660" s="15"/>
      <c r="AB660" s="15"/>
      <c r="AC660" s="15"/>
    </row>
    <row r="661" spans="1:29" ht="15" hidden="1" customHeight="1" outlineLevel="1" x14ac:dyDescent="0.85">
      <c r="A661" s="165" t="s">
        <v>83</v>
      </c>
      <c r="B661" s="102"/>
      <c r="C661" s="102">
        <f t="shared" si="343"/>
        <v>0</v>
      </c>
      <c r="D661" s="102">
        <f t="shared" si="344"/>
        <v>0</v>
      </c>
      <c r="E661" s="102">
        <f ca="1">SUMIFS('Digital Product Summary by COA'!$S$54:$S$325,'Digital Product Summary by COA'!$T$54:$T$325,$A$650,'Digital Product Summary by COA'!$C$54:$C$325,$A661)</f>
        <v>0</v>
      </c>
      <c r="J661" s="13"/>
      <c r="Z661" s="15"/>
      <c r="AA661" s="15"/>
      <c r="AB661" s="15"/>
      <c r="AC661" s="15"/>
    </row>
    <row r="662" spans="1:29" ht="15" customHeight="1" collapsed="1" x14ac:dyDescent="0.3">
      <c r="A662" s="166" t="s">
        <v>84</v>
      </c>
      <c r="B662" s="168">
        <f t="shared" ref="B662:E662" si="345">SUBTOTAL(9,B663)</f>
        <v>58560</v>
      </c>
      <c r="C662" s="168">
        <f t="shared" si="345"/>
        <v>46464</v>
      </c>
      <c r="D662" s="168">
        <f t="shared" si="345"/>
        <v>-12096</v>
      </c>
      <c r="E662" s="168" t="e">
        <f t="shared" ca="1" si="345"/>
        <v>#NAME?</v>
      </c>
      <c r="J662" s="13"/>
      <c r="Z662" s="15"/>
      <c r="AA662" s="15"/>
      <c r="AB662" s="15"/>
      <c r="AC662" s="15"/>
    </row>
    <row r="663" spans="1:29" ht="15" hidden="1" customHeight="1" outlineLevel="1" x14ac:dyDescent="0.85">
      <c r="A663" s="165" t="s">
        <v>85</v>
      </c>
      <c r="B663" s="102">
        <v>58560</v>
      </c>
      <c r="C663" s="102">
        <v>46464</v>
      </c>
      <c r="D663" s="102">
        <f>C663-B663</f>
        <v>-12096</v>
      </c>
      <c r="E663" s="102" t="e">
        <f ca="1">SUMIFS('Digital Product Summary by COA'!$S$54:$S$325,'Digital Product Summary by COA'!$T$54:$T$325,$A$650,'Digital Product Summary by COA'!$C$54:$C$325,$A663)</f>
        <v>#NAME?</v>
      </c>
      <c r="J663" s="13"/>
      <c r="Z663" s="15"/>
      <c r="AA663" s="15"/>
      <c r="AB663" s="15"/>
      <c r="AC663" s="15"/>
    </row>
    <row r="664" spans="1:29" ht="15" customHeight="1" collapsed="1" x14ac:dyDescent="0.3">
      <c r="A664" s="166" t="s">
        <v>86</v>
      </c>
      <c r="B664" s="168">
        <f t="shared" ref="B664:E664" si="346">SUBTOTAL(9,B665:B670)</f>
        <v>0</v>
      </c>
      <c r="C664" s="168">
        <f t="shared" si="346"/>
        <v>4544.92</v>
      </c>
      <c r="D664" s="168">
        <f t="shared" si="346"/>
        <v>4544.92</v>
      </c>
      <c r="E664" s="168" t="e">
        <f t="shared" ca="1" si="346"/>
        <v>#NAME?</v>
      </c>
      <c r="J664" s="13"/>
      <c r="Z664" s="15"/>
      <c r="AA664" s="15"/>
      <c r="AB664" s="15"/>
      <c r="AC664" s="15"/>
    </row>
    <row r="665" spans="1:29" ht="15" hidden="1" customHeight="1" outlineLevel="1" x14ac:dyDescent="0.85">
      <c r="A665" s="165" t="s">
        <v>88</v>
      </c>
      <c r="B665" s="102"/>
      <c r="C665" s="102">
        <f t="shared" ref="C665:C666" si="347">J665+K665</f>
        <v>0</v>
      </c>
      <c r="D665" s="102">
        <f t="shared" ref="D665:D670" si="348">C665-B665</f>
        <v>0</v>
      </c>
      <c r="E665" s="102" t="e">
        <f ca="1">SUMIFS('Digital Product Summary by COA'!$S$54:$S$325,'Digital Product Summary by COA'!$T$54:$T$325,$A$650,'Digital Product Summary by COA'!$C$54:$C$325,$A665)</f>
        <v>#NAME?</v>
      </c>
      <c r="J665" s="13"/>
      <c r="Z665" s="15"/>
      <c r="AA665" s="15"/>
      <c r="AB665" s="15"/>
      <c r="AC665" s="15"/>
    </row>
    <row r="666" spans="1:29" ht="15" hidden="1" customHeight="1" outlineLevel="1" x14ac:dyDescent="0.85">
      <c r="A666" s="165" t="s">
        <v>89</v>
      </c>
      <c r="B666" s="102"/>
      <c r="C666" s="102">
        <f t="shared" si="347"/>
        <v>0</v>
      </c>
      <c r="D666" s="102">
        <f t="shared" si="348"/>
        <v>0</v>
      </c>
      <c r="E666" s="102" t="e">
        <f ca="1">SUMIFS('Digital Product Summary by COA'!$S$54:$S$325,'Digital Product Summary by COA'!$T$54:$T$325,$A$650,'Digital Product Summary by COA'!$C$54:$C$325,$A666)</f>
        <v>#NAME?</v>
      </c>
      <c r="J666" s="13"/>
      <c r="Z666" s="15"/>
      <c r="AA666" s="15"/>
      <c r="AB666" s="15"/>
      <c r="AC666" s="15"/>
    </row>
    <row r="667" spans="1:29" ht="15" hidden="1" customHeight="1" outlineLevel="1" x14ac:dyDescent="0.85">
      <c r="A667" s="165" t="s">
        <v>90</v>
      </c>
      <c r="B667" s="102"/>
      <c r="C667" s="102">
        <v>4544.92</v>
      </c>
      <c r="D667" s="102">
        <f t="shared" si="348"/>
        <v>4544.92</v>
      </c>
      <c r="E667" s="102" t="e">
        <f ca="1">SUMIFS('Digital Product Summary by COA'!$S$54:$S$325,'Digital Product Summary by COA'!$T$54:$T$325,$A$650,'Digital Product Summary by COA'!$C$54:$C$325,$A667)</f>
        <v>#NAME?</v>
      </c>
      <c r="J667" s="13"/>
      <c r="Z667" s="15"/>
      <c r="AA667" s="15"/>
      <c r="AB667" s="15"/>
      <c r="AC667" s="15"/>
    </row>
    <row r="668" spans="1:29" ht="15" hidden="1" customHeight="1" outlineLevel="1" x14ac:dyDescent="0.85">
      <c r="A668" s="165" t="s">
        <v>91</v>
      </c>
      <c r="B668" s="102"/>
      <c r="C668" s="102">
        <f t="shared" ref="C668:C670" si="349">J668+K668</f>
        <v>0</v>
      </c>
      <c r="D668" s="102">
        <f t="shared" si="348"/>
        <v>0</v>
      </c>
      <c r="E668" s="102" t="e">
        <f ca="1">SUMIFS('Digital Product Summary by COA'!$S$54:$S$325,'Digital Product Summary by COA'!$T$54:$T$325,$A$650,'Digital Product Summary by COA'!$C$54:$C$325,$A668)</f>
        <v>#NAME?</v>
      </c>
      <c r="J668" s="13"/>
      <c r="Z668" s="15"/>
      <c r="AA668" s="15"/>
      <c r="AB668" s="15"/>
      <c r="AC668" s="15"/>
    </row>
    <row r="669" spans="1:29" ht="15" hidden="1" customHeight="1" outlineLevel="1" x14ac:dyDescent="0.85">
      <c r="A669" s="165" t="s">
        <v>92</v>
      </c>
      <c r="B669" s="102"/>
      <c r="C669" s="102">
        <f t="shared" si="349"/>
        <v>0</v>
      </c>
      <c r="D669" s="102">
        <f t="shared" si="348"/>
        <v>0</v>
      </c>
      <c r="E669" s="102" t="e">
        <f ca="1">SUMIFS('Digital Product Summary by COA'!$S$54:$S$325,'Digital Product Summary by COA'!$T$54:$T$325,$A$650,'Digital Product Summary by COA'!$C$54:$C$325,$A669)</f>
        <v>#NAME?</v>
      </c>
      <c r="J669" s="13"/>
      <c r="Z669" s="15"/>
      <c r="AA669" s="15"/>
      <c r="AB669" s="15"/>
      <c r="AC669" s="15"/>
    </row>
    <row r="670" spans="1:29" ht="15" hidden="1" customHeight="1" outlineLevel="1" x14ac:dyDescent="0.85">
      <c r="A670" s="165" t="s">
        <v>93</v>
      </c>
      <c r="B670" s="102"/>
      <c r="C670" s="102">
        <f t="shared" si="349"/>
        <v>0</v>
      </c>
      <c r="D670" s="102">
        <f t="shared" si="348"/>
        <v>0</v>
      </c>
      <c r="E670" s="102" t="e">
        <f ca="1">SUMIFS('Digital Product Summary by COA'!$S$54:$S$325,'Digital Product Summary by COA'!$T$54:$T$325,$A$650,'Digital Product Summary by COA'!$C$54:$C$325,$A670)</f>
        <v>#NAME?</v>
      </c>
      <c r="J670" s="13"/>
      <c r="Z670" s="15"/>
      <c r="AA670" s="15"/>
      <c r="AB670" s="15"/>
      <c r="AC670" s="15"/>
    </row>
    <row r="671" spans="1:29" ht="15" customHeight="1" collapsed="1" x14ac:dyDescent="0.3">
      <c r="A671" s="166" t="s">
        <v>94</v>
      </c>
      <c r="B671" s="168">
        <f t="shared" ref="B671:E671" si="350">SUBTOTAL(9,B672:B676)</f>
        <v>0</v>
      </c>
      <c r="C671" s="168">
        <f t="shared" si="350"/>
        <v>0</v>
      </c>
      <c r="D671" s="168">
        <f t="shared" si="350"/>
        <v>0</v>
      </c>
      <c r="E671" s="168" t="e">
        <f t="shared" ca="1" si="350"/>
        <v>#NAME?</v>
      </c>
      <c r="J671" s="13"/>
      <c r="Z671" s="15"/>
      <c r="AA671" s="15"/>
      <c r="AB671" s="15"/>
      <c r="AC671" s="15"/>
    </row>
    <row r="672" spans="1:29" ht="15" hidden="1" customHeight="1" outlineLevel="1" x14ac:dyDescent="0.85">
      <c r="A672" s="165" t="s">
        <v>95</v>
      </c>
      <c r="B672" s="225"/>
      <c r="C672" s="102">
        <f t="shared" ref="C672:C676" si="351">J672+K672</f>
        <v>0</v>
      </c>
      <c r="D672" s="102">
        <f t="shared" ref="D672:D676" si="352">C672-B672</f>
        <v>0</v>
      </c>
      <c r="E672" s="102" t="e">
        <f ca="1">SUMIFS('Digital Product Summary by COA'!$S$54:$S$325,'Digital Product Summary by COA'!$T$54:$T$325,$A$650,'Digital Product Summary by COA'!$C$54:$C$325,$A672)</f>
        <v>#NAME?</v>
      </c>
      <c r="J672" s="13"/>
      <c r="Z672" s="15"/>
      <c r="AA672" s="15"/>
      <c r="AB672" s="15"/>
      <c r="AC672" s="15"/>
    </row>
    <row r="673" spans="1:29" ht="15" hidden="1" customHeight="1" outlineLevel="1" x14ac:dyDescent="0.85">
      <c r="A673" s="165" t="s">
        <v>96</v>
      </c>
      <c r="B673" s="225"/>
      <c r="C673" s="102">
        <f t="shared" si="351"/>
        <v>0</v>
      </c>
      <c r="D673" s="102">
        <f t="shared" si="352"/>
        <v>0</v>
      </c>
      <c r="E673" s="102">
        <f ca="1">SUMIFS('Digital Product Summary by COA'!$S$54:$S$325,'Digital Product Summary by COA'!$T$54:$T$325,$A$650,'Digital Product Summary by COA'!$C$54:$C$325,$A673)</f>
        <v>0</v>
      </c>
      <c r="J673" s="13"/>
      <c r="Z673" s="15"/>
      <c r="AA673" s="15"/>
      <c r="AB673" s="15"/>
      <c r="AC673" s="15"/>
    </row>
    <row r="674" spans="1:29" ht="15" hidden="1" customHeight="1" outlineLevel="1" x14ac:dyDescent="0.85">
      <c r="A674" s="165" t="s">
        <v>97</v>
      </c>
      <c r="B674" s="225"/>
      <c r="C674" s="102">
        <f t="shared" si="351"/>
        <v>0</v>
      </c>
      <c r="D674" s="102">
        <f t="shared" si="352"/>
        <v>0</v>
      </c>
      <c r="E674" s="102">
        <f ca="1">SUMIFS('Digital Product Summary by COA'!$S$54:$S$325,'Digital Product Summary by COA'!$T$54:$T$325,$A$650,'Digital Product Summary by COA'!$C$54:$C$325,$A674)</f>
        <v>0</v>
      </c>
      <c r="J674" s="13"/>
      <c r="Z674" s="15"/>
      <c r="AA674" s="15"/>
      <c r="AB674" s="15"/>
      <c r="AC674" s="15"/>
    </row>
    <row r="675" spans="1:29" ht="15" hidden="1" customHeight="1" outlineLevel="1" x14ac:dyDescent="0.85">
      <c r="A675" s="165" t="s">
        <v>98</v>
      </c>
      <c r="B675" s="225"/>
      <c r="C675" s="102">
        <f t="shared" si="351"/>
        <v>0</v>
      </c>
      <c r="D675" s="102">
        <f t="shared" si="352"/>
        <v>0</v>
      </c>
      <c r="E675" s="102">
        <f ca="1">SUMIFS('Digital Product Summary by COA'!$S$54:$S$325,'Digital Product Summary by COA'!$T$54:$T$325,$A$650,'Digital Product Summary by COA'!$C$54:$C$325,$A675)</f>
        <v>0</v>
      </c>
      <c r="J675" s="13"/>
      <c r="Z675" s="15"/>
      <c r="AA675" s="15"/>
      <c r="AB675" s="15"/>
      <c r="AC675" s="15"/>
    </row>
    <row r="676" spans="1:29" ht="15" hidden="1" customHeight="1" outlineLevel="1" x14ac:dyDescent="0.85">
      <c r="A676" s="165" t="s">
        <v>99</v>
      </c>
      <c r="B676" s="225"/>
      <c r="C676" s="102">
        <f t="shared" si="351"/>
        <v>0</v>
      </c>
      <c r="D676" s="102">
        <f t="shared" si="352"/>
        <v>0</v>
      </c>
      <c r="E676" s="102" t="e">
        <f ca="1">SUMIFS('Digital Product Summary by COA'!$S$54:$S$325,'Digital Product Summary by COA'!$T$54:$T$325,$A$650,'Digital Product Summary by COA'!$C$54:$C$325,$A676)</f>
        <v>#NAME?</v>
      </c>
      <c r="J676" s="13"/>
      <c r="Z676" s="15"/>
      <c r="AA676" s="15"/>
      <c r="AB676" s="15"/>
      <c r="AC676" s="15"/>
    </row>
    <row r="677" spans="1:29" ht="15" customHeight="1" collapsed="1" x14ac:dyDescent="0.3">
      <c r="A677" s="166" t="s">
        <v>100</v>
      </c>
      <c r="B677" s="168">
        <f t="shared" ref="B677:E677" si="353">SUBTOTAL(9,B678:B680)</f>
        <v>0</v>
      </c>
      <c r="C677" s="168">
        <f t="shared" si="353"/>
        <v>0</v>
      </c>
      <c r="D677" s="168">
        <f t="shared" si="353"/>
        <v>0</v>
      </c>
      <c r="E677" s="168" t="e">
        <f t="shared" ca="1" si="353"/>
        <v>#NAME?</v>
      </c>
      <c r="J677" s="13"/>
      <c r="Z677" s="15"/>
      <c r="AA677" s="15"/>
      <c r="AB677" s="15"/>
      <c r="AC677" s="15"/>
    </row>
    <row r="678" spans="1:29" ht="15" hidden="1" customHeight="1" outlineLevel="1" x14ac:dyDescent="0.85">
      <c r="A678" s="165" t="s">
        <v>101</v>
      </c>
      <c r="B678" s="225"/>
      <c r="C678" s="102">
        <f t="shared" ref="C678:C680" si="354">J678+K678</f>
        <v>0</v>
      </c>
      <c r="D678" s="102"/>
      <c r="E678" s="102" t="e">
        <f ca="1">SUMIFS('Digital Product Summary by COA'!$S$54:$S$325,'Digital Product Summary by COA'!$T$54:$T$325,$A$650,'Digital Product Summary by COA'!$C$54:$C$325,$A678)</f>
        <v>#NAME?</v>
      </c>
      <c r="J678" s="13"/>
      <c r="Z678" s="15"/>
      <c r="AA678" s="15"/>
      <c r="AB678" s="15"/>
      <c r="AC678" s="15"/>
    </row>
    <row r="679" spans="1:29" ht="15" hidden="1" customHeight="1" outlineLevel="1" x14ac:dyDescent="0.85">
      <c r="A679" s="165" t="s">
        <v>103</v>
      </c>
      <c r="B679" s="225"/>
      <c r="C679" s="102">
        <f t="shared" si="354"/>
        <v>0</v>
      </c>
      <c r="D679" s="102">
        <f>C679-B679</f>
        <v>0</v>
      </c>
      <c r="E679" s="102" t="e">
        <f ca="1">SUMIFS('Digital Product Summary by COA'!$S$54:$S$325,'Digital Product Summary by COA'!$T$54:$T$325,$A$650,'Digital Product Summary by COA'!$C$54:$C$325,$A679)</f>
        <v>#NAME?</v>
      </c>
      <c r="J679" s="13"/>
      <c r="Z679" s="15"/>
      <c r="AA679" s="15"/>
      <c r="AB679" s="15"/>
      <c r="AC679" s="15"/>
    </row>
    <row r="680" spans="1:29" ht="15" hidden="1" customHeight="1" outlineLevel="1" x14ac:dyDescent="0.85">
      <c r="A680" s="165" t="s">
        <v>104</v>
      </c>
      <c r="B680" s="225"/>
      <c r="C680" s="102">
        <f t="shared" si="354"/>
        <v>0</v>
      </c>
      <c r="D680" s="172"/>
      <c r="E680" s="102" t="e">
        <f ca="1">SUMIFS('Digital Product Summary by COA'!$S$54:$S$325,'Digital Product Summary by COA'!$T$54:$T$325,$A$650,'Digital Product Summary by COA'!$C$54:$C$325,$A680)</f>
        <v>#NAME?</v>
      </c>
      <c r="J680" s="13"/>
      <c r="Z680" s="15"/>
      <c r="AA680" s="15"/>
      <c r="AB680" s="15"/>
      <c r="AC680" s="15"/>
    </row>
    <row r="681" spans="1:29" ht="15" customHeight="1" collapsed="1" x14ac:dyDescent="0.3">
      <c r="A681" s="166" t="s">
        <v>105</v>
      </c>
      <c r="B681" s="168">
        <f t="shared" ref="B681:E681" si="355">SUBTOTAL(9,B682:B696)</f>
        <v>177707</v>
      </c>
      <c r="C681" s="168">
        <f t="shared" si="355"/>
        <v>296866</v>
      </c>
      <c r="D681" s="168">
        <f t="shared" si="355"/>
        <v>119159</v>
      </c>
      <c r="E681" s="168" t="e">
        <f t="shared" ca="1" si="355"/>
        <v>#NAME?</v>
      </c>
      <c r="J681" s="13"/>
      <c r="Z681" s="15"/>
      <c r="AA681" s="15"/>
      <c r="AB681" s="15"/>
      <c r="AC681" s="15"/>
    </row>
    <row r="682" spans="1:29" ht="15" hidden="1" customHeight="1" outlineLevel="1" x14ac:dyDescent="0.85">
      <c r="A682" s="165" t="s">
        <v>110</v>
      </c>
      <c r="B682" s="102">
        <v>177707</v>
      </c>
      <c r="C682" s="102">
        <v>296866</v>
      </c>
      <c r="D682" s="102">
        <f t="shared" ref="D682:D696" si="356">C682-B682</f>
        <v>119159</v>
      </c>
      <c r="E682" s="102" t="e">
        <f ca="1">SUMIFS('Digital Product Summary by COA'!$S$54:$S$325,'Digital Product Summary by COA'!$T$54:$T$325,$A$650,'Digital Product Summary by COA'!$C$54:$C$325,$A682)</f>
        <v>#NAME?</v>
      </c>
      <c r="J682" s="13"/>
      <c r="Z682" s="15"/>
      <c r="AA682" s="15"/>
      <c r="AB682" s="15"/>
      <c r="AC682" s="15"/>
    </row>
    <row r="683" spans="1:29" ht="15" hidden="1" customHeight="1" outlineLevel="1" x14ac:dyDescent="0.85">
      <c r="A683" s="165" t="s">
        <v>111</v>
      </c>
      <c r="B683" s="102"/>
      <c r="C683" s="102">
        <f t="shared" ref="C683:C696" si="357">J683+K683</f>
        <v>0</v>
      </c>
      <c r="D683" s="102">
        <f t="shared" si="356"/>
        <v>0</v>
      </c>
      <c r="E683" s="102">
        <f ca="1">SUMIFS('Digital Product Summary by COA'!$S$54:$S$325,'Digital Product Summary by COA'!$T$54:$T$325,$A$650,'Digital Product Summary by COA'!$C$54:$C$325,$A683)</f>
        <v>0</v>
      </c>
      <c r="J683" s="13"/>
      <c r="Z683" s="15"/>
      <c r="AA683" s="15"/>
      <c r="AB683" s="15"/>
      <c r="AC683" s="15"/>
    </row>
    <row r="684" spans="1:29" ht="15" hidden="1" customHeight="1" outlineLevel="1" x14ac:dyDescent="0.85">
      <c r="A684" s="165" t="s">
        <v>112</v>
      </c>
      <c r="B684" s="102"/>
      <c r="C684" s="102">
        <f t="shared" si="357"/>
        <v>0</v>
      </c>
      <c r="D684" s="102">
        <f t="shared" si="356"/>
        <v>0</v>
      </c>
      <c r="E684" s="102">
        <f ca="1">SUMIFS('Digital Product Summary by COA'!$S$54:$S$325,'Digital Product Summary by COA'!$T$54:$T$325,$A$650,'Digital Product Summary by COA'!$C$54:$C$325,$A684)</f>
        <v>0</v>
      </c>
      <c r="J684" s="13"/>
      <c r="Z684" s="15"/>
      <c r="AA684" s="15"/>
      <c r="AB684" s="15"/>
      <c r="AC684" s="15"/>
    </row>
    <row r="685" spans="1:29" ht="15" hidden="1" customHeight="1" outlineLevel="1" x14ac:dyDescent="0.85">
      <c r="A685" s="165" t="s">
        <v>113</v>
      </c>
      <c r="B685" s="102"/>
      <c r="C685" s="102">
        <f t="shared" si="357"/>
        <v>0</v>
      </c>
      <c r="D685" s="102">
        <f t="shared" si="356"/>
        <v>0</v>
      </c>
      <c r="E685" s="102" t="e">
        <f ca="1">SUMIFS('Digital Product Summary by COA'!$S$54:$S$325,'Digital Product Summary by COA'!$T$54:$T$325,$A$650,'Digital Product Summary by COA'!$C$54:$C$325,$A685)</f>
        <v>#NAME?</v>
      </c>
      <c r="J685" s="13"/>
      <c r="Z685" s="15"/>
      <c r="AA685" s="15"/>
      <c r="AB685" s="15"/>
      <c r="AC685" s="15"/>
    </row>
    <row r="686" spans="1:29" ht="15" hidden="1" customHeight="1" outlineLevel="1" x14ac:dyDescent="0.85">
      <c r="A686" s="165" t="s">
        <v>114</v>
      </c>
      <c r="B686" s="102"/>
      <c r="C686" s="102">
        <f t="shared" si="357"/>
        <v>0</v>
      </c>
      <c r="D686" s="102">
        <f t="shared" si="356"/>
        <v>0</v>
      </c>
      <c r="E686" s="102" t="e">
        <f ca="1">SUMIFS('Digital Product Summary by COA'!$S$54:$S$325,'Digital Product Summary by COA'!$T$54:$T$325,$A$650,'Digital Product Summary by COA'!$C$54:$C$325,$A686)</f>
        <v>#NAME?</v>
      </c>
      <c r="J686" s="13"/>
      <c r="Z686" s="15"/>
      <c r="AA686" s="15"/>
      <c r="AB686" s="15"/>
      <c r="AC686" s="15"/>
    </row>
    <row r="687" spans="1:29" ht="15" hidden="1" customHeight="1" outlineLevel="1" x14ac:dyDescent="0.85">
      <c r="A687" s="165" t="s">
        <v>115</v>
      </c>
      <c r="B687" s="102"/>
      <c r="C687" s="102">
        <f t="shared" si="357"/>
        <v>0</v>
      </c>
      <c r="D687" s="102">
        <f t="shared" si="356"/>
        <v>0</v>
      </c>
      <c r="E687" s="102">
        <f ca="1">SUMIFS('Digital Product Summary by COA'!$S$54:$S$325,'Digital Product Summary by COA'!$T$54:$T$325,$A$650,'Digital Product Summary by COA'!$C$54:$C$325,$A687)</f>
        <v>0</v>
      </c>
      <c r="J687" s="13"/>
      <c r="Z687" s="15"/>
      <c r="AA687" s="15"/>
      <c r="AB687" s="15"/>
      <c r="AC687" s="15"/>
    </row>
    <row r="688" spans="1:29" ht="15" hidden="1" customHeight="1" outlineLevel="1" x14ac:dyDescent="0.85">
      <c r="A688" s="165" t="s">
        <v>117</v>
      </c>
      <c r="B688" s="102"/>
      <c r="C688" s="102">
        <f t="shared" si="357"/>
        <v>0</v>
      </c>
      <c r="D688" s="102">
        <f t="shared" si="356"/>
        <v>0</v>
      </c>
      <c r="E688" s="102">
        <f ca="1">SUMIFS('Digital Product Summary by COA'!$S$54:$S$325,'Digital Product Summary by COA'!$T$54:$T$325,$A$650,'Digital Product Summary by COA'!$C$54:$C$325,$A688)</f>
        <v>0</v>
      </c>
      <c r="J688" s="13"/>
      <c r="Z688" s="15"/>
      <c r="AA688" s="15"/>
      <c r="AB688" s="15"/>
      <c r="AC688" s="15"/>
    </row>
    <row r="689" spans="1:29" ht="15" hidden="1" customHeight="1" outlineLevel="1" x14ac:dyDescent="0.85">
      <c r="A689" s="165" t="s">
        <v>118</v>
      </c>
      <c r="B689" s="102"/>
      <c r="C689" s="102">
        <f t="shared" si="357"/>
        <v>0</v>
      </c>
      <c r="D689" s="102">
        <f t="shared" si="356"/>
        <v>0</v>
      </c>
      <c r="E689" s="102">
        <f ca="1">SUMIFS('Digital Product Summary by COA'!$S$54:$S$325,'Digital Product Summary by COA'!$T$54:$T$325,$A$650,'Digital Product Summary by COA'!$C$54:$C$325,$A689)</f>
        <v>0</v>
      </c>
      <c r="J689" s="13"/>
      <c r="Z689" s="15"/>
      <c r="AA689" s="15"/>
      <c r="AB689" s="15"/>
      <c r="AC689" s="15"/>
    </row>
    <row r="690" spans="1:29" ht="15" hidden="1" customHeight="1" outlineLevel="1" x14ac:dyDescent="0.85">
      <c r="A690" s="165" t="s">
        <v>119</v>
      </c>
      <c r="B690" s="102"/>
      <c r="C690" s="102">
        <f t="shared" si="357"/>
        <v>0</v>
      </c>
      <c r="D690" s="102">
        <f t="shared" si="356"/>
        <v>0</v>
      </c>
      <c r="E690" s="102">
        <f ca="1">SUMIFS('Digital Product Summary by COA'!$S$54:$S$325,'Digital Product Summary by COA'!$T$54:$T$325,$A$650,'Digital Product Summary by COA'!$C$54:$C$325,$A690)</f>
        <v>0</v>
      </c>
      <c r="J690" s="13"/>
      <c r="Z690" s="15"/>
      <c r="AA690" s="15"/>
      <c r="AB690" s="15"/>
      <c r="AC690" s="15"/>
    </row>
    <row r="691" spans="1:29" ht="15" hidden="1" customHeight="1" outlineLevel="1" x14ac:dyDescent="0.85">
      <c r="A691" s="165" t="s">
        <v>120</v>
      </c>
      <c r="B691" s="102"/>
      <c r="C691" s="102">
        <f t="shared" si="357"/>
        <v>0</v>
      </c>
      <c r="D691" s="102">
        <f t="shared" si="356"/>
        <v>0</v>
      </c>
      <c r="E691" s="102">
        <f ca="1">SUMIFS('Digital Product Summary by COA'!$S$54:$S$325,'Digital Product Summary by COA'!$T$54:$T$325,$A$650,'Digital Product Summary by COA'!$C$54:$C$325,$A691)</f>
        <v>0</v>
      </c>
      <c r="J691" s="13"/>
      <c r="Z691" s="15"/>
      <c r="AA691" s="15"/>
      <c r="AB691" s="15"/>
      <c r="AC691" s="15"/>
    </row>
    <row r="692" spans="1:29" ht="15" hidden="1" customHeight="1" outlineLevel="1" x14ac:dyDescent="0.85">
      <c r="A692" s="165" t="s">
        <v>121</v>
      </c>
      <c r="B692" s="102"/>
      <c r="C692" s="102">
        <f t="shared" si="357"/>
        <v>0</v>
      </c>
      <c r="D692" s="102">
        <f t="shared" si="356"/>
        <v>0</v>
      </c>
      <c r="E692" s="102">
        <f ca="1">SUMIFS('Digital Product Summary by COA'!$S$54:$S$325,'Digital Product Summary by COA'!$T$54:$T$325,$A$650,'Digital Product Summary by COA'!$C$54:$C$325,$A692)</f>
        <v>0</v>
      </c>
      <c r="J692" s="13"/>
      <c r="Z692" s="15"/>
      <c r="AA692" s="15"/>
      <c r="AB692" s="15"/>
      <c r="AC692" s="15"/>
    </row>
    <row r="693" spans="1:29" ht="15" hidden="1" customHeight="1" outlineLevel="1" x14ac:dyDescent="0.85">
      <c r="A693" s="165" t="s">
        <v>122</v>
      </c>
      <c r="B693" s="102"/>
      <c r="C693" s="102">
        <f t="shared" si="357"/>
        <v>0</v>
      </c>
      <c r="D693" s="102">
        <f t="shared" si="356"/>
        <v>0</v>
      </c>
      <c r="E693" s="102">
        <f ca="1">SUMIFS('Digital Product Summary by COA'!$S$54:$S$325,'Digital Product Summary by COA'!$T$54:$T$325,$A$650,'Digital Product Summary by COA'!$C$54:$C$325,$A693)</f>
        <v>0</v>
      </c>
      <c r="J693" s="13"/>
      <c r="Z693" s="15"/>
      <c r="AA693" s="15"/>
      <c r="AB693" s="15"/>
      <c r="AC693" s="15"/>
    </row>
    <row r="694" spans="1:29" ht="15" hidden="1" customHeight="1" outlineLevel="1" x14ac:dyDescent="0.85">
      <c r="A694" s="165" t="s">
        <v>144</v>
      </c>
      <c r="B694" s="102"/>
      <c r="C694" s="102">
        <f t="shared" si="357"/>
        <v>0</v>
      </c>
      <c r="D694" s="102">
        <f t="shared" si="356"/>
        <v>0</v>
      </c>
      <c r="E694" s="102">
        <f ca="1">SUMIFS('Digital Product Summary by COA'!$S$54:$S$325,'Digital Product Summary by COA'!$T$54:$T$325,$A$650,'Digital Product Summary by COA'!$C$54:$C$325,$A694)</f>
        <v>0</v>
      </c>
      <c r="J694" s="13"/>
      <c r="Z694" s="15"/>
      <c r="AA694" s="15"/>
      <c r="AB694" s="15"/>
      <c r="AC694" s="15"/>
    </row>
    <row r="695" spans="1:29" ht="15" hidden="1" customHeight="1" outlineLevel="1" x14ac:dyDescent="0.25">
      <c r="A695" s="129" t="s">
        <v>124</v>
      </c>
      <c r="B695" s="102"/>
      <c r="C695" s="102">
        <f t="shared" si="357"/>
        <v>0</v>
      </c>
      <c r="D695" s="102">
        <f t="shared" si="356"/>
        <v>0</v>
      </c>
      <c r="E695" s="102">
        <f ca="1">SUMIFS('Digital Product Summary by COA'!$S$54:$S$325,'Digital Product Summary by COA'!$T$54:$T$325,$A$650,'Digital Product Summary by COA'!$C$54:$C$325,$A695)</f>
        <v>0</v>
      </c>
      <c r="J695" s="13"/>
      <c r="Z695" s="15"/>
      <c r="AA695" s="15"/>
      <c r="AB695" s="15"/>
      <c r="AC695" s="15"/>
    </row>
    <row r="696" spans="1:29" ht="15" hidden="1" customHeight="1" outlineLevel="1" x14ac:dyDescent="0.25">
      <c r="A696" s="129" t="s">
        <v>125</v>
      </c>
      <c r="B696" s="102"/>
      <c r="C696" s="102">
        <f t="shared" si="357"/>
        <v>0</v>
      </c>
      <c r="D696" s="102">
        <f t="shared" si="356"/>
        <v>0</v>
      </c>
      <c r="E696" s="102">
        <f ca="1">SUMIFS('Digital Product Summary by COA'!$S$54:$S$325,'Digital Product Summary by COA'!$T$54:$T$325,$A$650,'Digital Product Summary by COA'!$C$54:$C$325,$A696)</f>
        <v>0</v>
      </c>
      <c r="J696" s="13"/>
      <c r="Z696" s="15"/>
      <c r="AA696" s="15"/>
      <c r="AB696" s="15"/>
      <c r="AC696" s="15"/>
    </row>
    <row r="697" spans="1:29" ht="15" customHeight="1" collapsed="1" x14ac:dyDescent="0.3">
      <c r="A697" s="166" t="s">
        <v>126</v>
      </c>
      <c r="B697" s="168">
        <f t="shared" ref="B697:E697" si="358">SUBTOTAL(9,B698:B700)</f>
        <v>12500</v>
      </c>
      <c r="C697" s="168">
        <f t="shared" si="358"/>
        <v>2994.36</v>
      </c>
      <c r="D697" s="168">
        <f t="shared" si="358"/>
        <v>-9505.64</v>
      </c>
      <c r="E697" s="168" t="e">
        <f t="shared" ca="1" si="358"/>
        <v>#NAME?</v>
      </c>
      <c r="J697" s="13"/>
      <c r="Z697" s="15"/>
      <c r="AA697" s="15"/>
      <c r="AB697" s="15"/>
      <c r="AC697" s="15"/>
    </row>
    <row r="698" spans="1:29" ht="15" hidden="1" customHeight="1" outlineLevel="1" x14ac:dyDescent="0.25">
      <c r="A698" s="129" t="s">
        <v>128</v>
      </c>
      <c r="B698" s="225"/>
      <c r="C698" s="102">
        <f t="shared" ref="C698:C699" si="359">J698+K698</f>
        <v>0</v>
      </c>
      <c r="D698" s="102">
        <f t="shared" ref="D698:D700" si="360">C698-B698</f>
        <v>0</v>
      </c>
      <c r="E698" s="102">
        <f ca="1">SUMIFS('Digital Product Summary by COA'!$S$54:$S$325,'Digital Product Summary by COA'!$T$54:$T$325,$A$650,'Digital Product Summary by COA'!$C$54:$C$325,$A698)</f>
        <v>0</v>
      </c>
      <c r="J698" s="13"/>
      <c r="Z698" s="15"/>
      <c r="AA698" s="15"/>
      <c r="AB698" s="15"/>
      <c r="AC698" s="15"/>
    </row>
    <row r="699" spans="1:29" ht="15" hidden="1" customHeight="1" outlineLevel="1" x14ac:dyDescent="0.25">
      <c r="A699" s="129" t="s">
        <v>129</v>
      </c>
      <c r="B699" s="225"/>
      <c r="C699" s="102">
        <f t="shared" si="359"/>
        <v>0</v>
      </c>
      <c r="D699" s="102">
        <f t="shared" si="360"/>
        <v>0</v>
      </c>
      <c r="E699" s="102">
        <f ca="1">SUMIFS('Digital Product Summary by COA'!$S$54:$S$325,'Digital Product Summary by COA'!$T$54:$T$325,$A$650,'Digital Product Summary by COA'!$C$54:$C$325,$A699)</f>
        <v>0</v>
      </c>
      <c r="J699" s="13"/>
      <c r="Z699" s="15"/>
      <c r="AA699" s="15"/>
      <c r="AB699" s="15"/>
      <c r="AC699" s="15"/>
    </row>
    <row r="700" spans="1:29" ht="15" hidden="1" customHeight="1" outlineLevel="1" x14ac:dyDescent="0.25">
      <c r="A700" s="129" t="s">
        <v>134</v>
      </c>
      <c r="B700" s="225">
        <v>12500</v>
      </c>
      <c r="C700" s="102">
        <v>2994.36</v>
      </c>
      <c r="D700" s="102">
        <f t="shared" si="360"/>
        <v>-9505.64</v>
      </c>
      <c r="E700" s="102" t="e">
        <f ca="1">SUMIFS('Digital Product Summary by COA'!$S$54:$S$325,'Digital Product Summary by COA'!$T$54:$T$325,$A$650,'Digital Product Summary by COA'!$C$54:$C$325,$A700)</f>
        <v>#NAME?</v>
      </c>
      <c r="J700" s="13"/>
      <c r="Z700" s="15"/>
      <c r="AA700" s="15"/>
      <c r="AB700" s="15"/>
      <c r="AC700" s="15"/>
    </row>
    <row r="701" spans="1:29" ht="15" customHeight="1" collapsed="1" x14ac:dyDescent="0.3">
      <c r="A701" s="166" t="s">
        <v>135</v>
      </c>
      <c r="B701" s="168">
        <f t="shared" ref="B701:E701" si="361">SUBTOTAL(9,B702)</f>
        <v>0</v>
      </c>
      <c r="C701" s="168">
        <f t="shared" si="361"/>
        <v>0</v>
      </c>
      <c r="D701" s="168">
        <f t="shared" si="361"/>
        <v>0</v>
      </c>
      <c r="E701" s="168" t="e">
        <f t="shared" ca="1" si="361"/>
        <v>#NAME?</v>
      </c>
      <c r="J701" s="13"/>
      <c r="Z701" s="15"/>
      <c r="AA701" s="15"/>
      <c r="AB701" s="15"/>
      <c r="AC701" s="15"/>
    </row>
    <row r="702" spans="1:29" ht="15" hidden="1" customHeight="1" outlineLevel="1" x14ac:dyDescent="0.25">
      <c r="A702" s="129" t="s">
        <v>138</v>
      </c>
      <c r="B702" s="225"/>
      <c r="C702" s="102">
        <f>J702+K702</f>
        <v>0</v>
      </c>
      <c r="D702" s="102">
        <f>C702-B702</f>
        <v>0</v>
      </c>
      <c r="E702" s="102" t="e">
        <f ca="1">SUMIFS('Digital Product Summary by COA'!$S$54:$S$325,'Digital Product Summary by COA'!$T$54:$T$325,$A$650,'Digital Product Summary by COA'!$C$54:$C$325,$A702)</f>
        <v>#NAME?</v>
      </c>
      <c r="J702" s="13"/>
      <c r="Z702" s="15"/>
      <c r="AA702" s="15"/>
      <c r="AB702" s="15"/>
      <c r="AC702" s="15"/>
    </row>
    <row r="703" spans="1:29" ht="15" customHeight="1" x14ac:dyDescent="0.3">
      <c r="A703" s="134"/>
      <c r="B703" s="173">
        <f t="shared" ref="B703:E703" si="362">SUBTOTAL(9,B652:B702)</f>
        <v>248767</v>
      </c>
      <c r="C703" s="173">
        <f t="shared" si="362"/>
        <v>350869.27999999997</v>
      </c>
      <c r="D703" s="173">
        <f t="shared" si="362"/>
        <v>102102.28</v>
      </c>
      <c r="E703" s="174" t="e">
        <f t="shared" ca="1" si="362"/>
        <v>#NAME?</v>
      </c>
      <c r="J703" s="13"/>
      <c r="Z703" s="15"/>
      <c r="AA703" s="15"/>
      <c r="AB703" s="15"/>
      <c r="AC703" s="15"/>
    </row>
    <row r="704" spans="1:29" ht="15" customHeight="1" x14ac:dyDescent="0.25">
      <c r="B704" s="145"/>
      <c r="C704" s="145"/>
      <c r="D704" s="145"/>
      <c r="E704" s="50">
        <f ca="1">'Shared Summary by Dept_US$'!C20</f>
        <v>288853.99999999919</v>
      </c>
      <c r="J704" s="13"/>
      <c r="Z704" s="15"/>
      <c r="AA704" s="15"/>
      <c r="AB704" s="15"/>
      <c r="AC704" s="15"/>
    </row>
    <row r="705" spans="1:29" ht="15" customHeight="1" x14ac:dyDescent="0.25">
      <c r="B705" s="145"/>
      <c r="C705" s="145"/>
      <c r="D705" s="145"/>
      <c r="E705" s="50" t="e">
        <f ca="1">E703-E704</f>
        <v>#NAME?</v>
      </c>
      <c r="J705" s="13"/>
      <c r="Z705" s="15"/>
      <c r="AA705" s="15"/>
      <c r="AB705" s="15"/>
      <c r="AC705" s="15"/>
    </row>
    <row r="706" spans="1:29" ht="15" customHeight="1" x14ac:dyDescent="0.3">
      <c r="A706" s="154"/>
      <c r="B706" s="92">
        <v>2025</v>
      </c>
      <c r="C706" s="92">
        <v>2025</v>
      </c>
      <c r="D706" s="92">
        <v>2025</v>
      </c>
      <c r="E706" s="92">
        <v>2026</v>
      </c>
      <c r="J706" s="13"/>
      <c r="Z706" s="15"/>
      <c r="AA706" s="15"/>
      <c r="AB706" s="15"/>
      <c r="AC706" s="15"/>
    </row>
    <row r="707" spans="1:29" ht="15" customHeight="1" x14ac:dyDescent="0.3">
      <c r="A707" s="156" t="s">
        <v>203</v>
      </c>
      <c r="B707" s="94" t="s">
        <v>13</v>
      </c>
      <c r="C707" s="94" t="s">
        <v>142</v>
      </c>
      <c r="D707" s="94" t="s">
        <v>71</v>
      </c>
      <c r="E707" s="92" t="s">
        <v>13</v>
      </c>
      <c r="J707" s="13"/>
      <c r="Z707" s="15"/>
      <c r="AA707" s="15"/>
      <c r="AB707" s="15"/>
      <c r="AC707" s="15"/>
    </row>
    <row r="708" spans="1:29" ht="15" customHeight="1" collapsed="1" x14ac:dyDescent="0.3">
      <c r="A708" s="159" t="s">
        <v>37</v>
      </c>
      <c r="B708" s="96">
        <f t="shared" ref="B708:E708" si="363">SUBTOTAL(9,B709:B718)</f>
        <v>0</v>
      </c>
      <c r="C708" s="96">
        <f t="shared" si="363"/>
        <v>0</v>
      </c>
      <c r="D708" s="96">
        <f t="shared" si="363"/>
        <v>0</v>
      </c>
      <c r="E708" s="96" t="e">
        <f t="shared" ca="1" si="363"/>
        <v>#NAME?</v>
      </c>
      <c r="J708" s="13"/>
      <c r="Z708" s="15"/>
      <c r="AA708" s="15"/>
      <c r="AB708" s="15"/>
      <c r="AC708" s="15"/>
    </row>
    <row r="709" spans="1:29" ht="15" hidden="1" customHeight="1" outlineLevel="1" x14ac:dyDescent="0.85">
      <c r="A709" s="162" t="s">
        <v>37</v>
      </c>
      <c r="B709" s="102"/>
      <c r="C709" s="102"/>
      <c r="D709" s="102">
        <f t="shared" ref="D709:D718" si="364">C709-B709</f>
        <v>0</v>
      </c>
      <c r="E709" s="102" t="e">
        <f ca="1">SUMIFS('Digital Product Summary by COA'!$S$54:$S$325,'Digital Product Summary by COA'!$T$54:$T$325,$A$707,'Digital Product Summary by COA'!$C$54:$C$325,$A709)</f>
        <v>#NAME?</v>
      </c>
      <c r="J709" s="13"/>
      <c r="Z709" s="15"/>
      <c r="AA709" s="15"/>
      <c r="AB709" s="15"/>
      <c r="AC709" s="15"/>
    </row>
    <row r="710" spans="1:29" ht="15" hidden="1" customHeight="1" outlineLevel="1" x14ac:dyDescent="0.85">
      <c r="A710" s="165" t="s">
        <v>72</v>
      </c>
      <c r="B710" s="102"/>
      <c r="C710" s="102"/>
      <c r="D710" s="102">
        <f t="shared" si="364"/>
        <v>0</v>
      </c>
      <c r="E710" s="102" t="e">
        <f ca="1">SUMIFS('Digital Product Summary by COA'!$S$54:$S$325,'Digital Product Summary by COA'!$T$54:$T$325,$A$707,'Digital Product Summary by COA'!$C$54:$C$325,$A710)</f>
        <v>#NAME?</v>
      </c>
      <c r="J710" s="13"/>
      <c r="Z710" s="15"/>
      <c r="AA710" s="15"/>
      <c r="AB710" s="15"/>
      <c r="AC710" s="15"/>
    </row>
    <row r="711" spans="1:29" ht="15" hidden="1" customHeight="1" outlineLevel="1" x14ac:dyDescent="0.85">
      <c r="A711" s="165" t="s">
        <v>73</v>
      </c>
      <c r="B711" s="102"/>
      <c r="C711" s="102"/>
      <c r="D711" s="102">
        <f t="shared" si="364"/>
        <v>0</v>
      </c>
      <c r="E711" s="102">
        <f ca="1">SUMIFS('Digital Product Summary by COA'!$S$54:$S$325,'Digital Product Summary by COA'!$T$54:$T$325,$A$707,'Digital Product Summary by COA'!$C$54:$C$325,$A711)</f>
        <v>0</v>
      </c>
      <c r="J711" s="13"/>
      <c r="Z711" s="15"/>
      <c r="AA711" s="15"/>
      <c r="AB711" s="15"/>
      <c r="AC711" s="15"/>
    </row>
    <row r="712" spans="1:29" ht="15" hidden="1" customHeight="1" outlineLevel="1" x14ac:dyDescent="0.85">
      <c r="A712" s="165" t="s">
        <v>74</v>
      </c>
      <c r="B712" s="102"/>
      <c r="C712" s="102"/>
      <c r="D712" s="102">
        <f t="shared" si="364"/>
        <v>0</v>
      </c>
      <c r="E712" s="102">
        <f ca="1">SUMIFS('Digital Product Summary by COA'!$S$54:$S$325,'Digital Product Summary by COA'!$T$54:$T$325,$A$707,'Digital Product Summary by COA'!$C$54:$C$325,$A712)</f>
        <v>0</v>
      </c>
      <c r="J712" s="13"/>
      <c r="Z712" s="15"/>
      <c r="AA712" s="15"/>
      <c r="AB712" s="15"/>
      <c r="AC712" s="15"/>
    </row>
    <row r="713" spans="1:29" ht="15" hidden="1" customHeight="1" outlineLevel="1" x14ac:dyDescent="0.85">
      <c r="A713" s="165" t="s">
        <v>77</v>
      </c>
      <c r="B713" s="102"/>
      <c r="C713" s="102"/>
      <c r="D713" s="102">
        <f t="shared" si="364"/>
        <v>0</v>
      </c>
      <c r="E713" s="102" t="e">
        <f ca="1">SUMIFS('Digital Product Summary by COA'!$S$54:$S$325,'Digital Product Summary by COA'!$T$54:$T$325,$A$707,'Digital Product Summary by COA'!$C$54:$C$325,$A713)</f>
        <v>#NAME?</v>
      </c>
      <c r="J713" s="13"/>
      <c r="Z713" s="15"/>
      <c r="AA713" s="15"/>
      <c r="AB713" s="15"/>
      <c r="AC713" s="15"/>
    </row>
    <row r="714" spans="1:29" ht="15" hidden="1" customHeight="1" outlineLevel="1" x14ac:dyDescent="0.85">
      <c r="A714" s="165" t="s">
        <v>78</v>
      </c>
      <c r="B714" s="102"/>
      <c r="C714" s="102"/>
      <c r="D714" s="102">
        <f t="shared" si="364"/>
        <v>0</v>
      </c>
      <c r="E714" s="102">
        <f ca="1">SUMIFS('Digital Product Summary by COA'!$S$54:$S$325,'Digital Product Summary by COA'!$T$54:$T$325,$A$707,'Digital Product Summary by COA'!$C$54:$C$325,$A714)</f>
        <v>0</v>
      </c>
      <c r="J714" s="13"/>
      <c r="Z714" s="15"/>
      <c r="AA714" s="15"/>
      <c r="AB714" s="15"/>
      <c r="AC714" s="15"/>
    </row>
    <row r="715" spans="1:29" ht="15" hidden="1" customHeight="1" outlineLevel="1" x14ac:dyDescent="0.85">
      <c r="A715" s="165" t="s">
        <v>79</v>
      </c>
      <c r="B715" s="102"/>
      <c r="C715" s="102"/>
      <c r="D715" s="102">
        <f t="shared" si="364"/>
        <v>0</v>
      </c>
      <c r="E715" s="102">
        <f ca="1">SUMIFS('Digital Product Summary by COA'!$S$54:$S$325,'Digital Product Summary by COA'!$T$54:$T$325,$A$707,'Digital Product Summary by COA'!$C$54:$C$325,$A715)</f>
        <v>0</v>
      </c>
      <c r="J715" s="13"/>
      <c r="Z715" s="15"/>
      <c r="AA715" s="15"/>
      <c r="AB715" s="15"/>
      <c r="AC715" s="15"/>
    </row>
    <row r="716" spans="1:29" ht="15" hidden="1" customHeight="1" outlineLevel="1" x14ac:dyDescent="0.85">
      <c r="A716" s="165" t="s">
        <v>80</v>
      </c>
      <c r="B716" s="102"/>
      <c r="C716" s="102"/>
      <c r="D716" s="102">
        <f t="shared" si="364"/>
        <v>0</v>
      </c>
      <c r="E716" s="102">
        <f ca="1">SUMIFS('Digital Product Summary by COA'!$S$54:$S$325,'Digital Product Summary by COA'!$T$54:$T$325,$A$707,'Digital Product Summary by COA'!$C$54:$C$325,$A716)</f>
        <v>0</v>
      </c>
      <c r="J716" s="13"/>
      <c r="Z716" s="15"/>
      <c r="AA716" s="15"/>
      <c r="AB716" s="15"/>
      <c r="AC716" s="15"/>
    </row>
    <row r="717" spans="1:29" ht="15" hidden="1" customHeight="1" outlineLevel="1" x14ac:dyDescent="0.85">
      <c r="A717" s="165" t="s">
        <v>82</v>
      </c>
      <c r="B717" s="102"/>
      <c r="C717" s="102"/>
      <c r="D717" s="102">
        <f t="shared" si="364"/>
        <v>0</v>
      </c>
      <c r="E717" s="102">
        <f ca="1">SUMIFS('Digital Product Summary by COA'!$S$54:$S$325,'Digital Product Summary by COA'!$T$54:$T$325,$A$707,'Digital Product Summary by COA'!$C$54:$C$325,$A717)</f>
        <v>0</v>
      </c>
      <c r="J717" s="13"/>
      <c r="Z717" s="15"/>
      <c r="AA717" s="15"/>
      <c r="AB717" s="15"/>
      <c r="AC717" s="15"/>
    </row>
    <row r="718" spans="1:29" ht="15" hidden="1" customHeight="1" outlineLevel="1" x14ac:dyDescent="0.85">
      <c r="A718" s="165" t="s">
        <v>83</v>
      </c>
      <c r="B718" s="102"/>
      <c r="C718" s="102"/>
      <c r="D718" s="102">
        <f t="shared" si="364"/>
        <v>0</v>
      </c>
      <c r="E718" s="102">
        <f ca="1">SUMIFS('Digital Product Summary by COA'!$S$54:$S$325,'Digital Product Summary by COA'!$T$54:$T$325,$A$707,'Digital Product Summary by COA'!$C$54:$C$325,$A718)</f>
        <v>0</v>
      </c>
      <c r="J718" s="13"/>
      <c r="Z718" s="15"/>
      <c r="AA718" s="15"/>
      <c r="AB718" s="15"/>
      <c r="AC718" s="15"/>
    </row>
    <row r="719" spans="1:29" ht="15" customHeight="1" collapsed="1" x14ac:dyDescent="0.3">
      <c r="A719" s="166" t="s">
        <v>84</v>
      </c>
      <c r="B719" s="168">
        <f t="shared" ref="B719:E719" si="365">SUBTOTAL(9,B720)</f>
        <v>0</v>
      </c>
      <c r="C719" s="168">
        <f t="shared" si="365"/>
        <v>0</v>
      </c>
      <c r="D719" s="168">
        <f t="shared" si="365"/>
        <v>0</v>
      </c>
      <c r="E719" s="168" t="e">
        <f t="shared" ca="1" si="365"/>
        <v>#NAME?</v>
      </c>
      <c r="J719" s="13"/>
      <c r="Z719" s="15"/>
      <c r="AA719" s="15"/>
      <c r="AB719" s="15"/>
      <c r="AC719" s="15"/>
    </row>
    <row r="720" spans="1:29" ht="15" hidden="1" customHeight="1" outlineLevel="1" x14ac:dyDescent="0.85">
      <c r="A720" s="165" t="s">
        <v>85</v>
      </c>
      <c r="B720" s="102"/>
      <c r="C720" s="102"/>
      <c r="D720" s="102">
        <f>C720-B720</f>
        <v>0</v>
      </c>
      <c r="E720" s="102" t="e">
        <f ca="1">SUMIFS('Digital Product Summary by COA'!$S$54:$S$325,'Digital Product Summary by COA'!$T$54:$T$325,$A$707,'Digital Product Summary by COA'!$C$54:$C$325,$A720)</f>
        <v>#NAME?</v>
      </c>
      <c r="J720" s="13"/>
      <c r="Z720" s="15"/>
      <c r="AA720" s="15"/>
      <c r="AB720" s="15"/>
      <c r="AC720" s="15"/>
    </row>
    <row r="721" spans="1:29" ht="15" customHeight="1" collapsed="1" x14ac:dyDescent="0.3">
      <c r="A721" s="166" t="s">
        <v>86</v>
      </c>
      <c r="B721" s="168">
        <f t="shared" ref="B721:E721" si="366">SUBTOTAL(9,B722:B727)</f>
        <v>0</v>
      </c>
      <c r="C721" s="168">
        <f t="shared" si="366"/>
        <v>0</v>
      </c>
      <c r="D721" s="168">
        <f t="shared" si="366"/>
        <v>0</v>
      </c>
      <c r="E721" s="168" t="e">
        <f t="shared" ca="1" si="366"/>
        <v>#NAME?</v>
      </c>
      <c r="J721" s="13"/>
      <c r="Z721" s="15"/>
      <c r="AA721" s="15"/>
      <c r="AB721" s="15"/>
      <c r="AC721" s="15"/>
    </row>
    <row r="722" spans="1:29" ht="15" hidden="1" customHeight="1" outlineLevel="1" x14ac:dyDescent="0.85">
      <c r="A722" s="165" t="s">
        <v>88</v>
      </c>
      <c r="B722" s="102"/>
      <c r="C722" s="102"/>
      <c r="D722" s="102">
        <f t="shared" ref="D722:D727" si="367">C722-B722</f>
        <v>0</v>
      </c>
      <c r="E722" s="102" t="e">
        <f ca="1">SUMIFS('Digital Product Summary by COA'!$S$54:$S$325,'Digital Product Summary by COA'!$T$54:$T$325,$A$707,'Digital Product Summary by COA'!$C$54:$C$325,$A722)</f>
        <v>#NAME?</v>
      </c>
      <c r="J722" s="13"/>
      <c r="Z722" s="15"/>
      <c r="AA722" s="15"/>
      <c r="AB722" s="15"/>
      <c r="AC722" s="15"/>
    </row>
    <row r="723" spans="1:29" ht="15" hidden="1" customHeight="1" outlineLevel="1" x14ac:dyDescent="0.85">
      <c r="A723" s="165" t="s">
        <v>89</v>
      </c>
      <c r="B723" s="102"/>
      <c r="C723" s="102"/>
      <c r="D723" s="102">
        <f t="shared" si="367"/>
        <v>0</v>
      </c>
      <c r="E723" s="102" t="e">
        <f ca="1">SUMIFS('Digital Product Summary by COA'!$S$54:$S$325,'Digital Product Summary by COA'!$T$54:$T$325,$A$707,'Digital Product Summary by COA'!$C$54:$C$325,$A723)</f>
        <v>#NAME?</v>
      </c>
      <c r="J723" s="13"/>
      <c r="Z723" s="15"/>
      <c r="AA723" s="15"/>
      <c r="AB723" s="15"/>
      <c r="AC723" s="15"/>
    </row>
    <row r="724" spans="1:29" ht="15" hidden="1" customHeight="1" outlineLevel="1" x14ac:dyDescent="0.85">
      <c r="A724" s="165" t="s">
        <v>90</v>
      </c>
      <c r="B724" s="102"/>
      <c r="C724" s="102"/>
      <c r="D724" s="102">
        <f t="shared" si="367"/>
        <v>0</v>
      </c>
      <c r="E724" s="102" t="e">
        <f ca="1">SUMIFS('Digital Product Summary by COA'!$S$54:$S$325,'Digital Product Summary by COA'!$T$54:$T$325,$A$707,'Digital Product Summary by COA'!$C$54:$C$325,$A724)</f>
        <v>#NAME?</v>
      </c>
      <c r="J724" s="13"/>
      <c r="Z724" s="15"/>
      <c r="AA724" s="15"/>
      <c r="AB724" s="15"/>
      <c r="AC724" s="15"/>
    </row>
    <row r="725" spans="1:29" ht="15" hidden="1" customHeight="1" outlineLevel="1" x14ac:dyDescent="0.85">
      <c r="A725" s="165" t="s">
        <v>91</v>
      </c>
      <c r="B725" s="102"/>
      <c r="C725" s="102"/>
      <c r="D725" s="102">
        <f t="shared" si="367"/>
        <v>0</v>
      </c>
      <c r="E725" s="102" t="e">
        <f ca="1">SUMIFS('Digital Product Summary by COA'!$S$54:$S$325,'Digital Product Summary by COA'!$T$54:$T$325,$A$707,'Digital Product Summary by COA'!$C$54:$C$325,$A725)</f>
        <v>#NAME?</v>
      </c>
      <c r="J725" s="13"/>
      <c r="Z725" s="15"/>
      <c r="AA725" s="15"/>
      <c r="AB725" s="15"/>
      <c r="AC725" s="15"/>
    </row>
    <row r="726" spans="1:29" ht="15" hidden="1" customHeight="1" outlineLevel="1" x14ac:dyDescent="0.85">
      <c r="A726" s="165" t="s">
        <v>92</v>
      </c>
      <c r="B726" s="102"/>
      <c r="C726" s="102"/>
      <c r="D726" s="102">
        <f t="shared" si="367"/>
        <v>0</v>
      </c>
      <c r="E726" s="102" t="e">
        <f ca="1">SUMIFS('Digital Product Summary by COA'!$S$54:$S$325,'Digital Product Summary by COA'!$T$54:$T$325,$A$707,'Digital Product Summary by COA'!$C$54:$C$325,$A726)</f>
        <v>#NAME?</v>
      </c>
      <c r="J726" s="13"/>
      <c r="Z726" s="15"/>
      <c r="AA726" s="15"/>
      <c r="AB726" s="15"/>
      <c r="AC726" s="15"/>
    </row>
    <row r="727" spans="1:29" ht="15" hidden="1" customHeight="1" outlineLevel="1" x14ac:dyDescent="0.85">
      <c r="A727" s="165" t="s">
        <v>93</v>
      </c>
      <c r="B727" s="102"/>
      <c r="C727" s="102"/>
      <c r="D727" s="102">
        <f t="shared" si="367"/>
        <v>0</v>
      </c>
      <c r="E727" s="102" t="e">
        <f ca="1">SUMIFS('Digital Product Summary by COA'!$S$54:$S$325,'Digital Product Summary by COA'!$T$54:$T$325,$A$707,'Digital Product Summary by COA'!$C$54:$C$325,$A727)</f>
        <v>#NAME?</v>
      </c>
      <c r="J727" s="13"/>
      <c r="Z727" s="15"/>
      <c r="AA727" s="15"/>
      <c r="AB727" s="15"/>
      <c r="AC727" s="15"/>
    </row>
    <row r="728" spans="1:29" ht="15" customHeight="1" collapsed="1" x14ac:dyDescent="0.3">
      <c r="A728" s="166" t="s">
        <v>94</v>
      </c>
      <c r="B728" s="168">
        <f t="shared" ref="B728:E728" si="368">SUBTOTAL(9,B729:B733)</f>
        <v>0</v>
      </c>
      <c r="C728" s="168">
        <f t="shared" si="368"/>
        <v>0</v>
      </c>
      <c r="D728" s="168">
        <f t="shared" si="368"/>
        <v>0</v>
      </c>
      <c r="E728" s="168" t="e">
        <f t="shared" ca="1" si="368"/>
        <v>#NAME?</v>
      </c>
      <c r="J728" s="13"/>
      <c r="Z728" s="15"/>
      <c r="AA728" s="15"/>
      <c r="AB728" s="15"/>
      <c r="AC728" s="15"/>
    </row>
    <row r="729" spans="1:29" ht="15" hidden="1" customHeight="1" outlineLevel="1" x14ac:dyDescent="0.85">
      <c r="A729" s="165" t="s">
        <v>95</v>
      </c>
      <c r="B729" s="225"/>
      <c r="C729" s="102"/>
      <c r="D729" s="102">
        <f t="shared" ref="D729:D733" si="369">C729-B729</f>
        <v>0</v>
      </c>
      <c r="E729" s="102" t="e">
        <f ca="1">SUMIFS('Digital Product Summary by COA'!$S$54:$S$325,'Digital Product Summary by COA'!$T$54:$T$325,$A$707,'Digital Product Summary by COA'!$C$54:$C$325,$A729)</f>
        <v>#NAME?</v>
      </c>
      <c r="J729" s="13"/>
      <c r="Z729" s="15"/>
      <c r="AA729" s="15"/>
      <c r="AB729" s="15"/>
      <c r="AC729" s="15"/>
    </row>
    <row r="730" spans="1:29" ht="15" hidden="1" customHeight="1" outlineLevel="1" x14ac:dyDescent="0.85">
      <c r="A730" s="165" t="s">
        <v>96</v>
      </c>
      <c r="B730" s="225"/>
      <c r="C730" s="102"/>
      <c r="D730" s="102">
        <f t="shared" si="369"/>
        <v>0</v>
      </c>
      <c r="E730" s="102">
        <f ca="1">SUMIFS('Digital Product Summary by COA'!$S$54:$S$325,'Digital Product Summary by COA'!$T$54:$T$325,$A$707,'Digital Product Summary by COA'!$C$54:$C$325,$A730)</f>
        <v>0</v>
      </c>
      <c r="J730" s="13"/>
      <c r="Z730" s="15"/>
      <c r="AA730" s="15"/>
      <c r="AB730" s="15"/>
      <c r="AC730" s="15"/>
    </row>
    <row r="731" spans="1:29" ht="15" hidden="1" customHeight="1" outlineLevel="1" x14ac:dyDescent="0.85">
      <c r="A731" s="165" t="s">
        <v>97</v>
      </c>
      <c r="B731" s="225"/>
      <c r="C731" s="102"/>
      <c r="D731" s="102">
        <f t="shared" si="369"/>
        <v>0</v>
      </c>
      <c r="E731" s="102">
        <f ca="1">SUMIFS('Digital Product Summary by COA'!$S$54:$S$325,'Digital Product Summary by COA'!$T$54:$T$325,$A$707,'Digital Product Summary by COA'!$C$54:$C$325,$A731)</f>
        <v>0</v>
      </c>
      <c r="J731" s="13"/>
      <c r="Z731" s="15"/>
      <c r="AA731" s="15"/>
      <c r="AB731" s="15"/>
      <c r="AC731" s="15"/>
    </row>
    <row r="732" spans="1:29" ht="15" hidden="1" customHeight="1" outlineLevel="1" x14ac:dyDescent="0.85">
      <c r="A732" s="165" t="s">
        <v>98</v>
      </c>
      <c r="B732" s="225"/>
      <c r="C732" s="102"/>
      <c r="D732" s="102">
        <f t="shared" si="369"/>
        <v>0</v>
      </c>
      <c r="E732" s="102">
        <f ca="1">SUMIFS('Digital Product Summary by COA'!$S$54:$S$325,'Digital Product Summary by COA'!$T$54:$T$325,$A$707,'Digital Product Summary by COA'!$C$54:$C$325,$A732)</f>
        <v>0</v>
      </c>
      <c r="J732" s="13"/>
      <c r="Z732" s="15"/>
      <c r="AA732" s="15"/>
      <c r="AB732" s="15"/>
      <c r="AC732" s="15"/>
    </row>
    <row r="733" spans="1:29" ht="15" hidden="1" customHeight="1" outlineLevel="1" x14ac:dyDescent="0.85">
      <c r="A733" s="165" t="s">
        <v>99</v>
      </c>
      <c r="B733" s="225"/>
      <c r="C733" s="102"/>
      <c r="D733" s="102">
        <f t="shared" si="369"/>
        <v>0</v>
      </c>
      <c r="E733" s="102" t="e">
        <f ca="1">SUMIFS('Digital Product Summary by COA'!$S$54:$S$325,'Digital Product Summary by COA'!$T$54:$T$325,$A$707,'Digital Product Summary by COA'!$C$54:$C$325,$A733)</f>
        <v>#NAME?</v>
      </c>
      <c r="J733" s="13"/>
      <c r="Z733" s="15"/>
      <c r="AA733" s="15"/>
      <c r="AB733" s="15"/>
      <c r="AC733" s="15"/>
    </row>
    <row r="734" spans="1:29" ht="15" customHeight="1" collapsed="1" x14ac:dyDescent="0.3">
      <c r="A734" s="166" t="s">
        <v>100</v>
      </c>
      <c r="B734" s="168">
        <f t="shared" ref="B734:E734" si="370">SUBTOTAL(9,B735:B737)</f>
        <v>0</v>
      </c>
      <c r="C734" s="168">
        <f t="shared" si="370"/>
        <v>0</v>
      </c>
      <c r="D734" s="168">
        <f t="shared" si="370"/>
        <v>0</v>
      </c>
      <c r="E734" s="168" t="e">
        <f t="shared" ca="1" si="370"/>
        <v>#NAME?</v>
      </c>
      <c r="J734" s="13"/>
      <c r="Z734" s="15"/>
      <c r="AA734" s="15"/>
      <c r="AB734" s="15"/>
      <c r="AC734" s="15"/>
    </row>
    <row r="735" spans="1:29" ht="15" hidden="1" customHeight="1" outlineLevel="1" x14ac:dyDescent="0.85">
      <c r="A735" s="165" t="s">
        <v>101</v>
      </c>
      <c r="B735" s="225"/>
      <c r="C735" s="102"/>
      <c r="D735" s="102"/>
      <c r="E735" s="102" t="e">
        <f ca="1">SUMIFS('Digital Product Summary by COA'!$S$54:$S$325,'Digital Product Summary by COA'!$T$54:$T$325,$A$707,'Digital Product Summary by COA'!$C$54:$C$325,$A735)</f>
        <v>#NAME?</v>
      </c>
      <c r="J735" s="13"/>
      <c r="Z735" s="15"/>
      <c r="AA735" s="15"/>
      <c r="AB735" s="15"/>
      <c r="AC735" s="15"/>
    </row>
    <row r="736" spans="1:29" ht="15" hidden="1" customHeight="1" outlineLevel="1" x14ac:dyDescent="0.85">
      <c r="A736" s="165" t="s">
        <v>103</v>
      </c>
      <c r="B736" s="225"/>
      <c r="C736" s="102"/>
      <c r="D736" s="102">
        <f>C736-B736</f>
        <v>0</v>
      </c>
      <c r="E736" s="102" t="e">
        <f ca="1">SUMIFS('Digital Product Summary by COA'!$S$54:$S$325,'Digital Product Summary by COA'!$T$54:$T$325,$A$707,'Digital Product Summary by COA'!$C$54:$C$325,$A736)</f>
        <v>#NAME?</v>
      </c>
      <c r="J736" s="13"/>
      <c r="Z736" s="15"/>
      <c r="AA736" s="15"/>
      <c r="AB736" s="15"/>
      <c r="AC736" s="15"/>
    </row>
    <row r="737" spans="1:29" ht="15" hidden="1" customHeight="1" outlineLevel="1" x14ac:dyDescent="0.85">
      <c r="A737" s="165" t="s">
        <v>104</v>
      </c>
      <c r="B737" s="225"/>
      <c r="C737" s="102"/>
      <c r="D737" s="172"/>
      <c r="E737" s="102" t="e">
        <f ca="1">SUMIFS('Digital Product Summary by COA'!$S$54:$S$325,'Digital Product Summary by COA'!$T$54:$T$325,$A$707,'Digital Product Summary by COA'!$C$54:$C$325,$A737)</f>
        <v>#NAME?</v>
      </c>
      <c r="J737" s="13"/>
      <c r="Z737" s="15"/>
      <c r="AA737" s="15"/>
      <c r="AB737" s="15"/>
      <c r="AC737" s="15"/>
    </row>
    <row r="738" spans="1:29" ht="15" customHeight="1" collapsed="1" x14ac:dyDescent="0.3">
      <c r="A738" s="166" t="s">
        <v>105</v>
      </c>
      <c r="B738" s="168">
        <f t="shared" ref="B738:E738" si="371">SUBTOTAL(9,B739:B753)</f>
        <v>0</v>
      </c>
      <c r="C738" s="168">
        <f t="shared" si="371"/>
        <v>0</v>
      </c>
      <c r="D738" s="168">
        <f t="shared" si="371"/>
        <v>0</v>
      </c>
      <c r="E738" s="168" t="e">
        <f t="shared" ca="1" si="371"/>
        <v>#NAME?</v>
      </c>
      <c r="J738" s="13"/>
      <c r="Z738" s="15"/>
      <c r="AA738" s="15"/>
      <c r="AB738" s="15"/>
      <c r="AC738" s="15"/>
    </row>
    <row r="739" spans="1:29" ht="15" hidden="1" customHeight="1" outlineLevel="1" x14ac:dyDescent="0.85">
      <c r="A739" s="165" t="s">
        <v>110</v>
      </c>
      <c r="B739" s="102"/>
      <c r="C739" s="102"/>
      <c r="D739" s="102">
        <f t="shared" ref="D739:D753" si="372">C739-B739</f>
        <v>0</v>
      </c>
      <c r="E739" s="102" t="e">
        <f ca="1">SUMIFS('Digital Product Summary by COA'!$S$54:$S$325,'Digital Product Summary by COA'!$T$54:$T$325,$A$707,'Digital Product Summary by COA'!$C$54:$C$325,$A739)</f>
        <v>#NAME?</v>
      </c>
      <c r="J739" s="13"/>
      <c r="Z739" s="15"/>
      <c r="AA739" s="15"/>
      <c r="AB739" s="15"/>
      <c r="AC739" s="15"/>
    </row>
    <row r="740" spans="1:29" ht="15" hidden="1" customHeight="1" outlineLevel="1" x14ac:dyDescent="0.85">
      <c r="A740" s="165" t="s">
        <v>111</v>
      </c>
      <c r="B740" s="102"/>
      <c r="C740" s="102"/>
      <c r="D740" s="102">
        <f t="shared" si="372"/>
        <v>0</v>
      </c>
      <c r="E740" s="102">
        <f ca="1">SUMIFS('Digital Product Summary by COA'!$S$54:$S$325,'Digital Product Summary by COA'!$T$54:$T$325,$A$707,'Digital Product Summary by COA'!$C$54:$C$325,$A740)</f>
        <v>0</v>
      </c>
      <c r="J740" s="13"/>
      <c r="Z740" s="15"/>
      <c r="AA740" s="15"/>
      <c r="AB740" s="15"/>
      <c r="AC740" s="15"/>
    </row>
    <row r="741" spans="1:29" ht="15" hidden="1" customHeight="1" outlineLevel="1" x14ac:dyDescent="0.85">
      <c r="A741" s="165" t="s">
        <v>112</v>
      </c>
      <c r="B741" s="102"/>
      <c r="C741" s="102"/>
      <c r="D741" s="102">
        <f t="shared" si="372"/>
        <v>0</v>
      </c>
      <c r="E741" s="102">
        <f ca="1">SUMIFS('Digital Product Summary by COA'!$S$54:$S$325,'Digital Product Summary by COA'!$T$54:$T$325,$A$707,'Digital Product Summary by COA'!$C$54:$C$325,$A741)</f>
        <v>0</v>
      </c>
      <c r="J741" s="13"/>
      <c r="Z741" s="15"/>
      <c r="AA741" s="15"/>
      <c r="AB741" s="15"/>
      <c r="AC741" s="15"/>
    </row>
    <row r="742" spans="1:29" ht="15" hidden="1" customHeight="1" outlineLevel="1" x14ac:dyDescent="0.85">
      <c r="A742" s="165" t="s">
        <v>113</v>
      </c>
      <c r="B742" s="102"/>
      <c r="C742" s="102"/>
      <c r="D742" s="102">
        <f t="shared" si="372"/>
        <v>0</v>
      </c>
      <c r="E742" s="102" t="e">
        <f ca="1">SUMIFS('Digital Product Summary by COA'!$S$54:$S$325,'Digital Product Summary by COA'!$T$54:$T$325,$A$707,'Digital Product Summary by COA'!$C$54:$C$325,$A742)</f>
        <v>#NAME?</v>
      </c>
      <c r="J742" s="13"/>
      <c r="Z742" s="15"/>
      <c r="AA742" s="15"/>
      <c r="AB742" s="15"/>
      <c r="AC742" s="15"/>
    </row>
    <row r="743" spans="1:29" ht="15" hidden="1" customHeight="1" outlineLevel="1" x14ac:dyDescent="0.85">
      <c r="A743" s="165" t="s">
        <v>114</v>
      </c>
      <c r="B743" s="102"/>
      <c r="C743" s="102"/>
      <c r="D743" s="102">
        <f t="shared" si="372"/>
        <v>0</v>
      </c>
      <c r="E743" s="102" t="e">
        <f ca="1">SUMIFS('Digital Product Summary by COA'!$S$54:$S$325,'Digital Product Summary by COA'!$T$54:$T$325,$A$707,'Digital Product Summary by COA'!$C$54:$C$325,$A743)</f>
        <v>#NAME?</v>
      </c>
      <c r="J743" s="13"/>
      <c r="Z743" s="15"/>
      <c r="AA743" s="15"/>
      <c r="AB743" s="15"/>
      <c r="AC743" s="15"/>
    </row>
    <row r="744" spans="1:29" ht="15" hidden="1" customHeight="1" outlineLevel="1" x14ac:dyDescent="0.85">
      <c r="A744" s="165" t="s">
        <v>115</v>
      </c>
      <c r="B744" s="102"/>
      <c r="C744" s="102"/>
      <c r="D744" s="102">
        <f t="shared" si="372"/>
        <v>0</v>
      </c>
      <c r="E744" s="102">
        <f ca="1">SUMIFS('Digital Product Summary by COA'!$S$54:$S$325,'Digital Product Summary by COA'!$T$54:$T$325,$A$707,'Digital Product Summary by COA'!$C$54:$C$325,$A744)</f>
        <v>0</v>
      </c>
      <c r="J744" s="13"/>
      <c r="Z744" s="15"/>
      <c r="AA744" s="15"/>
      <c r="AB744" s="15"/>
      <c r="AC744" s="15"/>
    </row>
    <row r="745" spans="1:29" ht="15" hidden="1" customHeight="1" outlineLevel="1" x14ac:dyDescent="0.85">
      <c r="A745" s="165" t="s">
        <v>117</v>
      </c>
      <c r="B745" s="102"/>
      <c r="C745" s="102"/>
      <c r="D745" s="102">
        <f t="shared" si="372"/>
        <v>0</v>
      </c>
      <c r="E745" s="102">
        <f ca="1">SUMIFS('Digital Product Summary by COA'!$S$54:$S$325,'Digital Product Summary by COA'!$T$54:$T$325,$A$707,'Digital Product Summary by COA'!$C$54:$C$325,$A745)</f>
        <v>0</v>
      </c>
      <c r="J745" s="13"/>
      <c r="Z745" s="15"/>
      <c r="AA745" s="15"/>
      <c r="AB745" s="15"/>
      <c r="AC745" s="15"/>
    </row>
    <row r="746" spans="1:29" ht="15" hidden="1" customHeight="1" outlineLevel="1" x14ac:dyDescent="0.85">
      <c r="A746" s="165" t="s">
        <v>118</v>
      </c>
      <c r="B746" s="102"/>
      <c r="C746" s="102"/>
      <c r="D746" s="102">
        <f t="shared" si="372"/>
        <v>0</v>
      </c>
      <c r="E746" s="102">
        <f ca="1">SUMIFS('Digital Product Summary by COA'!$S$54:$S$325,'Digital Product Summary by COA'!$T$54:$T$325,$A$707,'Digital Product Summary by COA'!$C$54:$C$325,$A746)</f>
        <v>0</v>
      </c>
      <c r="J746" s="13"/>
      <c r="Z746" s="15"/>
      <c r="AA746" s="15"/>
      <c r="AB746" s="15"/>
      <c r="AC746" s="15"/>
    </row>
    <row r="747" spans="1:29" ht="15" hidden="1" customHeight="1" outlineLevel="1" x14ac:dyDescent="0.85">
      <c r="A747" s="165" t="s">
        <v>119</v>
      </c>
      <c r="B747" s="102"/>
      <c r="C747" s="102"/>
      <c r="D747" s="102">
        <f t="shared" si="372"/>
        <v>0</v>
      </c>
      <c r="E747" s="102">
        <f ca="1">SUMIFS('Digital Product Summary by COA'!$S$54:$S$325,'Digital Product Summary by COA'!$T$54:$T$325,$A$707,'Digital Product Summary by COA'!$C$54:$C$325,$A747)</f>
        <v>0</v>
      </c>
      <c r="J747" s="13"/>
      <c r="Z747" s="15"/>
      <c r="AA747" s="15"/>
      <c r="AB747" s="15"/>
      <c r="AC747" s="15"/>
    </row>
    <row r="748" spans="1:29" ht="15" hidden="1" customHeight="1" outlineLevel="1" x14ac:dyDescent="0.85">
      <c r="A748" s="165" t="s">
        <v>120</v>
      </c>
      <c r="B748" s="102"/>
      <c r="C748" s="102"/>
      <c r="D748" s="102">
        <f t="shared" si="372"/>
        <v>0</v>
      </c>
      <c r="E748" s="102">
        <f ca="1">SUMIFS('Digital Product Summary by COA'!$S$54:$S$325,'Digital Product Summary by COA'!$T$54:$T$325,$A$707,'Digital Product Summary by COA'!$C$54:$C$325,$A748)</f>
        <v>0</v>
      </c>
      <c r="J748" s="13"/>
      <c r="Z748" s="15"/>
      <c r="AA748" s="15"/>
      <c r="AB748" s="15"/>
      <c r="AC748" s="15"/>
    </row>
    <row r="749" spans="1:29" ht="15" hidden="1" customHeight="1" outlineLevel="1" x14ac:dyDescent="0.85">
      <c r="A749" s="165" t="s">
        <v>121</v>
      </c>
      <c r="B749" s="102"/>
      <c r="C749" s="102"/>
      <c r="D749" s="102">
        <f t="shared" si="372"/>
        <v>0</v>
      </c>
      <c r="E749" s="102">
        <f ca="1">SUMIFS('Digital Product Summary by COA'!$S$54:$S$325,'Digital Product Summary by COA'!$T$54:$T$325,$A$707,'Digital Product Summary by COA'!$C$54:$C$325,$A749)</f>
        <v>0</v>
      </c>
      <c r="J749" s="13"/>
      <c r="Z749" s="15"/>
      <c r="AA749" s="15"/>
      <c r="AB749" s="15"/>
      <c r="AC749" s="15"/>
    </row>
    <row r="750" spans="1:29" ht="15" hidden="1" customHeight="1" outlineLevel="1" x14ac:dyDescent="0.85">
      <c r="A750" s="165" t="s">
        <v>122</v>
      </c>
      <c r="B750" s="102"/>
      <c r="C750" s="102"/>
      <c r="D750" s="102">
        <f t="shared" si="372"/>
        <v>0</v>
      </c>
      <c r="E750" s="102">
        <f ca="1">SUMIFS('Digital Product Summary by COA'!$S$54:$S$325,'Digital Product Summary by COA'!$T$54:$T$325,$A$707,'Digital Product Summary by COA'!$C$54:$C$325,$A750)</f>
        <v>0</v>
      </c>
      <c r="J750" s="13"/>
      <c r="Z750" s="15"/>
      <c r="AA750" s="15"/>
      <c r="AB750" s="15"/>
      <c r="AC750" s="15"/>
    </row>
    <row r="751" spans="1:29" ht="15" hidden="1" customHeight="1" outlineLevel="1" x14ac:dyDescent="0.85">
      <c r="A751" s="165" t="s">
        <v>144</v>
      </c>
      <c r="B751" s="102"/>
      <c r="C751" s="102"/>
      <c r="D751" s="102">
        <f t="shared" si="372"/>
        <v>0</v>
      </c>
      <c r="E751" s="102">
        <f ca="1">SUMIFS('Digital Product Summary by COA'!$S$54:$S$325,'Digital Product Summary by COA'!$T$54:$T$325,$A$707,'Digital Product Summary by COA'!$C$54:$C$325,$A751)</f>
        <v>0</v>
      </c>
      <c r="J751" s="13"/>
      <c r="Z751" s="15"/>
      <c r="AA751" s="15"/>
      <c r="AB751" s="15"/>
      <c r="AC751" s="15"/>
    </row>
    <row r="752" spans="1:29" ht="15" hidden="1" customHeight="1" outlineLevel="1" x14ac:dyDescent="0.25">
      <c r="A752" s="129" t="s">
        <v>124</v>
      </c>
      <c r="B752" s="102"/>
      <c r="C752" s="102"/>
      <c r="D752" s="102">
        <f t="shared" si="372"/>
        <v>0</v>
      </c>
      <c r="E752" s="102">
        <f ca="1">SUMIFS('Digital Product Summary by COA'!$S$54:$S$325,'Digital Product Summary by COA'!$T$54:$T$325,$A$707,'Digital Product Summary by COA'!$C$54:$C$325,$A752)</f>
        <v>0</v>
      </c>
      <c r="J752" s="13"/>
      <c r="Z752" s="15"/>
      <c r="AA752" s="15"/>
      <c r="AB752" s="15"/>
      <c r="AC752" s="15"/>
    </row>
    <row r="753" spans="1:29" ht="15" hidden="1" customHeight="1" outlineLevel="1" x14ac:dyDescent="0.25">
      <c r="A753" s="129" t="s">
        <v>125</v>
      </c>
      <c r="B753" s="102"/>
      <c r="C753" s="102"/>
      <c r="D753" s="102">
        <f t="shared" si="372"/>
        <v>0</v>
      </c>
      <c r="E753" s="102">
        <f ca="1">SUMIFS('Digital Product Summary by COA'!$S$54:$S$325,'Digital Product Summary by COA'!$T$54:$T$325,$A$707,'Digital Product Summary by COA'!$C$54:$C$325,$A753)</f>
        <v>0</v>
      </c>
      <c r="J753" s="13"/>
      <c r="Z753" s="15"/>
      <c r="AA753" s="15"/>
      <c r="AB753" s="15"/>
      <c r="AC753" s="15"/>
    </row>
    <row r="754" spans="1:29" ht="15" customHeight="1" collapsed="1" x14ac:dyDescent="0.3">
      <c r="A754" s="166" t="s">
        <v>126</v>
      </c>
      <c r="B754" s="168">
        <f t="shared" ref="B754:E754" si="373">SUBTOTAL(9,B755:B757)</f>
        <v>0</v>
      </c>
      <c r="C754" s="168">
        <f t="shared" si="373"/>
        <v>0</v>
      </c>
      <c r="D754" s="168">
        <f t="shared" si="373"/>
        <v>0</v>
      </c>
      <c r="E754" s="168" t="e">
        <f t="shared" ca="1" si="373"/>
        <v>#NAME?</v>
      </c>
      <c r="J754" s="13"/>
      <c r="Z754" s="15"/>
      <c r="AA754" s="15"/>
      <c r="AB754" s="15"/>
      <c r="AC754" s="15"/>
    </row>
    <row r="755" spans="1:29" ht="15" hidden="1" customHeight="1" outlineLevel="1" x14ac:dyDescent="0.25">
      <c r="A755" s="129" t="s">
        <v>128</v>
      </c>
      <c r="B755" s="225"/>
      <c r="C755" s="102"/>
      <c r="D755" s="102">
        <f t="shared" ref="D755:D757" si="374">C755-B755</f>
        <v>0</v>
      </c>
      <c r="E755" s="102">
        <f ca="1">SUMIFS('Digital Product Summary by COA'!$S$54:$S$325,'Digital Product Summary by COA'!$T$54:$T$325,$A$707,'Digital Product Summary by COA'!$C$54:$C$325,$A755)</f>
        <v>0</v>
      </c>
      <c r="J755" s="13"/>
      <c r="Z755" s="15"/>
      <c r="AA755" s="15"/>
      <c r="AB755" s="15"/>
      <c r="AC755" s="15"/>
    </row>
    <row r="756" spans="1:29" ht="15" hidden="1" customHeight="1" outlineLevel="1" x14ac:dyDescent="0.25">
      <c r="A756" s="129" t="s">
        <v>129</v>
      </c>
      <c r="B756" s="225"/>
      <c r="C756" s="102"/>
      <c r="D756" s="102">
        <f t="shared" si="374"/>
        <v>0</v>
      </c>
      <c r="E756" s="102">
        <f ca="1">SUMIFS('Digital Product Summary by COA'!$S$54:$S$325,'Digital Product Summary by COA'!$T$54:$T$325,$A$707,'Digital Product Summary by COA'!$C$54:$C$325,$A756)</f>
        <v>0</v>
      </c>
      <c r="J756" s="13"/>
      <c r="Z756" s="15"/>
      <c r="AA756" s="15"/>
      <c r="AB756" s="15"/>
      <c r="AC756" s="15"/>
    </row>
    <row r="757" spans="1:29" ht="15" hidden="1" customHeight="1" outlineLevel="1" x14ac:dyDescent="0.25">
      <c r="A757" s="129" t="s">
        <v>134</v>
      </c>
      <c r="B757" s="225"/>
      <c r="C757" s="102"/>
      <c r="D757" s="102">
        <f t="shared" si="374"/>
        <v>0</v>
      </c>
      <c r="E757" s="102" t="e">
        <f ca="1">SUMIFS('Digital Product Summary by COA'!$S$54:$S$325,'Digital Product Summary by COA'!$T$54:$T$325,$A$707,'Digital Product Summary by COA'!$C$54:$C$325,$A757)</f>
        <v>#NAME?</v>
      </c>
      <c r="J757" s="13"/>
      <c r="Z757" s="15"/>
      <c r="AA757" s="15"/>
      <c r="AB757" s="15"/>
      <c r="AC757" s="15"/>
    </row>
    <row r="758" spans="1:29" ht="15" customHeight="1" collapsed="1" x14ac:dyDescent="0.3">
      <c r="A758" s="166" t="s">
        <v>135</v>
      </c>
      <c r="B758" s="168">
        <f t="shared" ref="B758:E758" si="375">SUBTOTAL(9,B759)</f>
        <v>0</v>
      </c>
      <c r="C758" s="168">
        <f t="shared" si="375"/>
        <v>0</v>
      </c>
      <c r="D758" s="168">
        <f t="shared" si="375"/>
        <v>0</v>
      </c>
      <c r="E758" s="168" t="e">
        <f t="shared" ca="1" si="375"/>
        <v>#NAME?</v>
      </c>
      <c r="J758" s="13"/>
      <c r="Z758" s="15"/>
      <c r="AA758" s="15"/>
      <c r="AB758" s="15"/>
      <c r="AC758" s="15"/>
    </row>
    <row r="759" spans="1:29" ht="15" hidden="1" customHeight="1" outlineLevel="1" x14ac:dyDescent="0.25">
      <c r="A759" s="129" t="s">
        <v>138</v>
      </c>
      <c r="B759" s="225"/>
      <c r="C759" s="102"/>
      <c r="D759" s="102">
        <f>C759-B759</f>
        <v>0</v>
      </c>
      <c r="E759" s="102" t="e">
        <f ca="1">SUMIFS('Digital Product Summary by COA'!$S$54:$S$325,'Digital Product Summary by COA'!$T$54:$T$325,$A$707,'Digital Product Summary by COA'!$C$54:$C$325,$A759)</f>
        <v>#NAME?</v>
      </c>
      <c r="J759" s="13"/>
      <c r="Z759" s="15"/>
      <c r="AA759" s="15"/>
      <c r="AB759" s="15"/>
      <c r="AC759" s="15"/>
    </row>
    <row r="760" spans="1:29" ht="15" customHeight="1" x14ac:dyDescent="0.3">
      <c r="A760" s="134"/>
      <c r="B760" s="173">
        <f t="shared" ref="B760:E760" si="376">SUBTOTAL(9,B709:B759)</f>
        <v>0</v>
      </c>
      <c r="C760" s="173">
        <f t="shared" si="376"/>
        <v>0</v>
      </c>
      <c r="D760" s="173">
        <f t="shared" si="376"/>
        <v>0</v>
      </c>
      <c r="E760" s="174" t="e">
        <f t="shared" ca="1" si="376"/>
        <v>#NAME?</v>
      </c>
      <c r="J760" s="13"/>
      <c r="Z760" s="15"/>
      <c r="AA760" s="15"/>
      <c r="AB760" s="15"/>
      <c r="AC760" s="15"/>
    </row>
    <row r="761" spans="1:29" ht="15" customHeight="1" x14ac:dyDescent="0.3">
      <c r="B761" s="261"/>
      <c r="C761" s="261"/>
      <c r="D761" s="261"/>
      <c r="E761" s="261"/>
      <c r="J761" s="13"/>
      <c r="Z761" s="15"/>
      <c r="AA761" s="15"/>
      <c r="AB761" s="15"/>
      <c r="AC761" s="15"/>
    </row>
    <row r="762" spans="1:29" ht="15" customHeight="1" x14ac:dyDescent="0.3">
      <c r="B762" s="261"/>
      <c r="C762" s="261"/>
      <c r="D762" s="261"/>
      <c r="E762" s="261"/>
      <c r="J762" s="13"/>
      <c r="Z762" s="15"/>
      <c r="AA762" s="15"/>
      <c r="AB762" s="15"/>
      <c r="AC762" s="15"/>
    </row>
    <row r="763" spans="1:29" ht="15" customHeight="1" x14ac:dyDescent="0.3">
      <c r="B763" s="261"/>
      <c r="C763" s="261"/>
      <c r="D763" s="261"/>
      <c r="E763" s="261"/>
      <c r="J763" s="13"/>
      <c r="Z763" s="15"/>
      <c r="AA763" s="15"/>
      <c r="AB763" s="15"/>
      <c r="AC763" s="15"/>
    </row>
    <row r="764" spans="1:29" ht="15" customHeight="1" x14ac:dyDescent="0.3">
      <c r="B764" s="270">
        <f t="shared" ref="B764:E764" si="377">B75</f>
        <v>1962223</v>
      </c>
      <c r="C764" s="270">
        <f t="shared" si="377"/>
        <v>1693173.1877083804</v>
      </c>
      <c r="D764" s="270">
        <f t="shared" si="377"/>
        <v>-0.13711479902723575</v>
      </c>
      <c r="E764" s="270">
        <f t="shared" ca="1" si="377"/>
        <v>2182266.500256462</v>
      </c>
      <c r="J764" s="13"/>
      <c r="Z764" s="15"/>
      <c r="AA764" s="15"/>
      <c r="AB764" s="15"/>
      <c r="AC764" s="15"/>
    </row>
    <row r="765" spans="1:29" ht="15" customHeight="1" x14ac:dyDescent="0.3">
      <c r="B765" s="270">
        <f t="shared" ref="B765:E765" si="378">B133+B190+B247+B304+B361+B418+B475+B532+B589+B646+B703+B760</f>
        <v>1962223</v>
      </c>
      <c r="C765" s="270">
        <f t="shared" si="378"/>
        <v>1693173.1877083799</v>
      </c>
      <c r="D765" s="270">
        <f t="shared" si="378"/>
        <v>-269049.81229162007</v>
      </c>
      <c r="E765" s="270" t="e">
        <f t="shared" ca="1" si="378"/>
        <v>#NAME?</v>
      </c>
      <c r="J765" s="13"/>
      <c r="Z765" s="15"/>
      <c r="AA765" s="15"/>
      <c r="AB765" s="15"/>
      <c r="AC765" s="15"/>
    </row>
    <row r="766" spans="1:29" ht="15" customHeight="1" x14ac:dyDescent="0.3">
      <c r="A766" s="271" t="s">
        <v>102</v>
      </c>
      <c r="B766" s="272">
        <f t="shared" ref="B766:E766" si="379">B764-B765</f>
        <v>0</v>
      </c>
      <c r="C766" s="272">
        <f t="shared" si="379"/>
        <v>0</v>
      </c>
      <c r="D766" s="272">
        <f t="shared" si="379"/>
        <v>269049.67517682107</v>
      </c>
      <c r="E766" s="272" t="e">
        <f t="shared" ca="1" si="379"/>
        <v>#NAME?</v>
      </c>
      <c r="J766" s="13"/>
      <c r="Z766" s="15"/>
      <c r="AA766" s="15"/>
      <c r="AB766" s="15"/>
      <c r="AC766" s="15"/>
    </row>
    <row r="767" spans="1:29" ht="15" customHeight="1" x14ac:dyDescent="0.25">
      <c r="B767" s="145"/>
      <c r="C767" s="145"/>
      <c r="D767" s="145"/>
      <c r="E767" s="145"/>
      <c r="J767" s="13"/>
      <c r="Z767" s="15"/>
      <c r="AA767" s="15"/>
      <c r="AB767" s="15"/>
      <c r="AC767" s="15"/>
    </row>
    <row r="768" spans="1:29" ht="15" customHeight="1" x14ac:dyDescent="0.25">
      <c r="B768" s="145"/>
      <c r="C768" s="145"/>
      <c r="D768" s="145"/>
      <c r="E768" s="145"/>
      <c r="J768" s="13"/>
      <c r="Z768" s="15"/>
      <c r="AA768" s="15"/>
      <c r="AB768" s="15"/>
      <c r="AC768" s="15"/>
    </row>
    <row r="769" spans="2:29" ht="15" customHeight="1" x14ac:dyDescent="0.25">
      <c r="B769" s="145"/>
      <c r="C769" s="145"/>
      <c r="D769" s="145"/>
      <c r="E769" s="145"/>
      <c r="J769" s="13"/>
      <c r="Z769" s="15"/>
      <c r="AA769" s="15"/>
      <c r="AB769" s="15"/>
      <c r="AC769" s="15"/>
    </row>
    <row r="770" spans="2:29" ht="15.75" customHeight="1" x14ac:dyDescent="0.25">
      <c r="B770" s="145"/>
      <c r="C770" s="145"/>
      <c r="D770" s="145"/>
      <c r="E770" s="145"/>
      <c r="J770" s="13"/>
      <c r="Z770" s="15"/>
      <c r="AA770" s="15"/>
      <c r="AB770" s="15"/>
      <c r="AC770" s="15"/>
    </row>
    <row r="771" spans="2:29" ht="15.75" customHeight="1" x14ac:dyDescent="0.25">
      <c r="B771" s="145"/>
      <c r="C771" s="145"/>
      <c r="D771" s="145"/>
      <c r="E771" s="145"/>
      <c r="J771" s="13"/>
      <c r="Z771" s="15"/>
      <c r="AA771" s="15"/>
      <c r="AB771" s="15"/>
      <c r="AC771" s="15"/>
    </row>
    <row r="772" spans="2:29" ht="15.75" customHeight="1" x14ac:dyDescent="0.25">
      <c r="B772" s="145"/>
      <c r="C772" s="145"/>
      <c r="D772" s="145"/>
      <c r="E772" s="145"/>
      <c r="J772" s="13"/>
      <c r="Z772" s="15"/>
      <c r="AA772" s="15"/>
      <c r="AB772" s="15"/>
      <c r="AC772" s="15"/>
    </row>
    <row r="773" spans="2:29" ht="15.75" customHeight="1" x14ac:dyDescent="0.25">
      <c r="B773" s="145"/>
      <c r="C773" s="145"/>
      <c r="D773" s="145"/>
      <c r="E773" s="145"/>
      <c r="J773" s="13"/>
      <c r="Z773" s="15"/>
      <c r="AA773" s="15"/>
      <c r="AB773" s="15"/>
      <c r="AC773" s="15"/>
    </row>
    <row r="774" spans="2:29" ht="15.75" customHeight="1" x14ac:dyDescent="0.25">
      <c r="B774" s="145"/>
      <c r="C774" s="145"/>
      <c r="D774" s="145"/>
      <c r="E774" s="145"/>
      <c r="J774" s="13"/>
      <c r="Z774" s="15"/>
      <c r="AA774" s="15"/>
      <c r="AB774" s="15"/>
      <c r="AC774" s="15"/>
    </row>
    <row r="775" spans="2:29" ht="15.75" customHeight="1" x14ac:dyDescent="0.25">
      <c r="B775" s="145"/>
      <c r="C775" s="145"/>
      <c r="D775" s="145"/>
      <c r="E775" s="145"/>
      <c r="J775" s="13"/>
      <c r="Z775" s="15"/>
      <c r="AA775" s="15"/>
      <c r="AB775" s="15"/>
      <c r="AC775" s="15"/>
    </row>
    <row r="776" spans="2:29" ht="15.75" customHeight="1" x14ac:dyDescent="0.25">
      <c r="B776" s="145"/>
      <c r="C776" s="145"/>
      <c r="D776" s="145"/>
      <c r="E776" s="145"/>
      <c r="J776" s="13"/>
      <c r="Z776" s="15"/>
      <c r="AA776" s="15"/>
      <c r="AB776" s="15"/>
      <c r="AC776" s="15"/>
    </row>
    <row r="777" spans="2:29" ht="15.75" customHeight="1" x14ac:dyDescent="0.25">
      <c r="B777" s="145"/>
      <c r="C777" s="145"/>
      <c r="D777" s="145"/>
      <c r="E777" s="145"/>
      <c r="J777" s="13"/>
      <c r="Z777" s="15"/>
      <c r="AA777" s="15"/>
      <c r="AB777" s="15"/>
      <c r="AC777" s="15"/>
    </row>
    <row r="778" spans="2:29" ht="15.75" customHeight="1" x14ac:dyDescent="0.25">
      <c r="B778" s="145"/>
      <c r="C778" s="145"/>
      <c r="D778" s="145"/>
      <c r="E778" s="145"/>
      <c r="J778" s="13"/>
      <c r="Z778" s="15"/>
      <c r="AA778" s="15"/>
      <c r="AB778" s="15"/>
      <c r="AC778" s="15"/>
    </row>
    <row r="779" spans="2:29" ht="15.75" customHeight="1" x14ac:dyDescent="0.25">
      <c r="B779" s="145"/>
      <c r="C779" s="145"/>
      <c r="D779" s="145"/>
      <c r="E779" s="145"/>
      <c r="J779" s="13"/>
      <c r="Z779" s="15"/>
      <c r="AA779" s="15"/>
      <c r="AB779" s="15"/>
      <c r="AC779" s="15"/>
    </row>
    <row r="780" spans="2:29" ht="15.75" customHeight="1" x14ac:dyDescent="0.25">
      <c r="B780" s="145"/>
      <c r="C780" s="145"/>
      <c r="D780" s="145"/>
      <c r="E780" s="145"/>
      <c r="J780" s="13"/>
      <c r="Z780" s="15"/>
      <c r="AA780" s="15"/>
      <c r="AB780" s="15"/>
      <c r="AC780" s="15"/>
    </row>
  </sheetData>
  <mergeCells count="2">
    <mergeCell ref="B13:D13"/>
    <mergeCell ref="E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23"/>
  <sheetViews>
    <sheetView workbookViewId="0"/>
  </sheetViews>
  <sheetFormatPr defaultColWidth="12.6328125" defaultRowHeight="15" customHeight="1" x14ac:dyDescent="0.25"/>
  <cols>
    <col min="1" max="1" width="50.6328125" customWidth="1"/>
    <col min="2" max="3" width="5.08984375" customWidth="1"/>
    <col min="4" max="4" width="8" customWidth="1"/>
    <col min="5" max="5" width="29.36328125" customWidth="1"/>
    <col min="6" max="6" width="7.08984375" customWidth="1"/>
    <col min="7" max="7" width="10" customWidth="1"/>
  </cols>
  <sheetData>
    <row r="1" spans="1:8" ht="15" customHeight="1" x14ac:dyDescent="0.85">
      <c r="A1" s="1">
        <v>2025</v>
      </c>
      <c r="B1" s="1">
        <v>2025</v>
      </c>
      <c r="C1" s="1">
        <v>2025</v>
      </c>
      <c r="D1" s="4"/>
      <c r="E1" s="1" t="s">
        <v>1</v>
      </c>
      <c r="F1" s="1">
        <v>2026</v>
      </c>
      <c r="G1" s="1">
        <v>2026</v>
      </c>
    </row>
    <row r="2" spans="1:8" ht="15" customHeight="1" x14ac:dyDescent="0.85">
      <c r="A2" s="11"/>
      <c r="B2" s="1" t="s">
        <v>3</v>
      </c>
      <c r="C2" s="1" t="s">
        <v>5</v>
      </c>
      <c r="D2" s="4"/>
      <c r="E2" s="17" t="s">
        <v>6</v>
      </c>
      <c r="F2" s="1" t="s">
        <v>3</v>
      </c>
      <c r="G2" s="1" t="s">
        <v>5</v>
      </c>
    </row>
    <row r="3" spans="1:8" ht="15" customHeight="1" x14ac:dyDescent="0.85">
      <c r="A3" s="18" t="s">
        <v>7</v>
      </c>
      <c r="D3" s="16" t="s">
        <v>4</v>
      </c>
      <c r="E3" s="18" t="s">
        <v>7</v>
      </c>
    </row>
    <row r="4" spans="1:8" ht="15" customHeight="1" x14ac:dyDescent="0.85">
      <c r="A4" s="24"/>
      <c r="D4" s="26" t="s">
        <v>14</v>
      </c>
      <c r="E4" s="26" t="s">
        <v>16</v>
      </c>
      <c r="H4" s="24"/>
    </row>
    <row r="5" spans="1:8" ht="15" customHeight="1" x14ac:dyDescent="0.85">
      <c r="A5" s="29" t="s">
        <v>17</v>
      </c>
      <c r="B5" s="31">
        <v>23</v>
      </c>
      <c r="C5" s="31">
        <v>3</v>
      </c>
      <c r="D5" s="32" t="s">
        <v>14</v>
      </c>
      <c r="E5" s="34" t="s">
        <v>20</v>
      </c>
      <c r="F5" s="36">
        <v>23</v>
      </c>
      <c r="G5" s="31">
        <v>9</v>
      </c>
      <c r="H5" s="24"/>
    </row>
    <row r="6" spans="1:8" ht="15" customHeight="1" x14ac:dyDescent="0.85">
      <c r="A6" s="29" t="s">
        <v>21</v>
      </c>
      <c r="B6" s="31"/>
      <c r="C6" s="31"/>
      <c r="D6" s="32" t="s">
        <v>14</v>
      </c>
      <c r="E6" s="34" t="s">
        <v>16</v>
      </c>
      <c r="F6" s="31">
        <v>7</v>
      </c>
      <c r="G6" s="31">
        <v>10</v>
      </c>
      <c r="H6" s="24"/>
    </row>
    <row r="7" spans="1:8" ht="15" customHeight="1" x14ac:dyDescent="0.85">
      <c r="A7" s="29"/>
      <c r="B7" s="31">
        <v>1</v>
      </c>
      <c r="C7" s="31">
        <v>0</v>
      </c>
      <c r="D7" s="32" t="s">
        <v>14</v>
      </c>
      <c r="E7" s="43" t="s">
        <v>23</v>
      </c>
      <c r="F7" s="31">
        <v>1</v>
      </c>
      <c r="G7" s="31">
        <v>0</v>
      </c>
      <c r="H7" s="24"/>
    </row>
    <row r="8" spans="1:8" ht="15" customHeight="1" x14ac:dyDescent="0.85">
      <c r="A8" s="24"/>
      <c r="D8" s="44" t="s">
        <v>24</v>
      </c>
      <c r="E8" s="44" t="s">
        <v>16</v>
      </c>
      <c r="H8" s="24"/>
    </row>
    <row r="9" spans="1:8" ht="15" customHeight="1" x14ac:dyDescent="0.85">
      <c r="A9" s="46" t="s">
        <v>26</v>
      </c>
      <c r="B9" s="31">
        <v>2</v>
      </c>
      <c r="C9" s="31">
        <v>7</v>
      </c>
      <c r="D9" s="32" t="s">
        <v>24</v>
      </c>
      <c r="E9" s="34" t="s">
        <v>16</v>
      </c>
      <c r="F9" s="31">
        <f>2+6</f>
        <v>8</v>
      </c>
      <c r="G9" s="31">
        <f>7+5</f>
        <v>12</v>
      </c>
      <c r="H9" s="24"/>
    </row>
    <row r="10" spans="1:8" ht="15" customHeight="1" x14ac:dyDescent="0.85">
      <c r="A10" s="46" t="s">
        <v>29</v>
      </c>
      <c r="B10" s="31">
        <v>1</v>
      </c>
      <c r="C10" s="31">
        <v>0</v>
      </c>
      <c r="D10" s="32" t="s">
        <v>24</v>
      </c>
      <c r="E10" s="43" t="s">
        <v>23</v>
      </c>
      <c r="F10" s="36">
        <f>1+1</f>
        <v>2</v>
      </c>
      <c r="G10" s="31">
        <v>0</v>
      </c>
      <c r="H10" s="24"/>
    </row>
    <row r="11" spans="1:8" ht="15" customHeight="1" x14ac:dyDescent="0.85">
      <c r="A11" s="24"/>
      <c r="D11" s="44" t="s">
        <v>30</v>
      </c>
      <c r="E11" s="44" t="s">
        <v>16</v>
      </c>
      <c r="H11" s="24"/>
    </row>
    <row r="12" spans="1:8" ht="15" customHeight="1" x14ac:dyDescent="0.85">
      <c r="A12" s="46" t="s">
        <v>31</v>
      </c>
      <c r="B12" s="31">
        <v>6</v>
      </c>
      <c r="C12" s="31">
        <v>22</v>
      </c>
      <c r="D12" s="32" t="s">
        <v>30</v>
      </c>
      <c r="E12" s="34" t="s">
        <v>16</v>
      </c>
      <c r="F12" s="31">
        <f>6+5</f>
        <v>11</v>
      </c>
      <c r="G12" s="31">
        <f>22-4</f>
        <v>18</v>
      </c>
      <c r="H12" s="24"/>
    </row>
    <row r="13" spans="1:8" ht="15" customHeight="1" x14ac:dyDescent="0.85">
      <c r="A13" s="46" t="s">
        <v>36</v>
      </c>
      <c r="B13" s="31">
        <v>0</v>
      </c>
      <c r="C13" s="31">
        <v>0</v>
      </c>
      <c r="D13" s="32" t="s">
        <v>30</v>
      </c>
      <c r="E13" s="43" t="s">
        <v>23</v>
      </c>
      <c r="F13" s="31">
        <f>0+1</f>
        <v>1</v>
      </c>
      <c r="G13" s="31">
        <v>0</v>
      </c>
      <c r="H13" s="24"/>
    </row>
    <row r="14" spans="1:8" ht="15" customHeight="1" x14ac:dyDescent="0.85">
      <c r="A14" s="24"/>
      <c r="D14" s="44" t="s">
        <v>14</v>
      </c>
      <c r="E14" s="44" t="s">
        <v>34</v>
      </c>
      <c r="H14" s="24"/>
    </row>
    <row r="15" spans="1:8" ht="15" customHeight="1" x14ac:dyDescent="0.85">
      <c r="A15" s="29" t="s">
        <v>39</v>
      </c>
      <c r="B15" s="31">
        <v>14</v>
      </c>
      <c r="C15" s="31">
        <v>2</v>
      </c>
      <c r="D15" s="32" t="s">
        <v>14</v>
      </c>
      <c r="E15" s="34" t="s">
        <v>34</v>
      </c>
      <c r="F15" s="31">
        <v>5</v>
      </c>
      <c r="G15" s="36">
        <v>1</v>
      </c>
      <c r="H15" s="24"/>
    </row>
    <row r="16" spans="1:8" ht="15" customHeight="1" x14ac:dyDescent="0.85">
      <c r="A16" s="46"/>
      <c r="B16" s="31"/>
      <c r="C16" s="36"/>
      <c r="D16" s="32" t="s">
        <v>14</v>
      </c>
      <c r="E16" s="32" t="s">
        <v>41</v>
      </c>
      <c r="F16" s="31">
        <v>14</v>
      </c>
      <c r="G16" s="36">
        <v>1</v>
      </c>
      <c r="H16" s="24"/>
    </row>
    <row r="17" spans="1:9" ht="15" customHeight="1" x14ac:dyDescent="0.85">
      <c r="A17" s="24"/>
      <c r="D17" s="44" t="s">
        <v>42</v>
      </c>
      <c r="E17" s="44" t="s">
        <v>16</v>
      </c>
      <c r="H17" s="24"/>
    </row>
    <row r="18" spans="1:9" x14ac:dyDescent="0.3">
      <c r="A18" s="46"/>
      <c r="B18" s="31">
        <v>0</v>
      </c>
      <c r="C18" s="31">
        <v>0</v>
      </c>
      <c r="D18" s="64" t="s">
        <v>42</v>
      </c>
      <c r="E18" s="34" t="s">
        <v>16</v>
      </c>
      <c r="F18" s="36">
        <f>0+1</f>
        <v>1</v>
      </c>
      <c r="G18" s="31">
        <f>0+3</f>
        <v>3</v>
      </c>
    </row>
    <row r="19" spans="1:9" ht="15" customHeight="1" x14ac:dyDescent="0.85">
      <c r="A19" s="24"/>
      <c r="D19" s="68" t="s">
        <v>44</v>
      </c>
      <c r="E19" s="44" t="s">
        <v>16</v>
      </c>
    </row>
    <row r="20" spans="1:9" x14ac:dyDescent="0.3">
      <c r="A20" s="46"/>
      <c r="B20" s="31">
        <v>0</v>
      </c>
      <c r="C20" s="31">
        <v>0</v>
      </c>
      <c r="D20" s="64" t="s">
        <v>44</v>
      </c>
      <c r="E20" s="34" t="s">
        <v>16</v>
      </c>
      <c r="F20" s="31">
        <v>0</v>
      </c>
      <c r="G20" s="31">
        <v>0</v>
      </c>
    </row>
    <row r="21" spans="1:9" x14ac:dyDescent="0.3">
      <c r="A21" s="46" t="s">
        <v>45</v>
      </c>
      <c r="B21" s="31">
        <v>0</v>
      </c>
      <c r="C21" s="31">
        <v>1</v>
      </c>
      <c r="D21" s="64" t="s">
        <v>44</v>
      </c>
      <c r="E21" s="43" t="s">
        <v>23</v>
      </c>
      <c r="F21" s="31">
        <v>0</v>
      </c>
      <c r="G21" s="31">
        <v>0</v>
      </c>
    </row>
    <row r="22" spans="1:9" x14ac:dyDescent="0.3">
      <c r="A22" s="24"/>
      <c r="B22" s="30">
        <f t="shared" ref="B22:C22" si="0">SUM(B5:B21)</f>
        <v>47</v>
      </c>
      <c r="C22" s="30">
        <f t="shared" si="0"/>
        <v>35</v>
      </c>
      <c r="F22" s="30">
        <f t="shared" ref="F22:G22" si="1">SUM(F5:F21)</f>
        <v>73</v>
      </c>
      <c r="G22" s="30">
        <f t="shared" si="1"/>
        <v>54</v>
      </c>
    </row>
    <row r="23" spans="1:9" ht="15" customHeight="1" x14ac:dyDescent="0.25">
      <c r="A23" s="24"/>
      <c r="H23" s="69"/>
      <c r="I23" s="69"/>
    </row>
    <row r="24" spans="1:9" ht="15" customHeight="1" x14ac:dyDescent="0.25">
      <c r="A24" s="24"/>
      <c r="H24" s="69"/>
      <c r="I24" s="69"/>
    </row>
    <row r="25" spans="1:9" ht="13" x14ac:dyDescent="0.3">
      <c r="A25" s="24"/>
      <c r="H25" s="70" t="s">
        <v>47</v>
      </c>
      <c r="I25" s="70" t="s">
        <v>47</v>
      </c>
    </row>
    <row r="26" spans="1:9" ht="20" x14ac:dyDescent="0.85">
      <c r="A26" s="24"/>
      <c r="B26" s="1" t="s">
        <v>3</v>
      </c>
      <c r="C26" s="1" t="s">
        <v>5</v>
      </c>
      <c r="F26" s="1" t="s">
        <v>3</v>
      </c>
      <c r="G26" s="1" t="s">
        <v>5</v>
      </c>
      <c r="H26" s="1" t="s">
        <v>3</v>
      </c>
      <c r="I26" s="1" t="s">
        <v>5</v>
      </c>
    </row>
    <row r="27" spans="1:9" ht="12.5" x14ac:dyDescent="0.25">
      <c r="A27" s="24"/>
      <c r="B27" s="4">
        <f t="shared" ref="B27:C27" si="2">B5+B6+B7+B15</f>
        <v>38</v>
      </c>
      <c r="C27" s="4">
        <f t="shared" si="2"/>
        <v>5</v>
      </c>
      <c r="D27" s="4"/>
      <c r="E27" s="4" t="s">
        <v>14</v>
      </c>
      <c r="F27" s="4">
        <f t="shared" ref="F27:G27" si="3">F5+F6+F7+F15</f>
        <v>36</v>
      </c>
      <c r="G27" s="4">
        <f t="shared" si="3"/>
        <v>20</v>
      </c>
      <c r="H27" s="4">
        <f t="shared" ref="H27:I27" si="4">F27-B27</f>
        <v>-2</v>
      </c>
      <c r="I27" s="4">
        <f t="shared" si="4"/>
        <v>15</v>
      </c>
    </row>
    <row r="28" spans="1:9" ht="12.5" x14ac:dyDescent="0.25">
      <c r="A28" s="24"/>
      <c r="B28" s="4">
        <f t="shared" ref="B28:C28" si="5">B12+B13</f>
        <v>6</v>
      </c>
      <c r="C28" s="4">
        <f t="shared" si="5"/>
        <v>22</v>
      </c>
      <c r="D28" s="4"/>
      <c r="E28" s="4" t="s">
        <v>30</v>
      </c>
      <c r="F28" s="4">
        <f t="shared" ref="F28:G28" si="6">F12+F13</f>
        <v>12</v>
      </c>
      <c r="G28" s="4">
        <f t="shared" si="6"/>
        <v>18</v>
      </c>
      <c r="H28" s="4">
        <f t="shared" ref="H28:I28" si="7">F28-B28</f>
        <v>6</v>
      </c>
      <c r="I28" s="80">
        <f t="shared" si="7"/>
        <v>-4</v>
      </c>
    </row>
    <row r="29" spans="1:9" ht="12.5" x14ac:dyDescent="0.25">
      <c r="A29" s="24"/>
      <c r="B29" s="4">
        <f t="shared" ref="B29:C29" si="8">B9+B10</f>
        <v>3</v>
      </c>
      <c r="C29" s="4">
        <f t="shared" si="8"/>
        <v>7</v>
      </c>
      <c r="D29" s="4"/>
      <c r="E29" s="4" t="s">
        <v>24</v>
      </c>
      <c r="F29" s="4">
        <f t="shared" ref="F29:G29" si="9">F9+F10</f>
        <v>10</v>
      </c>
      <c r="G29" s="4">
        <f t="shared" si="9"/>
        <v>12</v>
      </c>
      <c r="H29" s="4">
        <f t="shared" ref="H29:I29" si="10">F29-B29</f>
        <v>7</v>
      </c>
      <c r="I29" s="4">
        <f t="shared" si="10"/>
        <v>5</v>
      </c>
    </row>
    <row r="30" spans="1:9" ht="12.5" x14ac:dyDescent="0.25">
      <c r="A30" s="24"/>
      <c r="B30" s="4">
        <f t="shared" ref="B30:C30" si="11">B18</f>
        <v>0</v>
      </c>
      <c r="C30" s="4">
        <f t="shared" si="11"/>
        <v>0</v>
      </c>
      <c r="D30" s="4"/>
      <c r="E30" s="4" t="s">
        <v>42</v>
      </c>
      <c r="F30" s="4">
        <f t="shared" ref="F30:G30" si="12">F18</f>
        <v>1</v>
      </c>
      <c r="G30" s="4">
        <f t="shared" si="12"/>
        <v>3</v>
      </c>
      <c r="H30" s="4">
        <f t="shared" ref="H30:I30" si="13">F30-B30</f>
        <v>1</v>
      </c>
      <c r="I30" s="4">
        <f t="shared" si="13"/>
        <v>3</v>
      </c>
    </row>
    <row r="31" spans="1:9" ht="12.5" x14ac:dyDescent="0.25">
      <c r="A31" s="24"/>
      <c r="B31" s="4">
        <f t="shared" ref="B31:C31" si="14">B21</f>
        <v>0</v>
      </c>
      <c r="C31" s="4">
        <f t="shared" si="14"/>
        <v>1</v>
      </c>
      <c r="D31" s="4"/>
      <c r="E31" s="4" t="s">
        <v>44</v>
      </c>
      <c r="F31" s="4">
        <f t="shared" ref="F31:G31" si="15">F21</f>
        <v>0</v>
      </c>
      <c r="G31" s="4">
        <f t="shared" si="15"/>
        <v>0</v>
      </c>
      <c r="H31" s="4">
        <f t="shared" ref="H31:I31" si="16">F31-B31</f>
        <v>0</v>
      </c>
      <c r="I31" s="4">
        <f t="shared" si="16"/>
        <v>-1</v>
      </c>
    </row>
    <row r="32" spans="1:9" ht="13" x14ac:dyDescent="0.3">
      <c r="A32" s="24"/>
      <c r="B32" s="87">
        <f t="shared" ref="B32:C32" si="17">SUM(B27:B31)</f>
        <v>47</v>
      </c>
      <c r="C32" s="87">
        <f t="shared" si="17"/>
        <v>35</v>
      </c>
      <c r="D32" s="4"/>
      <c r="E32" s="4"/>
      <c r="F32" s="87">
        <f t="shared" ref="F32:G32" si="18">SUM(F27:F31)</f>
        <v>59</v>
      </c>
      <c r="G32" s="87">
        <f t="shared" si="18"/>
        <v>53</v>
      </c>
      <c r="H32" s="87">
        <f t="shared" ref="H32:I32" si="19">F32-B32</f>
        <v>12</v>
      </c>
      <c r="I32" s="87">
        <f t="shared" si="19"/>
        <v>18</v>
      </c>
    </row>
    <row r="33" spans="1:3" ht="12.5" x14ac:dyDescent="0.25">
      <c r="A33" s="24"/>
      <c r="B33" s="69"/>
      <c r="C33" s="69"/>
    </row>
    <row r="34" spans="1:3" ht="12.5" x14ac:dyDescent="0.25">
      <c r="A34" s="24"/>
      <c r="B34" s="69"/>
      <c r="C34" s="69"/>
    </row>
    <row r="35" spans="1:3" ht="20" x14ac:dyDescent="0.85">
      <c r="A35" s="24"/>
      <c r="B35" s="1" t="s">
        <v>3</v>
      </c>
      <c r="C35" s="1" t="s">
        <v>5</v>
      </c>
    </row>
    <row r="36" spans="1:3" ht="12.5" x14ac:dyDescent="0.25">
      <c r="A36" s="24"/>
      <c r="B36" s="69"/>
      <c r="C36" s="69"/>
    </row>
    <row r="37" spans="1:3" ht="12.5" x14ac:dyDescent="0.25">
      <c r="A37" s="24"/>
      <c r="B37" s="69"/>
      <c r="C37" s="69"/>
    </row>
    <row r="38" spans="1:3" ht="12.5" x14ac:dyDescent="0.25">
      <c r="A38" s="24"/>
      <c r="B38" s="69"/>
      <c r="C38" s="69"/>
    </row>
    <row r="39" spans="1:3" ht="12.5" x14ac:dyDescent="0.25">
      <c r="A39" s="24"/>
      <c r="B39" s="69"/>
      <c r="C39" s="69"/>
    </row>
    <row r="40" spans="1:3" ht="12.5" x14ac:dyDescent="0.25">
      <c r="A40" s="24"/>
      <c r="B40" s="69"/>
      <c r="C40" s="69"/>
    </row>
    <row r="41" spans="1:3" ht="12.5" x14ac:dyDescent="0.25">
      <c r="A41" s="24"/>
      <c r="B41" s="69"/>
      <c r="C41" s="69"/>
    </row>
    <row r="42" spans="1:3" ht="12.5" x14ac:dyDescent="0.25">
      <c r="A42" s="24"/>
      <c r="B42" s="69"/>
      <c r="C42" s="69"/>
    </row>
    <row r="43" spans="1:3" ht="12.5" x14ac:dyDescent="0.25">
      <c r="A43" s="24"/>
      <c r="B43" s="69"/>
      <c r="C43" s="69"/>
    </row>
    <row r="44" spans="1:3" ht="12.5" x14ac:dyDescent="0.25">
      <c r="A44" s="24" t="s">
        <v>14</v>
      </c>
      <c r="B44" s="69" t="s">
        <v>3</v>
      </c>
      <c r="C44" s="69" t="s">
        <v>5</v>
      </c>
    </row>
    <row r="45" spans="1:3" ht="12.5" x14ac:dyDescent="0.25">
      <c r="A45" s="24" t="s">
        <v>57</v>
      </c>
      <c r="B45" s="69">
        <v>15</v>
      </c>
      <c r="C45" s="69">
        <v>1</v>
      </c>
    </row>
    <row r="46" spans="1:3" ht="12.5" x14ac:dyDescent="0.25">
      <c r="A46" s="24" t="s">
        <v>58</v>
      </c>
      <c r="B46" s="69">
        <v>1</v>
      </c>
      <c r="C46" s="69">
        <v>0</v>
      </c>
    </row>
    <row r="47" spans="1:3" ht="12.5" x14ac:dyDescent="0.25">
      <c r="A47" s="24" t="s">
        <v>59</v>
      </c>
      <c r="B47" s="69">
        <v>24</v>
      </c>
      <c r="C47" s="69">
        <v>22</v>
      </c>
    </row>
    <row r="48" spans="1:3" ht="12.5" x14ac:dyDescent="0.25">
      <c r="A48" s="24"/>
    </row>
    <row r="49" spans="1:3" ht="12.5" x14ac:dyDescent="0.25">
      <c r="A49" s="24" t="s">
        <v>60</v>
      </c>
    </row>
    <row r="50" spans="1:3" ht="12.5" x14ac:dyDescent="0.25">
      <c r="A50" s="24" t="s">
        <v>61</v>
      </c>
      <c r="B50" s="69">
        <v>0</v>
      </c>
      <c r="C50" s="69">
        <v>9</v>
      </c>
    </row>
    <row r="51" spans="1:3" ht="12.5" x14ac:dyDescent="0.25">
      <c r="A51" s="24" t="s">
        <v>62</v>
      </c>
      <c r="B51" s="69">
        <v>0</v>
      </c>
      <c r="C51" s="69">
        <v>0</v>
      </c>
    </row>
    <row r="52" spans="1:3" ht="12.5" x14ac:dyDescent="0.25">
      <c r="A52" s="24" t="s">
        <v>63</v>
      </c>
      <c r="B52" s="69">
        <v>1</v>
      </c>
      <c r="C52" s="69">
        <v>0</v>
      </c>
    </row>
    <row r="53" spans="1:3" ht="12.5" x14ac:dyDescent="0.25">
      <c r="A53" s="24"/>
    </row>
    <row r="54" spans="1:3" ht="12.5" x14ac:dyDescent="0.25">
      <c r="A54" s="24" t="s">
        <v>64</v>
      </c>
    </row>
    <row r="55" spans="1:3" ht="12.5" x14ac:dyDescent="0.25">
      <c r="A55" s="24" t="s">
        <v>65</v>
      </c>
      <c r="B55" s="69">
        <v>1</v>
      </c>
      <c r="C55" s="69">
        <v>0</v>
      </c>
    </row>
    <row r="56" spans="1:3" ht="12.5" x14ac:dyDescent="0.25">
      <c r="A56" s="24" t="s">
        <v>66</v>
      </c>
      <c r="B56" s="69">
        <v>4</v>
      </c>
      <c r="C56" s="69">
        <v>22</v>
      </c>
    </row>
    <row r="57" spans="1:3" ht="12.5" x14ac:dyDescent="0.25">
      <c r="A57" s="24" t="s">
        <v>67</v>
      </c>
      <c r="B57" s="69">
        <v>1</v>
      </c>
      <c r="C57" s="69">
        <v>0</v>
      </c>
    </row>
    <row r="58" spans="1:3" ht="12.5" x14ac:dyDescent="0.25">
      <c r="A58" s="24"/>
    </row>
    <row r="59" spans="1:3" ht="12.5" x14ac:dyDescent="0.25">
      <c r="A59" s="24" t="s">
        <v>44</v>
      </c>
    </row>
    <row r="60" spans="1:3" ht="12.5" x14ac:dyDescent="0.25">
      <c r="A60" s="24" t="s">
        <v>68</v>
      </c>
      <c r="B60" s="69">
        <v>0</v>
      </c>
      <c r="C60" s="69">
        <v>1</v>
      </c>
    </row>
    <row r="61" spans="1:3" ht="12.5" x14ac:dyDescent="0.25">
      <c r="A61" s="24"/>
    </row>
    <row r="62" spans="1:3" ht="12.5" x14ac:dyDescent="0.25">
      <c r="A62" s="24"/>
    </row>
    <row r="63" spans="1:3" ht="12.5" x14ac:dyDescent="0.25">
      <c r="A63" s="24"/>
    </row>
    <row r="64" spans="1:3" ht="12.5" x14ac:dyDescent="0.25">
      <c r="A64" s="24"/>
    </row>
    <row r="65" spans="1:1" ht="12.5" x14ac:dyDescent="0.25">
      <c r="A65" s="24"/>
    </row>
    <row r="66" spans="1:1" ht="12.5" x14ac:dyDescent="0.25">
      <c r="A66" s="24"/>
    </row>
    <row r="67" spans="1:1" ht="12.5" x14ac:dyDescent="0.25">
      <c r="A67" s="24"/>
    </row>
    <row r="68" spans="1:1" ht="12.5" x14ac:dyDescent="0.25">
      <c r="A68" s="24"/>
    </row>
    <row r="69" spans="1:1" ht="12.5" x14ac:dyDescent="0.25">
      <c r="A69" s="24"/>
    </row>
    <row r="70" spans="1:1" ht="12.5" x14ac:dyDescent="0.25">
      <c r="A70" s="24"/>
    </row>
    <row r="71" spans="1:1" ht="12.5" x14ac:dyDescent="0.25">
      <c r="A71" s="24"/>
    </row>
    <row r="72" spans="1:1" ht="12.5" x14ac:dyDescent="0.25">
      <c r="A72" s="24"/>
    </row>
    <row r="73" spans="1:1" ht="12.5" x14ac:dyDescent="0.25">
      <c r="A73" s="24"/>
    </row>
    <row r="74" spans="1:1" ht="12.5" x14ac:dyDescent="0.25">
      <c r="A74" s="24"/>
    </row>
    <row r="75" spans="1:1" ht="12.5" x14ac:dyDescent="0.25">
      <c r="A75" s="24"/>
    </row>
    <row r="76" spans="1:1" ht="12.5" x14ac:dyDescent="0.25">
      <c r="A76" s="24"/>
    </row>
    <row r="77" spans="1:1" ht="12.5" x14ac:dyDescent="0.25">
      <c r="A77" s="24"/>
    </row>
    <row r="78" spans="1:1" ht="12.5" x14ac:dyDescent="0.25">
      <c r="A78" s="24"/>
    </row>
    <row r="79" spans="1:1" ht="12.5" x14ac:dyDescent="0.25">
      <c r="A79" s="24"/>
    </row>
    <row r="80" spans="1:1" ht="12.5" x14ac:dyDescent="0.25">
      <c r="A80" s="24"/>
    </row>
    <row r="81" spans="1:1" ht="12.5" x14ac:dyDescent="0.25">
      <c r="A81" s="24"/>
    </row>
    <row r="82" spans="1:1" ht="12.5" x14ac:dyDescent="0.25">
      <c r="A82" s="24"/>
    </row>
    <row r="83" spans="1:1" ht="12.5" x14ac:dyDescent="0.25">
      <c r="A83" s="24"/>
    </row>
    <row r="84" spans="1:1" ht="12.5" x14ac:dyDescent="0.25">
      <c r="A84" s="24"/>
    </row>
    <row r="85" spans="1:1" ht="12.5" x14ac:dyDescent="0.25">
      <c r="A85" s="24"/>
    </row>
    <row r="86" spans="1:1" ht="12.5" x14ac:dyDescent="0.25">
      <c r="A86" s="24"/>
    </row>
    <row r="87" spans="1:1" ht="12.5" x14ac:dyDescent="0.25">
      <c r="A87" s="24"/>
    </row>
    <row r="88" spans="1:1" ht="12.5" x14ac:dyDescent="0.25">
      <c r="A88" s="24"/>
    </row>
    <row r="89" spans="1:1" ht="12.5" x14ac:dyDescent="0.25">
      <c r="A89" s="24"/>
    </row>
    <row r="90" spans="1:1" ht="12.5" x14ac:dyDescent="0.25">
      <c r="A90" s="24"/>
    </row>
    <row r="91" spans="1:1" ht="12.5" x14ac:dyDescent="0.25">
      <c r="A91" s="24"/>
    </row>
    <row r="92" spans="1:1" ht="12.5" x14ac:dyDescent="0.25">
      <c r="A92" s="24"/>
    </row>
    <row r="93" spans="1:1" ht="12.5" x14ac:dyDescent="0.25">
      <c r="A93" s="24"/>
    </row>
    <row r="94" spans="1:1" ht="12.5" x14ac:dyDescent="0.25">
      <c r="A94" s="24"/>
    </row>
    <row r="95" spans="1:1" ht="12.5" x14ac:dyDescent="0.25">
      <c r="A95" s="24"/>
    </row>
    <row r="96" spans="1:1" ht="12.5" x14ac:dyDescent="0.25">
      <c r="A96" s="24"/>
    </row>
    <row r="97" spans="1:1" ht="12.5" x14ac:dyDescent="0.25">
      <c r="A97" s="24"/>
    </row>
    <row r="98" spans="1:1" ht="12.5" x14ac:dyDescent="0.25">
      <c r="A98" s="24"/>
    </row>
    <row r="99" spans="1:1" ht="12.5" x14ac:dyDescent="0.25">
      <c r="A99" s="24"/>
    </row>
    <row r="100" spans="1:1" ht="12.5" x14ac:dyDescent="0.25">
      <c r="A100" s="24"/>
    </row>
    <row r="101" spans="1:1" ht="12.5" x14ac:dyDescent="0.25">
      <c r="A101" s="24"/>
    </row>
    <row r="102" spans="1:1" ht="12.5" x14ac:dyDescent="0.25">
      <c r="A102" s="24"/>
    </row>
    <row r="103" spans="1:1" ht="12.5" x14ac:dyDescent="0.25">
      <c r="A103" s="24"/>
    </row>
    <row r="104" spans="1:1" ht="12.5" x14ac:dyDescent="0.25">
      <c r="A104" s="24"/>
    </row>
    <row r="105" spans="1:1" ht="12.5" x14ac:dyDescent="0.25">
      <c r="A105" s="24"/>
    </row>
    <row r="106" spans="1:1" ht="12.5" x14ac:dyDescent="0.25">
      <c r="A106" s="24"/>
    </row>
    <row r="107" spans="1:1" ht="12.5" x14ac:dyDescent="0.25">
      <c r="A107" s="24"/>
    </row>
    <row r="108" spans="1:1" ht="12.5" x14ac:dyDescent="0.25">
      <c r="A108" s="24"/>
    </row>
    <row r="109" spans="1:1" ht="12.5" x14ac:dyDescent="0.25">
      <c r="A109" s="24"/>
    </row>
    <row r="110" spans="1:1" ht="12.5" x14ac:dyDescent="0.25">
      <c r="A110" s="24"/>
    </row>
    <row r="111" spans="1:1" ht="12.5" x14ac:dyDescent="0.25">
      <c r="A111" s="24"/>
    </row>
    <row r="112" spans="1:1" ht="12.5" x14ac:dyDescent="0.25">
      <c r="A112" s="24"/>
    </row>
    <row r="113" spans="1:1" ht="12.5" x14ac:dyDescent="0.25">
      <c r="A113" s="24"/>
    </row>
    <row r="114" spans="1:1" ht="12.5" x14ac:dyDescent="0.25">
      <c r="A114" s="24"/>
    </row>
    <row r="115" spans="1:1" ht="12.5" x14ac:dyDescent="0.25">
      <c r="A115" s="24"/>
    </row>
    <row r="116" spans="1:1" ht="12.5" x14ac:dyDescent="0.25">
      <c r="A116" s="24"/>
    </row>
    <row r="117" spans="1:1" ht="12.5" x14ac:dyDescent="0.25">
      <c r="A117" s="24"/>
    </row>
    <row r="118" spans="1:1" ht="12.5" x14ac:dyDescent="0.25">
      <c r="A118" s="24"/>
    </row>
    <row r="119" spans="1:1" ht="12.5" x14ac:dyDescent="0.25">
      <c r="A119" s="24"/>
    </row>
    <row r="120" spans="1:1" ht="12.5" x14ac:dyDescent="0.25">
      <c r="A120" s="24"/>
    </row>
    <row r="121" spans="1:1" ht="12.5" x14ac:dyDescent="0.25">
      <c r="A121" s="24"/>
    </row>
    <row r="122" spans="1:1" ht="12.5" x14ac:dyDescent="0.25">
      <c r="A122" s="24"/>
    </row>
    <row r="123" spans="1:1" ht="12.5" x14ac:dyDescent="0.25">
      <c r="A123" s="24"/>
    </row>
    <row r="124" spans="1:1" ht="12.5" x14ac:dyDescent="0.25">
      <c r="A124" s="24"/>
    </row>
    <row r="125" spans="1:1" ht="12.5" x14ac:dyDescent="0.25">
      <c r="A125" s="24"/>
    </row>
    <row r="126" spans="1:1" ht="12.5" x14ac:dyDescent="0.25">
      <c r="A126" s="24"/>
    </row>
    <row r="127" spans="1:1" ht="12.5" x14ac:dyDescent="0.25">
      <c r="A127" s="24"/>
    </row>
    <row r="128" spans="1:1" ht="12.5" x14ac:dyDescent="0.25">
      <c r="A128" s="24"/>
    </row>
    <row r="129" spans="1:1" ht="12.5" x14ac:dyDescent="0.25">
      <c r="A129" s="24"/>
    </row>
    <row r="130" spans="1:1" ht="12.5" x14ac:dyDescent="0.25">
      <c r="A130" s="24"/>
    </row>
    <row r="131" spans="1:1" ht="12.5" x14ac:dyDescent="0.25">
      <c r="A131" s="24"/>
    </row>
    <row r="132" spans="1:1" ht="12.5" x14ac:dyDescent="0.25">
      <c r="A132" s="24"/>
    </row>
    <row r="133" spans="1:1" ht="12.5" x14ac:dyDescent="0.25">
      <c r="A133" s="24"/>
    </row>
    <row r="134" spans="1:1" ht="12.5" x14ac:dyDescent="0.25">
      <c r="A134" s="24"/>
    </row>
    <row r="135" spans="1:1" ht="12.5" x14ac:dyDescent="0.25">
      <c r="A135" s="24"/>
    </row>
    <row r="136" spans="1:1" ht="12.5" x14ac:dyDescent="0.25">
      <c r="A136" s="24"/>
    </row>
    <row r="137" spans="1:1" ht="12.5" x14ac:dyDescent="0.25">
      <c r="A137" s="24"/>
    </row>
    <row r="138" spans="1:1" ht="12.5" x14ac:dyDescent="0.25">
      <c r="A138" s="24"/>
    </row>
    <row r="139" spans="1:1" ht="12.5" x14ac:dyDescent="0.25">
      <c r="A139" s="24"/>
    </row>
    <row r="140" spans="1:1" ht="12.5" x14ac:dyDescent="0.25">
      <c r="A140" s="24"/>
    </row>
    <row r="141" spans="1:1" ht="12.5" x14ac:dyDescent="0.25">
      <c r="A141" s="24"/>
    </row>
    <row r="142" spans="1:1" ht="12.5" x14ac:dyDescent="0.25">
      <c r="A142" s="24"/>
    </row>
    <row r="143" spans="1:1" ht="12.5" x14ac:dyDescent="0.25">
      <c r="A143" s="24"/>
    </row>
    <row r="144" spans="1:1" ht="12.5" x14ac:dyDescent="0.25">
      <c r="A144" s="24"/>
    </row>
    <row r="145" spans="1:1" ht="12.5" x14ac:dyDescent="0.25">
      <c r="A145" s="24"/>
    </row>
    <row r="146" spans="1:1" ht="12.5" x14ac:dyDescent="0.25">
      <c r="A146" s="24"/>
    </row>
    <row r="147" spans="1:1" ht="12.5" x14ac:dyDescent="0.25">
      <c r="A147" s="24"/>
    </row>
    <row r="148" spans="1:1" ht="12.5" x14ac:dyDescent="0.25">
      <c r="A148" s="24"/>
    </row>
    <row r="149" spans="1:1" ht="12.5" x14ac:dyDescent="0.25">
      <c r="A149" s="24"/>
    </row>
    <row r="150" spans="1:1" ht="12.5" x14ac:dyDescent="0.25">
      <c r="A150" s="24"/>
    </row>
    <row r="151" spans="1:1" ht="12.5" x14ac:dyDescent="0.25">
      <c r="A151" s="24"/>
    </row>
    <row r="152" spans="1:1" ht="12.5" x14ac:dyDescent="0.25">
      <c r="A152" s="24"/>
    </row>
    <row r="153" spans="1:1" ht="12.5" x14ac:dyDescent="0.25">
      <c r="A153" s="24"/>
    </row>
    <row r="154" spans="1:1" ht="12.5" x14ac:dyDescent="0.25">
      <c r="A154" s="24"/>
    </row>
    <row r="155" spans="1:1" ht="12.5" x14ac:dyDescent="0.25">
      <c r="A155" s="24"/>
    </row>
    <row r="156" spans="1:1" ht="12.5" x14ac:dyDescent="0.25">
      <c r="A156" s="24"/>
    </row>
    <row r="157" spans="1:1" ht="12.5" x14ac:dyDescent="0.25">
      <c r="A157" s="24"/>
    </row>
    <row r="158" spans="1:1" ht="12.5" x14ac:dyDescent="0.25">
      <c r="A158" s="24"/>
    </row>
    <row r="159" spans="1:1" ht="12.5" x14ac:dyDescent="0.25">
      <c r="A159" s="24"/>
    </row>
    <row r="160" spans="1:1" ht="12.5" x14ac:dyDescent="0.25">
      <c r="A160" s="24"/>
    </row>
    <row r="161" spans="1:1" ht="12.5" x14ac:dyDescent="0.25">
      <c r="A161" s="24"/>
    </row>
    <row r="162" spans="1:1" ht="12.5" x14ac:dyDescent="0.25">
      <c r="A162" s="24"/>
    </row>
    <row r="163" spans="1:1" ht="12.5" x14ac:dyDescent="0.25">
      <c r="A163" s="24"/>
    </row>
    <row r="164" spans="1:1" ht="12.5" x14ac:dyDescent="0.25">
      <c r="A164" s="24"/>
    </row>
    <row r="165" spans="1:1" ht="12.5" x14ac:dyDescent="0.25">
      <c r="A165" s="24"/>
    </row>
    <row r="166" spans="1:1" ht="12.5" x14ac:dyDescent="0.25">
      <c r="A166" s="24"/>
    </row>
    <row r="167" spans="1:1" ht="12.5" x14ac:dyDescent="0.25">
      <c r="A167" s="24"/>
    </row>
    <row r="168" spans="1:1" ht="12.5" x14ac:dyDescent="0.25">
      <c r="A168" s="24"/>
    </row>
    <row r="169" spans="1:1" ht="12.5" x14ac:dyDescent="0.25">
      <c r="A169" s="24"/>
    </row>
    <row r="170" spans="1:1" ht="12.5" x14ac:dyDescent="0.25">
      <c r="A170" s="24"/>
    </row>
    <row r="171" spans="1:1" ht="12.5" x14ac:dyDescent="0.25">
      <c r="A171" s="24"/>
    </row>
    <row r="172" spans="1:1" ht="12.5" x14ac:dyDescent="0.25">
      <c r="A172" s="24"/>
    </row>
    <row r="173" spans="1:1" ht="12.5" x14ac:dyDescent="0.25">
      <c r="A173" s="24"/>
    </row>
    <row r="174" spans="1:1" ht="12.5" x14ac:dyDescent="0.25">
      <c r="A174" s="24"/>
    </row>
    <row r="175" spans="1:1" ht="12.5" x14ac:dyDescent="0.25">
      <c r="A175" s="24"/>
    </row>
    <row r="176" spans="1:1" ht="12.5" x14ac:dyDescent="0.25">
      <c r="A176" s="24"/>
    </row>
    <row r="177" spans="1:1" ht="12.5" x14ac:dyDescent="0.25">
      <c r="A177" s="24"/>
    </row>
    <row r="178" spans="1:1" ht="12.5" x14ac:dyDescent="0.25">
      <c r="A178" s="24"/>
    </row>
    <row r="179" spans="1:1" ht="12.5" x14ac:dyDescent="0.25">
      <c r="A179" s="24"/>
    </row>
    <row r="180" spans="1:1" ht="12.5" x14ac:dyDescent="0.25">
      <c r="A180" s="24"/>
    </row>
    <row r="181" spans="1:1" ht="12.5" x14ac:dyDescent="0.25">
      <c r="A181" s="24"/>
    </row>
    <row r="182" spans="1:1" ht="12.5" x14ac:dyDescent="0.25">
      <c r="A182" s="24"/>
    </row>
    <row r="183" spans="1:1" ht="12.5" x14ac:dyDescent="0.25">
      <c r="A183" s="24"/>
    </row>
    <row r="184" spans="1:1" ht="12.5" x14ac:dyDescent="0.25">
      <c r="A184" s="24"/>
    </row>
    <row r="185" spans="1:1" ht="12.5" x14ac:dyDescent="0.25">
      <c r="A185" s="24"/>
    </row>
    <row r="186" spans="1:1" ht="12.5" x14ac:dyDescent="0.25">
      <c r="A186" s="24"/>
    </row>
    <row r="187" spans="1:1" ht="12.5" x14ac:dyDescent="0.25">
      <c r="A187" s="24"/>
    </row>
    <row r="188" spans="1:1" ht="12.5" x14ac:dyDescent="0.25">
      <c r="A188" s="24"/>
    </row>
    <row r="189" spans="1:1" ht="12.5" x14ac:dyDescent="0.25">
      <c r="A189" s="24"/>
    </row>
    <row r="190" spans="1:1" ht="12.5" x14ac:dyDescent="0.25">
      <c r="A190" s="24"/>
    </row>
    <row r="191" spans="1:1" ht="12.5" x14ac:dyDescent="0.25">
      <c r="A191" s="24"/>
    </row>
    <row r="192" spans="1:1" ht="12.5" x14ac:dyDescent="0.25">
      <c r="A192" s="24"/>
    </row>
    <row r="193" spans="1:1" ht="12.5" x14ac:dyDescent="0.25">
      <c r="A193" s="24"/>
    </row>
    <row r="194" spans="1:1" ht="12.5" x14ac:dyDescent="0.25">
      <c r="A194" s="24"/>
    </row>
    <row r="195" spans="1:1" ht="12.5" x14ac:dyDescent="0.25">
      <c r="A195" s="24"/>
    </row>
    <row r="196" spans="1:1" ht="12.5" x14ac:dyDescent="0.25">
      <c r="A196" s="24"/>
    </row>
    <row r="197" spans="1:1" ht="12.5" x14ac:dyDescent="0.25">
      <c r="A197" s="24"/>
    </row>
    <row r="198" spans="1:1" ht="12.5" x14ac:dyDescent="0.25">
      <c r="A198" s="24"/>
    </row>
    <row r="199" spans="1:1" ht="12.5" x14ac:dyDescent="0.25">
      <c r="A199" s="24"/>
    </row>
    <row r="200" spans="1:1" ht="12.5" x14ac:dyDescent="0.25">
      <c r="A200" s="24"/>
    </row>
    <row r="201" spans="1:1" ht="12.5" x14ac:dyDescent="0.25">
      <c r="A201" s="24"/>
    </row>
    <row r="202" spans="1:1" ht="12.5" x14ac:dyDescent="0.25">
      <c r="A202" s="24"/>
    </row>
    <row r="203" spans="1:1" ht="12.5" x14ac:dyDescent="0.25">
      <c r="A203" s="24"/>
    </row>
    <row r="204" spans="1:1" ht="12.5" x14ac:dyDescent="0.25">
      <c r="A204" s="24"/>
    </row>
    <row r="205" spans="1:1" ht="12.5" x14ac:dyDescent="0.25">
      <c r="A205" s="24"/>
    </row>
    <row r="206" spans="1:1" ht="12.5" x14ac:dyDescent="0.25">
      <c r="A206" s="24"/>
    </row>
    <row r="207" spans="1:1" ht="12.5" x14ac:dyDescent="0.25">
      <c r="A207" s="24"/>
    </row>
    <row r="208" spans="1:1" ht="12.5" x14ac:dyDescent="0.25">
      <c r="A208" s="24"/>
    </row>
    <row r="209" spans="1:1" ht="12.5" x14ac:dyDescent="0.25">
      <c r="A209" s="24"/>
    </row>
    <row r="210" spans="1:1" ht="12.5" x14ac:dyDescent="0.25">
      <c r="A210" s="24"/>
    </row>
    <row r="211" spans="1:1" ht="12.5" x14ac:dyDescent="0.25">
      <c r="A211" s="24"/>
    </row>
    <row r="212" spans="1:1" ht="12.5" x14ac:dyDescent="0.25">
      <c r="A212" s="24"/>
    </row>
    <row r="213" spans="1:1" ht="12.5" x14ac:dyDescent="0.25">
      <c r="A213" s="24"/>
    </row>
    <row r="214" spans="1:1" ht="12.5" x14ac:dyDescent="0.25">
      <c r="A214" s="24"/>
    </row>
    <row r="215" spans="1:1" ht="12.5" x14ac:dyDescent="0.25">
      <c r="A215" s="24"/>
    </row>
    <row r="216" spans="1:1" ht="12.5" x14ac:dyDescent="0.25">
      <c r="A216" s="24"/>
    </row>
    <row r="217" spans="1:1" ht="12.5" x14ac:dyDescent="0.25">
      <c r="A217" s="24"/>
    </row>
    <row r="218" spans="1:1" ht="12.5" x14ac:dyDescent="0.25">
      <c r="A218" s="24"/>
    </row>
    <row r="219" spans="1:1" ht="12.5" x14ac:dyDescent="0.25">
      <c r="A219" s="24"/>
    </row>
    <row r="220" spans="1:1" ht="12.5" x14ac:dyDescent="0.25">
      <c r="A220" s="24"/>
    </row>
    <row r="221" spans="1:1" ht="12.5" x14ac:dyDescent="0.25">
      <c r="A221" s="24"/>
    </row>
    <row r="222" spans="1:1" ht="12.5" x14ac:dyDescent="0.25">
      <c r="A222" s="24"/>
    </row>
    <row r="223" spans="1:1" ht="12.5" x14ac:dyDescent="0.25">
      <c r="A223" s="24"/>
    </row>
    <row r="224" spans="1:1" ht="12.5" x14ac:dyDescent="0.25">
      <c r="A224" s="24"/>
    </row>
    <row r="225" spans="1:1" ht="12.5" x14ac:dyDescent="0.25">
      <c r="A225" s="24"/>
    </row>
    <row r="226" spans="1:1" ht="12.5" x14ac:dyDescent="0.25">
      <c r="A226" s="24"/>
    </row>
    <row r="227" spans="1:1" ht="12.5" x14ac:dyDescent="0.25">
      <c r="A227" s="24"/>
    </row>
    <row r="228" spans="1:1" ht="12.5" x14ac:dyDescent="0.25">
      <c r="A228" s="24"/>
    </row>
    <row r="229" spans="1:1" ht="12.5" x14ac:dyDescent="0.25">
      <c r="A229" s="24"/>
    </row>
    <row r="230" spans="1:1" ht="12.5" x14ac:dyDescent="0.25">
      <c r="A230" s="24"/>
    </row>
    <row r="231" spans="1:1" ht="12.5" x14ac:dyDescent="0.25">
      <c r="A231" s="24"/>
    </row>
    <row r="232" spans="1:1" ht="12.5" x14ac:dyDescent="0.25">
      <c r="A232" s="24"/>
    </row>
    <row r="233" spans="1:1" ht="12.5" x14ac:dyDescent="0.25">
      <c r="A233" s="24"/>
    </row>
    <row r="234" spans="1:1" ht="12.5" x14ac:dyDescent="0.25">
      <c r="A234" s="24"/>
    </row>
    <row r="235" spans="1:1" ht="12.5" x14ac:dyDescent="0.25">
      <c r="A235" s="24"/>
    </row>
    <row r="236" spans="1:1" ht="12.5" x14ac:dyDescent="0.25">
      <c r="A236" s="24"/>
    </row>
    <row r="237" spans="1:1" ht="12.5" x14ac:dyDescent="0.25">
      <c r="A237" s="24"/>
    </row>
    <row r="238" spans="1:1" ht="12.5" x14ac:dyDescent="0.25">
      <c r="A238" s="24"/>
    </row>
    <row r="239" spans="1:1" ht="12.5" x14ac:dyDescent="0.25">
      <c r="A239" s="24"/>
    </row>
    <row r="240" spans="1:1" ht="12.5" x14ac:dyDescent="0.25">
      <c r="A240" s="24"/>
    </row>
    <row r="241" spans="1:1" ht="12.5" x14ac:dyDescent="0.25">
      <c r="A241" s="24"/>
    </row>
    <row r="242" spans="1:1" ht="12.5" x14ac:dyDescent="0.25">
      <c r="A242" s="24"/>
    </row>
    <row r="243" spans="1:1" ht="12.5" x14ac:dyDescent="0.25">
      <c r="A243" s="24"/>
    </row>
    <row r="244" spans="1:1" ht="12.5" x14ac:dyDescent="0.25">
      <c r="A244" s="24"/>
    </row>
    <row r="245" spans="1:1" ht="12.5" x14ac:dyDescent="0.25">
      <c r="A245" s="24"/>
    </row>
    <row r="246" spans="1:1" ht="12.5" x14ac:dyDescent="0.25">
      <c r="A246" s="24"/>
    </row>
    <row r="247" spans="1:1" ht="12.5" x14ac:dyDescent="0.25">
      <c r="A247" s="24"/>
    </row>
    <row r="248" spans="1:1" ht="12.5" x14ac:dyDescent="0.25">
      <c r="A248" s="24"/>
    </row>
    <row r="249" spans="1:1" ht="12.5" x14ac:dyDescent="0.25">
      <c r="A249" s="24"/>
    </row>
    <row r="250" spans="1:1" ht="12.5" x14ac:dyDescent="0.25">
      <c r="A250" s="24"/>
    </row>
    <row r="251" spans="1:1" ht="12.5" x14ac:dyDescent="0.25">
      <c r="A251" s="24"/>
    </row>
    <row r="252" spans="1:1" ht="12.5" x14ac:dyDescent="0.25">
      <c r="A252" s="24"/>
    </row>
    <row r="253" spans="1:1" ht="12.5" x14ac:dyDescent="0.25">
      <c r="A253" s="24"/>
    </row>
    <row r="254" spans="1:1" ht="12.5" x14ac:dyDescent="0.25">
      <c r="A254" s="24"/>
    </row>
    <row r="255" spans="1:1" ht="12.5" x14ac:dyDescent="0.25">
      <c r="A255" s="24"/>
    </row>
    <row r="256" spans="1:1" ht="12.5" x14ac:dyDescent="0.25">
      <c r="A256" s="24"/>
    </row>
    <row r="257" spans="1:1" ht="12.5" x14ac:dyDescent="0.25">
      <c r="A257" s="24"/>
    </row>
    <row r="258" spans="1:1" ht="12.5" x14ac:dyDescent="0.25">
      <c r="A258" s="24"/>
    </row>
    <row r="259" spans="1:1" ht="12.5" x14ac:dyDescent="0.25">
      <c r="A259" s="24"/>
    </row>
    <row r="260" spans="1:1" ht="12.5" x14ac:dyDescent="0.25">
      <c r="A260" s="24"/>
    </row>
    <row r="261" spans="1:1" ht="12.5" x14ac:dyDescent="0.25">
      <c r="A261" s="24"/>
    </row>
    <row r="262" spans="1:1" ht="12.5" x14ac:dyDescent="0.25">
      <c r="A262" s="24"/>
    </row>
    <row r="263" spans="1:1" ht="12.5" x14ac:dyDescent="0.25">
      <c r="A263" s="24"/>
    </row>
    <row r="264" spans="1:1" ht="12.5" x14ac:dyDescent="0.25">
      <c r="A264" s="24"/>
    </row>
    <row r="265" spans="1:1" ht="12.5" x14ac:dyDescent="0.25">
      <c r="A265" s="24"/>
    </row>
    <row r="266" spans="1:1" ht="12.5" x14ac:dyDescent="0.25">
      <c r="A266" s="24"/>
    </row>
    <row r="267" spans="1:1" ht="12.5" x14ac:dyDescent="0.25">
      <c r="A267" s="24"/>
    </row>
    <row r="268" spans="1:1" ht="12.5" x14ac:dyDescent="0.25">
      <c r="A268" s="24"/>
    </row>
    <row r="269" spans="1:1" ht="12.5" x14ac:dyDescent="0.25">
      <c r="A269" s="24"/>
    </row>
    <row r="270" spans="1:1" ht="12.5" x14ac:dyDescent="0.25">
      <c r="A270" s="24"/>
    </row>
    <row r="271" spans="1:1" ht="12.5" x14ac:dyDescent="0.25">
      <c r="A271" s="24"/>
    </row>
    <row r="272" spans="1:1" ht="12.5" x14ac:dyDescent="0.25">
      <c r="A272" s="24"/>
    </row>
    <row r="273" spans="1:1" ht="12.5" x14ac:dyDescent="0.25">
      <c r="A273" s="24"/>
    </row>
    <row r="274" spans="1:1" ht="12.5" x14ac:dyDescent="0.25">
      <c r="A274" s="24"/>
    </row>
    <row r="275" spans="1:1" ht="12.5" x14ac:dyDescent="0.25">
      <c r="A275" s="24"/>
    </row>
    <row r="276" spans="1:1" ht="12.5" x14ac:dyDescent="0.25">
      <c r="A276" s="24"/>
    </row>
    <row r="277" spans="1:1" ht="12.5" x14ac:dyDescent="0.25">
      <c r="A277" s="24"/>
    </row>
    <row r="278" spans="1:1" ht="12.5" x14ac:dyDescent="0.25">
      <c r="A278" s="24"/>
    </row>
    <row r="279" spans="1:1" ht="12.5" x14ac:dyDescent="0.25">
      <c r="A279" s="24"/>
    </row>
    <row r="280" spans="1:1" ht="12.5" x14ac:dyDescent="0.25">
      <c r="A280" s="24"/>
    </row>
    <row r="281" spans="1:1" ht="12.5" x14ac:dyDescent="0.25">
      <c r="A281" s="24"/>
    </row>
    <row r="282" spans="1:1" ht="12.5" x14ac:dyDescent="0.25">
      <c r="A282" s="24"/>
    </row>
    <row r="283" spans="1:1" ht="12.5" x14ac:dyDescent="0.25">
      <c r="A283" s="24"/>
    </row>
    <row r="284" spans="1:1" ht="12.5" x14ac:dyDescent="0.25">
      <c r="A284" s="24"/>
    </row>
    <row r="285" spans="1:1" ht="12.5" x14ac:dyDescent="0.25">
      <c r="A285" s="24"/>
    </row>
    <row r="286" spans="1:1" ht="12.5" x14ac:dyDescent="0.25">
      <c r="A286" s="24"/>
    </row>
    <row r="287" spans="1:1" ht="12.5" x14ac:dyDescent="0.25">
      <c r="A287" s="24"/>
    </row>
    <row r="288" spans="1:1" ht="12.5" x14ac:dyDescent="0.25">
      <c r="A288" s="24"/>
    </row>
    <row r="289" spans="1:1" ht="12.5" x14ac:dyDescent="0.25">
      <c r="A289" s="24"/>
    </row>
    <row r="290" spans="1:1" ht="12.5" x14ac:dyDescent="0.25">
      <c r="A290" s="24"/>
    </row>
    <row r="291" spans="1:1" ht="12.5" x14ac:dyDescent="0.25">
      <c r="A291" s="24"/>
    </row>
    <row r="292" spans="1:1" ht="12.5" x14ac:dyDescent="0.25">
      <c r="A292" s="24"/>
    </row>
    <row r="293" spans="1:1" ht="12.5" x14ac:dyDescent="0.25">
      <c r="A293" s="24"/>
    </row>
    <row r="294" spans="1:1" ht="12.5" x14ac:dyDescent="0.25">
      <c r="A294" s="24"/>
    </row>
    <row r="295" spans="1:1" ht="12.5" x14ac:dyDescent="0.25">
      <c r="A295" s="24"/>
    </row>
    <row r="296" spans="1:1" ht="12.5" x14ac:dyDescent="0.25">
      <c r="A296" s="24"/>
    </row>
    <row r="297" spans="1:1" ht="12.5" x14ac:dyDescent="0.25">
      <c r="A297" s="24"/>
    </row>
    <row r="298" spans="1:1" ht="12.5" x14ac:dyDescent="0.25">
      <c r="A298" s="24"/>
    </row>
    <row r="299" spans="1:1" ht="12.5" x14ac:dyDescent="0.25">
      <c r="A299" s="24"/>
    </row>
    <row r="300" spans="1:1" ht="12.5" x14ac:dyDescent="0.25">
      <c r="A300" s="24"/>
    </row>
    <row r="301" spans="1:1" ht="12.5" x14ac:dyDescent="0.25">
      <c r="A301" s="24"/>
    </row>
    <row r="302" spans="1:1" ht="12.5" x14ac:dyDescent="0.25">
      <c r="A302" s="24"/>
    </row>
    <row r="303" spans="1:1" ht="12.5" x14ac:dyDescent="0.25">
      <c r="A303" s="24"/>
    </row>
    <row r="304" spans="1:1" ht="12.5" x14ac:dyDescent="0.25">
      <c r="A304" s="24"/>
    </row>
    <row r="305" spans="1:1" ht="12.5" x14ac:dyDescent="0.25">
      <c r="A305" s="24"/>
    </row>
    <row r="306" spans="1:1" ht="12.5" x14ac:dyDescent="0.25">
      <c r="A306" s="24"/>
    </row>
    <row r="307" spans="1:1" ht="12.5" x14ac:dyDescent="0.25">
      <c r="A307" s="24"/>
    </row>
    <row r="308" spans="1:1" ht="12.5" x14ac:dyDescent="0.25">
      <c r="A308" s="24"/>
    </row>
    <row r="309" spans="1:1" ht="12.5" x14ac:dyDescent="0.25">
      <c r="A309" s="24"/>
    </row>
    <row r="310" spans="1:1" ht="12.5" x14ac:dyDescent="0.25">
      <c r="A310" s="24"/>
    </row>
    <row r="311" spans="1:1" ht="12.5" x14ac:dyDescent="0.25">
      <c r="A311" s="24"/>
    </row>
    <row r="312" spans="1:1" ht="12.5" x14ac:dyDescent="0.25">
      <c r="A312" s="24"/>
    </row>
    <row r="313" spans="1:1" ht="12.5" x14ac:dyDescent="0.25">
      <c r="A313" s="24"/>
    </row>
    <row r="314" spans="1:1" ht="12.5" x14ac:dyDescent="0.25">
      <c r="A314" s="24"/>
    </row>
    <row r="315" spans="1:1" ht="12.5" x14ac:dyDescent="0.25">
      <c r="A315" s="24"/>
    </row>
    <row r="316" spans="1:1" ht="12.5" x14ac:dyDescent="0.25">
      <c r="A316" s="24"/>
    </row>
    <row r="317" spans="1:1" ht="12.5" x14ac:dyDescent="0.25">
      <c r="A317" s="24"/>
    </row>
    <row r="318" spans="1:1" ht="12.5" x14ac:dyDescent="0.25">
      <c r="A318" s="24"/>
    </row>
    <row r="319" spans="1:1" ht="12.5" x14ac:dyDescent="0.25">
      <c r="A319" s="24"/>
    </row>
    <row r="320" spans="1:1" ht="12.5" x14ac:dyDescent="0.25">
      <c r="A320" s="24"/>
    </row>
    <row r="321" spans="1:1" ht="12.5" x14ac:dyDescent="0.25">
      <c r="A321" s="24"/>
    </row>
    <row r="322" spans="1:1" ht="12.5" x14ac:dyDescent="0.25">
      <c r="A322" s="24"/>
    </row>
    <row r="323" spans="1:1" ht="12.5" x14ac:dyDescent="0.25">
      <c r="A323" s="24"/>
    </row>
    <row r="324" spans="1:1" ht="12.5" x14ac:dyDescent="0.25">
      <c r="A324" s="24"/>
    </row>
    <row r="325" spans="1:1" ht="12.5" x14ac:dyDescent="0.25">
      <c r="A325" s="24"/>
    </row>
    <row r="326" spans="1:1" ht="12.5" x14ac:dyDescent="0.25">
      <c r="A326" s="24"/>
    </row>
    <row r="327" spans="1:1" ht="12.5" x14ac:dyDescent="0.25">
      <c r="A327" s="24"/>
    </row>
    <row r="328" spans="1:1" ht="12.5" x14ac:dyDescent="0.25">
      <c r="A328" s="24"/>
    </row>
    <row r="329" spans="1:1" ht="12.5" x14ac:dyDescent="0.25">
      <c r="A329" s="24"/>
    </row>
    <row r="330" spans="1:1" ht="12.5" x14ac:dyDescent="0.25">
      <c r="A330" s="24"/>
    </row>
    <row r="331" spans="1:1" ht="12.5" x14ac:dyDescent="0.25">
      <c r="A331" s="24"/>
    </row>
    <row r="332" spans="1:1" ht="12.5" x14ac:dyDescent="0.25">
      <c r="A332" s="24"/>
    </row>
    <row r="333" spans="1:1" ht="12.5" x14ac:dyDescent="0.25">
      <c r="A333" s="24"/>
    </row>
    <row r="334" spans="1:1" ht="12.5" x14ac:dyDescent="0.25">
      <c r="A334" s="24"/>
    </row>
    <row r="335" spans="1:1" ht="12.5" x14ac:dyDescent="0.25">
      <c r="A335" s="24"/>
    </row>
    <row r="336" spans="1:1" ht="12.5" x14ac:dyDescent="0.25">
      <c r="A336" s="24"/>
    </row>
    <row r="337" spans="1:1" ht="12.5" x14ac:dyDescent="0.25">
      <c r="A337" s="24"/>
    </row>
    <row r="338" spans="1:1" ht="12.5" x14ac:dyDescent="0.25">
      <c r="A338" s="24"/>
    </row>
    <row r="339" spans="1:1" ht="12.5" x14ac:dyDescent="0.25">
      <c r="A339" s="24"/>
    </row>
    <row r="340" spans="1:1" ht="12.5" x14ac:dyDescent="0.25">
      <c r="A340" s="24"/>
    </row>
    <row r="341" spans="1:1" ht="12.5" x14ac:dyDescent="0.25">
      <c r="A341" s="24"/>
    </row>
    <row r="342" spans="1:1" ht="12.5" x14ac:dyDescent="0.25">
      <c r="A342" s="24"/>
    </row>
    <row r="343" spans="1:1" ht="12.5" x14ac:dyDescent="0.25">
      <c r="A343" s="24"/>
    </row>
    <row r="344" spans="1:1" ht="12.5" x14ac:dyDescent="0.25">
      <c r="A344" s="24"/>
    </row>
    <row r="345" spans="1:1" ht="12.5" x14ac:dyDescent="0.25">
      <c r="A345" s="24"/>
    </row>
    <row r="346" spans="1:1" ht="12.5" x14ac:dyDescent="0.25">
      <c r="A346" s="24"/>
    </row>
    <row r="347" spans="1:1" ht="12.5" x14ac:dyDescent="0.25">
      <c r="A347" s="24"/>
    </row>
    <row r="348" spans="1:1" ht="12.5" x14ac:dyDescent="0.25">
      <c r="A348" s="24"/>
    </row>
    <row r="349" spans="1:1" ht="12.5" x14ac:dyDescent="0.25">
      <c r="A349" s="24"/>
    </row>
    <row r="350" spans="1:1" ht="12.5" x14ac:dyDescent="0.25">
      <c r="A350" s="24"/>
    </row>
    <row r="351" spans="1:1" ht="12.5" x14ac:dyDescent="0.25">
      <c r="A351" s="24"/>
    </row>
    <row r="352" spans="1:1" ht="12.5" x14ac:dyDescent="0.25">
      <c r="A352" s="24"/>
    </row>
    <row r="353" spans="1:1" ht="12.5" x14ac:dyDescent="0.25">
      <c r="A353" s="24"/>
    </row>
    <row r="354" spans="1:1" ht="12.5" x14ac:dyDescent="0.25">
      <c r="A354" s="24"/>
    </row>
    <row r="355" spans="1:1" ht="12.5" x14ac:dyDescent="0.25">
      <c r="A355" s="24"/>
    </row>
    <row r="356" spans="1:1" ht="12.5" x14ac:dyDescent="0.25">
      <c r="A356" s="24"/>
    </row>
    <row r="357" spans="1:1" ht="12.5" x14ac:dyDescent="0.25">
      <c r="A357" s="24"/>
    </row>
    <row r="358" spans="1:1" ht="12.5" x14ac:dyDescent="0.25">
      <c r="A358" s="24"/>
    </row>
    <row r="359" spans="1:1" ht="12.5" x14ac:dyDescent="0.25">
      <c r="A359" s="24"/>
    </row>
    <row r="360" spans="1:1" ht="12.5" x14ac:dyDescent="0.25">
      <c r="A360" s="24"/>
    </row>
    <row r="361" spans="1:1" ht="12.5" x14ac:dyDescent="0.25">
      <c r="A361" s="24"/>
    </row>
    <row r="362" spans="1:1" ht="12.5" x14ac:dyDescent="0.25">
      <c r="A362" s="24"/>
    </row>
    <row r="363" spans="1:1" ht="12.5" x14ac:dyDescent="0.25">
      <c r="A363" s="24"/>
    </row>
    <row r="364" spans="1:1" ht="12.5" x14ac:dyDescent="0.25">
      <c r="A364" s="24"/>
    </row>
    <row r="365" spans="1:1" ht="12.5" x14ac:dyDescent="0.25">
      <c r="A365" s="24"/>
    </row>
    <row r="366" spans="1:1" ht="12.5" x14ac:dyDescent="0.25">
      <c r="A366" s="24"/>
    </row>
    <row r="367" spans="1:1" ht="12.5" x14ac:dyDescent="0.25">
      <c r="A367" s="24"/>
    </row>
    <row r="368" spans="1:1" ht="12.5" x14ac:dyDescent="0.25">
      <c r="A368" s="24"/>
    </row>
    <row r="369" spans="1:1" ht="12.5" x14ac:dyDescent="0.25">
      <c r="A369" s="24"/>
    </row>
    <row r="370" spans="1:1" ht="12.5" x14ac:dyDescent="0.25">
      <c r="A370" s="24"/>
    </row>
    <row r="371" spans="1:1" ht="12.5" x14ac:dyDescent="0.25">
      <c r="A371" s="24"/>
    </row>
    <row r="372" spans="1:1" ht="12.5" x14ac:dyDescent="0.25">
      <c r="A372" s="24"/>
    </row>
    <row r="373" spans="1:1" ht="12.5" x14ac:dyDescent="0.25">
      <c r="A373" s="24"/>
    </row>
    <row r="374" spans="1:1" ht="12.5" x14ac:dyDescent="0.25">
      <c r="A374" s="24"/>
    </row>
    <row r="375" spans="1:1" ht="12.5" x14ac:dyDescent="0.25">
      <c r="A375" s="24"/>
    </row>
    <row r="376" spans="1:1" ht="12.5" x14ac:dyDescent="0.25">
      <c r="A376" s="24"/>
    </row>
    <row r="377" spans="1:1" ht="12.5" x14ac:dyDescent="0.25">
      <c r="A377" s="24"/>
    </row>
    <row r="378" spans="1:1" ht="12.5" x14ac:dyDescent="0.25">
      <c r="A378" s="24"/>
    </row>
    <row r="379" spans="1:1" ht="12.5" x14ac:dyDescent="0.25">
      <c r="A379" s="24"/>
    </row>
    <row r="380" spans="1:1" ht="12.5" x14ac:dyDescent="0.25">
      <c r="A380" s="24"/>
    </row>
    <row r="381" spans="1:1" ht="12.5" x14ac:dyDescent="0.25">
      <c r="A381" s="24"/>
    </row>
    <row r="382" spans="1:1" ht="12.5" x14ac:dyDescent="0.25">
      <c r="A382" s="24"/>
    </row>
    <row r="383" spans="1:1" ht="12.5" x14ac:dyDescent="0.25">
      <c r="A383" s="24"/>
    </row>
    <row r="384" spans="1:1" ht="12.5" x14ac:dyDescent="0.25">
      <c r="A384" s="24"/>
    </row>
    <row r="385" spans="1:1" ht="12.5" x14ac:dyDescent="0.25">
      <c r="A385" s="24"/>
    </row>
    <row r="386" spans="1:1" ht="12.5" x14ac:dyDescent="0.25">
      <c r="A386" s="24"/>
    </row>
    <row r="387" spans="1:1" ht="12.5" x14ac:dyDescent="0.25">
      <c r="A387" s="24"/>
    </row>
    <row r="388" spans="1:1" ht="12.5" x14ac:dyDescent="0.25">
      <c r="A388" s="24"/>
    </row>
    <row r="389" spans="1:1" ht="12.5" x14ac:dyDescent="0.25">
      <c r="A389" s="24"/>
    </row>
    <row r="390" spans="1:1" ht="12.5" x14ac:dyDescent="0.25">
      <c r="A390" s="24"/>
    </row>
    <row r="391" spans="1:1" ht="12.5" x14ac:dyDescent="0.25">
      <c r="A391" s="24"/>
    </row>
    <row r="392" spans="1:1" ht="12.5" x14ac:dyDescent="0.25">
      <c r="A392" s="24"/>
    </row>
    <row r="393" spans="1:1" ht="12.5" x14ac:dyDescent="0.25">
      <c r="A393" s="24"/>
    </row>
    <row r="394" spans="1:1" ht="12.5" x14ac:dyDescent="0.25">
      <c r="A394" s="24"/>
    </row>
    <row r="395" spans="1:1" ht="12.5" x14ac:dyDescent="0.25">
      <c r="A395" s="24"/>
    </row>
    <row r="396" spans="1:1" ht="12.5" x14ac:dyDescent="0.25">
      <c r="A396" s="24"/>
    </row>
    <row r="397" spans="1:1" ht="12.5" x14ac:dyDescent="0.25">
      <c r="A397" s="24"/>
    </row>
    <row r="398" spans="1:1" ht="12.5" x14ac:dyDescent="0.25">
      <c r="A398" s="24"/>
    </row>
    <row r="399" spans="1:1" ht="12.5" x14ac:dyDescent="0.25">
      <c r="A399" s="24"/>
    </row>
    <row r="400" spans="1:1" ht="12.5" x14ac:dyDescent="0.25">
      <c r="A400" s="24"/>
    </row>
    <row r="401" spans="1:1" ht="12.5" x14ac:dyDescent="0.25">
      <c r="A401" s="24"/>
    </row>
    <row r="402" spans="1:1" ht="12.5" x14ac:dyDescent="0.25">
      <c r="A402" s="24"/>
    </row>
    <row r="403" spans="1:1" ht="12.5" x14ac:dyDescent="0.25">
      <c r="A403" s="24"/>
    </row>
    <row r="404" spans="1:1" ht="12.5" x14ac:dyDescent="0.25">
      <c r="A404" s="24"/>
    </row>
    <row r="405" spans="1:1" ht="12.5" x14ac:dyDescent="0.25">
      <c r="A405" s="24"/>
    </row>
    <row r="406" spans="1:1" ht="12.5" x14ac:dyDescent="0.25">
      <c r="A406" s="24"/>
    </row>
    <row r="407" spans="1:1" ht="12.5" x14ac:dyDescent="0.25">
      <c r="A407" s="24"/>
    </row>
    <row r="408" spans="1:1" ht="12.5" x14ac:dyDescent="0.25">
      <c r="A408" s="24"/>
    </row>
    <row r="409" spans="1:1" ht="12.5" x14ac:dyDescent="0.25">
      <c r="A409" s="24"/>
    </row>
    <row r="410" spans="1:1" ht="12.5" x14ac:dyDescent="0.25">
      <c r="A410" s="24"/>
    </row>
    <row r="411" spans="1:1" ht="12.5" x14ac:dyDescent="0.25">
      <c r="A411" s="24"/>
    </row>
    <row r="412" spans="1:1" ht="12.5" x14ac:dyDescent="0.25">
      <c r="A412" s="24"/>
    </row>
    <row r="413" spans="1:1" ht="12.5" x14ac:dyDescent="0.25">
      <c r="A413" s="24"/>
    </row>
    <row r="414" spans="1:1" ht="12.5" x14ac:dyDescent="0.25">
      <c r="A414" s="24"/>
    </row>
    <row r="415" spans="1:1" ht="12.5" x14ac:dyDescent="0.25">
      <c r="A415" s="24"/>
    </row>
    <row r="416" spans="1:1" ht="12.5" x14ac:dyDescent="0.25">
      <c r="A416" s="24"/>
    </row>
    <row r="417" spans="1:1" ht="12.5" x14ac:dyDescent="0.25">
      <c r="A417" s="24"/>
    </row>
    <row r="418" spans="1:1" ht="12.5" x14ac:dyDescent="0.25">
      <c r="A418" s="24"/>
    </row>
    <row r="419" spans="1:1" ht="12.5" x14ac:dyDescent="0.25">
      <c r="A419" s="24"/>
    </row>
    <row r="420" spans="1:1" ht="12.5" x14ac:dyDescent="0.25">
      <c r="A420" s="24"/>
    </row>
    <row r="421" spans="1:1" ht="12.5" x14ac:dyDescent="0.25">
      <c r="A421" s="24"/>
    </row>
    <row r="422" spans="1:1" ht="12.5" x14ac:dyDescent="0.25">
      <c r="A422" s="24"/>
    </row>
    <row r="423" spans="1:1" ht="12.5" x14ac:dyDescent="0.25">
      <c r="A423" s="24"/>
    </row>
    <row r="424" spans="1:1" ht="12.5" x14ac:dyDescent="0.25">
      <c r="A424" s="24"/>
    </row>
    <row r="425" spans="1:1" ht="12.5" x14ac:dyDescent="0.25">
      <c r="A425" s="24"/>
    </row>
    <row r="426" spans="1:1" ht="12.5" x14ac:dyDescent="0.25">
      <c r="A426" s="24"/>
    </row>
    <row r="427" spans="1:1" ht="12.5" x14ac:dyDescent="0.25">
      <c r="A427" s="24"/>
    </row>
    <row r="428" spans="1:1" ht="12.5" x14ac:dyDescent="0.25">
      <c r="A428" s="24"/>
    </row>
    <row r="429" spans="1:1" ht="12.5" x14ac:dyDescent="0.25">
      <c r="A429" s="24"/>
    </row>
    <row r="430" spans="1:1" ht="12.5" x14ac:dyDescent="0.25">
      <c r="A430" s="24"/>
    </row>
    <row r="431" spans="1:1" ht="12.5" x14ac:dyDescent="0.25">
      <c r="A431" s="24"/>
    </row>
    <row r="432" spans="1:1" ht="12.5" x14ac:dyDescent="0.25">
      <c r="A432" s="24"/>
    </row>
    <row r="433" spans="1:1" ht="12.5" x14ac:dyDescent="0.25">
      <c r="A433" s="24"/>
    </row>
    <row r="434" spans="1:1" ht="12.5" x14ac:dyDescent="0.25">
      <c r="A434" s="24"/>
    </row>
    <row r="435" spans="1:1" ht="12.5" x14ac:dyDescent="0.25">
      <c r="A435" s="24"/>
    </row>
    <row r="436" spans="1:1" ht="12.5" x14ac:dyDescent="0.25">
      <c r="A436" s="24"/>
    </row>
    <row r="437" spans="1:1" ht="12.5" x14ac:dyDescent="0.25">
      <c r="A437" s="24"/>
    </row>
    <row r="438" spans="1:1" ht="12.5" x14ac:dyDescent="0.25">
      <c r="A438" s="24"/>
    </row>
    <row r="439" spans="1:1" ht="12.5" x14ac:dyDescent="0.25">
      <c r="A439" s="24"/>
    </row>
    <row r="440" spans="1:1" ht="12.5" x14ac:dyDescent="0.25">
      <c r="A440" s="24"/>
    </row>
    <row r="441" spans="1:1" ht="12.5" x14ac:dyDescent="0.25">
      <c r="A441" s="24"/>
    </row>
    <row r="442" spans="1:1" ht="12.5" x14ac:dyDescent="0.25">
      <c r="A442" s="24"/>
    </row>
    <row r="443" spans="1:1" ht="12.5" x14ac:dyDescent="0.25">
      <c r="A443" s="24"/>
    </row>
    <row r="444" spans="1:1" ht="12.5" x14ac:dyDescent="0.25">
      <c r="A444" s="24"/>
    </row>
    <row r="445" spans="1:1" ht="12.5" x14ac:dyDescent="0.25">
      <c r="A445" s="24"/>
    </row>
    <row r="446" spans="1:1" ht="12.5" x14ac:dyDescent="0.25">
      <c r="A446" s="24"/>
    </row>
    <row r="447" spans="1:1" ht="12.5" x14ac:dyDescent="0.25">
      <c r="A447" s="24"/>
    </row>
    <row r="448" spans="1:1" ht="12.5" x14ac:dyDescent="0.25">
      <c r="A448" s="24"/>
    </row>
    <row r="449" spans="1:1" ht="12.5" x14ac:dyDescent="0.25">
      <c r="A449" s="24"/>
    </row>
    <row r="450" spans="1:1" ht="12.5" x14ac:dyDescent="0.25">
      <c r="A450" s="24"/>
    </row>
    <row r="451" spans="1:1" ht="12.5" x14ac:dyDescent="0.25">
      <c r="A451" s="24"/>
    </row>
    <row r="452" spans="1:1" ht="12.5" x14ac:dyDescent="0.25">
      <c r="A452" s="24"/>
    </row>
    <row r="453" spans="1:1" ht="12.5" x14ac:dyDescent="0.25">
      <c r="A453" s="24"/>
    </row>
    <row r="454" spans="1:1" ht="12.5" x14ac:dyDescent="0.25">
      <c r="A454" s="24"/>
    </row>
    <row r="455" spans="1:1" ht="12.5" x14ac:dyDescent="0.25">
      <c r="A455" s="24"/>
    </row>
    <row r="456" spans="1:1" ht="12.5" x14ac:dyDescent="0.25">
      <c r="A456" s="24"/>
    </row>
    <row r="457" spans="1:1" ht="12.5" x14ac:dyDescent="0.25">
      <c r="A457" s="24"/>
    </row>
    <row r="458" spans="1:1" ht="12.5" x14ac:dyDescent="0.25">
      <c r="A458" s="24"/>
    </row>
    <row r="459" spans="1:1" ht="12.5" x14ac:dyDescent="0.25">
      <c r="A459" s="24"/>
    </row>
    <row r="460" spans="1:1" ht="12.5" x14ac:dyDescent="0.25">
      <c r="A460" s="24"/>
    </row>
    <row r="461" spans="1:1" ht="12.5" x14ac:dyDescent="0.25">
      <c r="A461" s="24"/>
    </row>
    <row r="462" spans="1:1" ht="12.5" x14ac:dyDescent="0.25">
      <c r="A462" s="24"/>
    </row>
    <row r="463" spans="1:1" ht="12.5" x14ac:dyDescent="0.25">
      <c r="A463" s="24"/>
    </row>
    <row r="464" spans="1:1" ht="12.5" x14ac:dyDescent="0.25">
      <c r="A464" s="24"/>
    </row>
    <row r="465" spans="1:1" ht="12.5" x14ac:dyDescent="0.25">
      <c r="A465" s="24"/>
    </row>
    <row r="466" spans="1:1" ht="12.5" x14ac:dyDescent="0.25">
      <c r="A466" s="24"/>
    </row>
    <row r="467" spans="1:1" ht="12.5" x14ac:dyDescent="0.25">
      <c r="A467" s="24"/>
    </row>
    <row r="468" spans="1:1" ht="12.5" x14ac:dyDescent="0.25">
      <c r="A468" s="24"/>
    </row>
    <row r="469" spans="1:1" ht="12.5" x14ac:dyDescent="0.25">
      <c r="A469" s="24"/>
    </row>
    <row r="470" spans="1:1" ht="12.5" x14ac:dyDescent="0.25">
      <c r="A470" s="24"/>
    </row>
    <row r="471" spans="1:1" ht="12.5" x14ac:dyDescent="0.25">
      <c r="A471" s="24"/>
    </row>
    <row r="472" spans="1:1" ht="12.5" x14ac:dyDescent="0.25">
      <c r="A472" s="24"/>
    </row>
    <row r="473" spans="1:1" ht="12.5" x14ac:dyDescent="0.25">
      <c r="A473" s="24"/>
    </row>
    <row r="474" spans="1:1" ht="12.5" x14ac:dyDescent="0.25">
      <c r="A474" s="24"/>
    </row>
    <row r="475" spans="1:1" ht="12.5" x14ac:dyDescent="0.25">
      <c r="A475" s="24"/>
    </row>
    <row r="476" spans="1:1" ht="12.5" x14ac:dyDescent="0.25">
      <c r="A476" s="24"/>
    </row>
    <row r="477" spans="1:1" ht="12.5" x14ac:dyDescent="0.25">
      <c r="A477" s="24"/>
    </row>
    <row r="478" spans="1:1" ht="12.5" x14ac:dyDescent="0.25">
      <c r="A478" s="24"/>
    </row>
    <row r="479" spans="1:1" ht="12.5" x14ac:dyDescent="0.25">
      <c r="A479" s="24"/>
    </row>
    <row r="480" spans="1:1" ht="12.5" x14ac:dyDescent="0.25">
      <c r="A480" s="24"/>
    </row>
    <row r="481" spans="1:1" ht="12.5" x14ac:dyDescent="0.25">
      <c r="A481" s="24"/>
    </row>
    <row r="482" spans="1:1" ht="12.5" x14ac:dyDescent="0.25">
      <c r="A482" s="24"/>
    </row>
    <row r="483" spans="1:1" ht="12.5" x14ac:dyDescent="0.25">
      <c r="A483" s="24"/>
    </row>
    <row r="484" spans="1:1" ht="12.5" x14ac:dyDescent="0.25">
      <c r="A484" s="24"/>
    </row>
    <row r="485" spans="1:1" ht="12.5" x14ac:dyDescent="0.25">
      <c r="A485" s="24"/>
    </row>
    <row r="486" spans="1:1" ht="12.5" x14ac:dyDescent="0.25">
      <c r="A486" s="24"/>
    </row>
    <row r="487" spans="1:1" ht="12.5" x14ac:dyDescent="0.25">
      <c r="A487" s="24"/>
    </row>
    <row r="488" spans="1:1" ht="12.5" x14ac:dyDescent="0.25">
      <c r="A488" s="24"/>
    </row>
    <row r="489" spans="1:1" ht="12.5" x14ac:dyDescent="0.25">
      <c r="A489" s="24"/>
    </row>
    <row r="490" spans="1:1" ht="12.5" x14ac:dyDescent="0.25">
      <c r="A490" s="24"/>
    </row>
    <row r="491" spans="1:1" ht="12.5" x14ac:dyDescent="0.25">
      <c r="A491" s="24"/>
    </row>
    <row r="492" spans="1:1" ht="12.5" x14ac:dyDescent="0.25">
      <c r="A492" s="24"/>
    </row>
    <row r="493" spans="1:1" ht="12.5" x14ac:dyDescent="0.25">
      <c r="A493" s="24"/>
    </row>
    <row r="494" spans="1:1" ht="12.5" x14ac:dyDescent="0.25">
      <c r="A494" s="24"/>
    </row>
    <row r="495" spans="1:1" ht="12.5" x14ac:dyDescent="0.25">
      <c r="A495" s="24"/>
    </row>
    <row r="496" spans="1:1" ht="12.5" x14ac:dyDescent="0.25">
      <c r="A496" s="24"/>
    </row>
    <row r="497" spans="1:1" ht="12.5" x14ac:dyDescent="0.25">
      <c r="A497" s="24"/>
    </row>
    <row r="498" spans="1:1" ht="12.5" x14ac:dyDescent="0.25">
      <c r="A498" s="24"/>
    </row>
    <row r="499" spans="1:1" ht="12.5" x14ac:dyDescent="0.25">
      <c r="A499" s="24"/>
    </row>
    <row r="500" spans="1:1" ht="12.5" x14ac:dyDescent="0.25">
      <c r="A500" s="24"/>
    </row>
    <row r="501" spans="1:1" ht="12.5" x14ac:dyDescent="0.25">
      <c r="A501" s="24"/>
    </row>
    <row r="502" spans="1:1" ht="12.5" x14ac:dyDescent="0.25">
      <c r="A502" s="24"/>
    </row>
    <row r="503" spans="1:1" ht="12.5" x14ac:dyDescent="0.25">
      <c r="A503" s="24"/>
    </row>
    <row r="504" spans="1:1" ht="12.5" x14ac:dyDescent="0.25">
      <c r="A504" s="24"/>
    </row>
    <row r="505" spans="1:1" ht="12.5" x14ac:dyDescent="0.25">
      <c r="A505" s="24"/>
    </row>
    <row r="506" spans="1:1" ht="12.5" x14ac:dyDescent="0.25">
      <c r="A506" s="24"/>
    </row>
    <row r="507" spans="1:1" ht="12.5" x14ac:dyDescent="0.25">
      <c r="A507" s="24"/>
    </row>
    <row r="508" spans="1:1" ht="12.5" x14ac:dyDescent="0.25">
      <c r="A508" s="24"/>
    </row>
    <row r="509" spans="1:1" ht="12.5" x14ac:dyDescent="0.25">
      <c r="A509" s="24"/>
    </row>
    <row r="510" spans="1:1" ht="12.5" x14ac:dyDescent="0.25">
      <c r="A510" s="24"/>
    </row>
    <row r="511" spans="1:1" ht="12.5" x14ac:dyDescent="0.25">
      <c r="A511" s="24"/>
    </row>
    <row r="512" spans="1:1" ht="12.5" x14ac:dyDescent="0.25">
      <c r="A512" s="24"/>
    </row>
    <row r="513" spans="1:1" ht="12.5" x14ac:dyDescent="0.25">
      <c r="A513" s="24"/>
    </row>
    <row r="514" spans="1:1" ht="12.5" x14ac:dyDescent="0.25">
      <c r="A514" s="24"/>
    </row>
    <row r="515" spans="1:1" ht="12.5" x14ac:dyDescent="0.25">
      <c r="A515" s="24"/>
    </row>
    <row r="516" spans="1:1" ht="12.5" x14ac:dyDescent="0.25">
      <c r="A516" s="24"/>
    </row>
    <row r="517" spans="1:1" ht="12.5" x14ac:dyDescent="0.25">
      <c r="A517" s="24"/>
    </row>
    <row r="518" spans="1:1" ht="12.5" x14ac:dyDescent="0.25">
      <c r="A518" s="24"/>
    </row>
    <row r="519" spans="1:1" ht="12.5" x14ac:dyDescent="0.25">
      <c r="A519" s="24"/>
    </row>
    <row r="520" spans="1:1" ht="12.5" x14ac:dyDescent="0.25">
      <c r="A520" s="24"/>
    </row>
    <row r="521" spans="1:1" ht="12.5" x14ac:dyDescent="0.25">
      <c r="A521" s="24"/>
    </row>
    <row r="522" spans="1:1" ht="12.5" x14ac:dyDescent="0.25">
      <c r="A522" s="24"/>
    </row>
    <row r="523" spans="1:1" ht="12.5" x14ac:dyDescent="0.25">
      <c r="A523" s="24"/>
    </row>
    <row r="524" spans="1:1" ht="12.5" x14ac:dyDescent="0.25">
      <c r="A524" s="24"/>
    </row>
    <row r="525" spans="1:1" ht="12.5" x14ac:dyDescent="0.25">
      <c r="A525" s="24"/>
    </row>
    <row r="526" spans="1:1" ht="12.5" x14ac:dyDescent="0.25">
      <c r="A526" s="24"/>
    </row>
    <row r="527" spans="1:1" ht="12.5" x14ac:dyDescent="0.25">
      <c r="A527" s="24"/>
    </row>
    <row r="528" spans="1:1" ht="12.5" x14ac:dyDescent="0.25">
      <c r="A528" s="24"/>
    </row>
    <row r="529" spans="1:1" ht="12.5" x14ac:dyDescent="0.25">
      <c r="A529" s="24"/>
    </row>
    <row r="530" spans="1:1" ht="12.5" x14ac:dyDescent="0.25">
      <c r="A530" s="24"/>
    </row>
    <row r="531" spans="1:1" ht="12.5" x14ac:dyDescent="0.25">
      <c r="A531" s="24"/>
    </row>
    <row r="532" spans="1:1" ht="12.5" x14ac:dyDescent="0.25">
      <c r="A532" s="24"/>
    </row>
    <row r="533" spans="1:1" ht="12.5" x14ac:dyDescent="0.25">
      <c r="A533" s="24"/>
    </row>
    <row r="534" spans="1:1" ht="12.5" x14ac:dyDescent="0.25">
      <c r="A534" s="24"/>
    </row>
    <row r="535" spans="1:1" ht="12.5" x14ac:dyDescent="0.25">
      <c r="A535" s="24"/>
    </row>
    <row r="536" spans="1:1" ht="12.5" x14ac:dyDescent="0.25">
      <c r="A536" s="24"/>
    </row>
    <row r="537" spans="1:1" ht="12.5" x14ac:dyDescent="0.25">
      <c r="A537" s="24"/>
    </row>
    <row r="538" spans="1:1" ht="12.5" x14ac:dyDescent="0.25">
      <c r="A538" s="24"/>
    </row>
    <row r="539" spans="1:1" ht="12.5" x14ac:dyDescent="0.25">
      <c r="A539" s="24"/>
    </row>
    <row r="540" spans="1:1" ht="12.5" x14ac:dyDescent="0.25">
      <c r="A540" s="24"/>
    </row>
    <row r="541" spans="1:1" ht="12.5" x14ac:dyDescent="0.25">
      <c r="A541" s="24"/>
    </row>
    <row r="542" spans="1:1" ht="12.5" x14ac:dyDescent="0.25">
      <c r="A542" s="24"/>
    </row>
    <row r="543" spans="1:1" ht="12.5" x14ac:dyDescent="0.25">
      <c r="A543" s="24"/>
    </row>
    <row r="544" spans="1:1" ht="12.5" x14ac:dyDescent="0.25">
      <c r="A544" s="24"/>
    </row>
    <row r="545" spans="1:1" ht="12.5" x14ac:dyDescent="0.25">
      <c r="A545" s="24"/>
    </row>
    <row r="546" spans="1:1" ht="12.5" x14ac:dyDescent="0.25">
      <c r="A546" s="24"/>
    </row>
    <row r="547" spans="1:1" ht="12.5" x14ac:dyDescent="0.25">
      <c r="A547" s="24"/>
    </row>
    <row r="548" spans="1:1" ht="12.5" x14ac:dyDescent="0.25">
      <c r="A548" s="24"/>
    </row>
    <row r="549" spans="1:1" ht="12.5" x14ac:dyDescent="0.25">
      <c r="A549" s="24"/>
    </row>
    <row r="550" spans="1:1" ht="12.5" x14ac:dyDescent="0.25">
      <c r="A550" s="24"/>
    </row>
    <row r="551" spans="1:1" ht="12.5" x14ac:dyDescent="0.25">
      <c r="A551" s="24"/>
    </row>
    <row r="552" spans="1:1" ht="12.5" x14ac:dyDescent="0.25">
      <c r="A552" s="24"/>
    </row>
    <row r="553" spans="1:1" ht="12.5" x14ac:dyDescent="0.25">
      <c r="A553" s="24"/>
    </row>
    <row r="554" spans="1:1" ht="12.5" x14ac:dyDescent="0.25">
      <c r="A554" s="24"/>
    </row>
    <row r="555" spans="1:1" ht="12.5" x14ac:dyDescent="0.25">
      <c r="A555" s="24"/>
    </row>
    <row r="556" spans="1:1" ht="12.5" x14ac:dyDescent="0.25">
      <c r="A556" s="24"/>
    </row>
    <row r="557" spans="1:1" ht="12.5" x14ac:dyDescent="0.25">
      <c r="A557" s="24"/>
    </row>
    <row r="558" spans="1:1" ht="12.5" x14ac:dyDescent="0.25">
      <c r="A558" s="24"/>
    </row>
    <row r="559" spans="1:1" ht="12.5" x14ac:dyDescent="0.25">
      <c r="A559" s="24"/>
    </row>
    <row r="560" spans="1:1" ht="12.5" x14ac:dyDescent="0.25">
      <c r="A560" s="24"/>
    </row>
    <row r="561" spans="1:1" ht="12.5" x14ac:dyDescent="0.25">
      <c r="A561" s="24"/>
    </row>
    <row r="562" spans="1:1" ht="12.5" x14ac:dyDescent="0.25">
      <c r="A562" s="24"/>
    </row>
    <row r="563" spans="1:1" ht="12.5" x14ac:dyDescent="0.25">
      <c r="A563" s="24"/>
    </row>
    <row r="564" spans="1:1" ht="12.5" x14ac:dyDescent="0.25">
      <c r="A564" s="24"/>
    </row>
    <row r="565" spans="1:1" ht="12.5" x14ac:dyDescent="0.25">
      <c r="A565" s="24"/>
    </row>
    <row r="566" spans="1:1" ht="12.5" x14ac:dyDescent="0.25">
      <c r="A566" s="24"/>
    </row>
    <row r="567" spans="1:1" ht="12.5" x14ac:dyDescent="0.25">
      <c r="A567" s="24"/>
    </row>
    <row r="568" spans="1:1" ht="12.5" x14ac:dyDescent="0.25">
      <c r="A568" s="24"/>
    </row>
    <row r="569" spans="1:1" ht="12.5" x14ac:dyDescent="0.25">
      <c r="A569" s="24"/>
    </row>
    <row r="570" spans="1:1" ht="12.5" x14ac:dyDescent="0.25">
      <c r="A570" s="24"/>
    </row>
    <row r="571" spans="1:1" ht="12.5" x14ac:dyDescent="0.25">
      <c r="A571" s="24"/>
    </row>
    <row r="572" spans="1:1" ht="12.5" x14ac:dyDescent="0.25">
      <c r="A572" s="24"/>
    </row>
    <row r="573" spans="1:1" ht="12.5" x14ac:dyDescent="0.25">
      <c r="A573" s="24"/>
    </row>
    <row r="574" spans="1:1" ht="12.5" x14ac:dyDescent="0.25">
      <c r="A574" s="24"/>
    </row>
    <row r="575" spans="1:1" ht="12.5" x14ac:dyDescent="0.25">
      <c r="A575" s="24"/>
    </row>
    <row r="576" spans="1:1" ht="12.5" x14ac:dyDescent="0.25">
      <c r="A576" s="24"/>
    </row>
    <row r="577" spans="1:1" ht="12.5" x14ac:dyDescent="0.25">
      <c r="A577" s="24"/>
    </row>
    <row r="578" spans="1:1" ht="12.5" x14ac:dyDescent="0.25">
      <c r="A578" s="24"/>
    </row>
    <row r="579" spans="1:1" ht="12.5" x14ac:dyDescent="0.25">
      <c r="A579" s="24"/>
    </row>
    <row r="580" spans="1:1" ht="12.5" x14ac:dyDescent="0.25">
      <c r="A580" s="24"/>
    </row>
    <row r="581" spans="1:1" ht="12.5" x14ac:dyDescent="0.25">
      <c r="A581" s="24"/>
    </row>
    <row r="582" spans="1:1" ht="12.5" x14ac:dyDescent="0.25">
      <c r="A582" s="24"/>
    </row>
    <row r="583" spans="1:1" ht="12.5" x14ac:dyDescent="0.25">
      <c r="A583" s="24"/>
    </row>
    <row r="584" spans="1:1" ht="12.5" x14ac:dyDescent="0.25">
      <c r="A584" s="24"/>
    </row>
    <row r="585" spans="1:1" ht="12.5" x14ac:dyDescent="0.25">
      <c r="A585" s="24"/>
    </row>
    <row r="586" spans="1:1" ht="12.5" x14ac:dyDescent="0.25">
      <c r="A586" s="24"/>
    </row>
    <row r="587" spans="1:1" ht="12.5" x14ac:dyDescent="0.25">
      <c r="A587" s="24"/>
    </row>
    <row r="588" spans="1:1" ht="12.5" x14ac:dyDescent="0.25">
      <c r="A588" s="24"/>
    </row>
    <row r="589" spans="1:1" ht="12.5" x14ac:dyDescent="0.25">
      <c r="A589" s="24"/>
    </row>
    <row r="590" spans="1:1" ht="12.5" x14ac:dyDescent="0.25">
      <c r="A590" s="24"/>
    </row>
    <row r="591" spans="1:1" ht="12.5" x14ac:dyDescent="0.25">
      <c r="A591" s="24"/>
    </row>
    <row r="592" spans="1:1" ht="12.5" x14ac:dyDescent="0.25">
      <c r="A592" s="24"/>
    </row>
    <row r="593" spans="1:1" ht="12.5" x14ac:dyDescent="0.25">
      <c r="A593" s="24"/>
    </row>
    <row r="594" spans="1:1" ht="12.5" x14ac:dyDescent="0.25">
      <c r="A594" s="24"/>
    </row>
    <row r="595" spans="1:1" ht="12.5" x14ac:dyDescent="0.25">
      <c r="A595" s="24"/>
    </row>
    <row r="596" spans="1:1" ht="12.5" x14ac:dyDescent="0.25">
      <c r="A596" s="24"/>
    </row>
    <row r="597" spans="1:1" ht="12.5" x14ac:dyDescent="0.25">
      <c r="A597" s="24"/>
    </row>
    <row r="598" spans="1:1" ht="12.5" x14ac:dyDescent="0.25">
      <c r="A598" s="24"/>
    </row>
    <row r="599" spans="1:1" ht="12.5" x14ac:dyDescent="0.25">
      <c r="A599" s="24"/>
    </row>
    <row r="600" spans="1:1" ht="12.5" x14ac:dyDescent="0.25">
      <c r="A600" s="24"/>
    </row>
    <row r="601" spans="1:1" ht="12.5" x14ac:dyDescent="0.25">
      <c r="A601" s="24"/>
    </row>
    <row r="602" spans="1:1" ht="12.5" x14ac:dyDescent="0.25">
      <c r="A602" s="24"/>
    </row>
    <row r="603" spans="1:1" ht="12.5" x14ac:dyDescent="0.25">
      <c r="A603" s="24"/>
    </row>
    <row r="604" spans="1:1" ht="12.5" x14ac:dyDescent="0.25">
      <c r="A604" s="24"/>
    </row>
    <row r="605" spans="1:1" ht="12.5" x14ac:dyDescent="0.25">
      <c r="A605" s="24"/>
    </row>
    <row r="606" spans="1:1" ht="12.5" x14ac:dyDescent="0.25">
      <c r="A606" s="24"/>
    </row>
    <row r="607" spans="1:1" ht="12.5" x14ac:dyDescent="0.25">
      <c r="A607" s="24"/>
    </row>
    <row r="608" spans="1:1" ht="12.5" x14ac:dyDescent="0.25">
      <c r="A608" s="24"/>
    </row>
    <row r="609" spans="1:1" ht="12.5" x14ac:dyDescent="0.25">
      <c r="A609" s="24"/>
    </row>
    <row r="610" spans="1:1" ht="12.5" x14ac:dyDescent="0.25">
      <c r="A610" s="24"/>
    </row>
    <row r="611" spans="1:1" ht="12.5" x14ac:dyDescent="0.25">
      <c r="A611" s="24"/>
    </row>
    <row r="612" spans="1:1" ht="12.5" x14ac:dyDescent="0.25">
      <c r="A612" s="24"/>
    </row>
    <row r="613" spans="1:1" ht="12.5" x14ac:dyDescent="0.25">
      <c r="A613" s="24"/>
    </row>
    <row r="614" spans="1:1" ht="12.5" x14ac:dyDescent="0.25">
      <c r="A614" s="24"/>
    </row>
    <row r="615" spans="1:1" ht="12.5" x14ac:dyDescent="0.25">
      <c r="A615" s="24"/>
    </row>
    <row r="616" spans="1:1" ht="12.5" x14ac:dyDescent="0.25">
      <c r="A616" s="24"/>
    </row>
    <row r="617" spans="1:1" ht="12.5" x14ac:dyDescent="0.25">
      <c r="A617" s="24"/>
    </row>
    <row r="618" spans="1:1" ht="12.5" x14ac:dyDescent="0.25">
      <c r="A618" s="24"/>
    </row>
    <row r="619" spans="1:1" ht="12.5" x14ac:dyDescent="0.25">
      <c r="A619" s="24"/>
    </row>
    <row r="620" spans="1:1" ht="12.5" x14ac:dyDescent="0.25">
      <c r="A620" s="24"/>
    </row>
    <row r="621" spans="1:1" ht="12.5" x14ac:dyDescent="0.25">
      <c r="A621" s="24"/>
    </row>
    <row r="622" spans="1:1" ht="12.5" x14ac:dyDescent="0.25">
      <c r="A622" s="24"/>
    </row>
    <row r="623" spans="1:1" ht="12.5" x14ac:dyDescent="0.25">
      <c r="A623" s="24"/>
    </row>
    <row r="624" spans="1:1" ht="12.5" x14ac:dyDescent="0.25">
      <c r="A624" s="24"/>
    </row>
    <row r="625" spans="1:1" ht="12.5" x14ac:dyDescent="0.25">
      <c r="A625" s="24"/>
    </row>
    <row r="626" spans="1:1" ht="12.5" x14ac:dyDescent="0.25">
      <c r="A626" s="24"/>
    </row>
    <row r="627" spans="1:1" ht="12.5" x14ac:dyDescent="0.25">
      <c r="A627" s="24"/>
    </row>
    <row r="628" spans="1:1" ht="12.5" x14ac:dyDescent="0.25">
      <c r="A628" s="24"/>
    </row>
    <row r="629" spans="1:1" ht="12.5" x14ac:dyDescent="0.25">
      <c r="A629" s="24"/>
    </row>
    <row r="630" spans="1:1" ht="12.5" x14ac:dyDescent="0.25">
      <c r="A630" s="24"/>
    </row>
    <row r="631" spans="1:1" ht="12.5" x14ac:dyDescent="0.25">
      <c r="A631" s="24"/>
    </row>
    <row r="632" spans="1:1" ht="12.5" x14ac:dyDescent="0.25">
      <c r="A632" s="24"/>
    </row>
    <row r="633" spans="1:1" ht="12.5" x14ac:dyDescent="0.25">
      <c r="A633" s="24"/>
    </row>
    <row r="634" spans="1:1" ht="12.5" x14ac:dyDescent="0.25">
      <c r="A634" s="24"/>
    </row>
    <row r="635" spans="1:1" ht="12.5" x14ac:dyDescent="0.25">
      <c r="A635" s="24"/>
    </row>
    <row r="636" spans="1:1" ht="12.5" x14ac:dyDescent="0.25">
      <c r="A636" s="24"/>
    </row>
    <row r="637" spans="1:1" ht="12.5" x14ac:dyDescent="0.25">
      <c r="A637" s="24"/>
    </row>
    <row r="638" spans="1:1" ht="12.5" x14ac:dyDescent="0.25">
      <c r="A638" s="24"/>
    </row>
    <row r="639" spans="1:1" ht="12.5" x14ac:dyDescent="0.25">
      <c r="A639" s="24"/>
    </row>
    <row r="640" spans="1:1" ht="12.5" x14ac:dyDescent="0.25">
      <c r="A640" s="24"/>
    </row>
    <row r="641" spans="1:1" ht="12.5" x14ac:dyDescent="0.25">
      <c r="A641" s="24"/>
    </row>
    <row r="642" spans="1:1" ht="12.5" x14ac:dyDescent="0.25">
      <c r="A642" s="24"/>
    </row>
    <row r="643" spans="1:1" ht="12.5" x14ac:dyDescent="0.25">
      <c r="A643" s="24"/>
    </row>
    <row r="644" spans="1:1" ht="12.5" x14ac:dyDescent="0.25">
      <c r="A644" s="24"/>
    </row>
    <row r="645" spans="1:1" ht="12.5" x14ac:dyDescent="0.25">
      <c r="A645" s="24"/>
    </row>
    <row r="646" spans="1:1" ht="12.5" x14ac:dyDescent="0.25">
      <c r="A646" s="24"/>
    </row>
    <row r="647" spans="1:1" ht="12.5" x14ac:dyDescent="0.25">
      <c r="A647" s="24"/>
    </row>
    <row r="648" spans="1:1" ht="12.5" x14ac:dyDescent="0.25">
      <c r="A648" s="24"/>
    </row>
    <row r="649" spans="1:1" ht="12.5" x14ac:dyDescent="0.25">
      <c r="A649" s="24"/>
    </row>
    <row r="650" spans="1:1" ht="12.5" x14ac:dyDescent="0.25">
      <c r="A650" s="24"/>
    </row>
    <row r="651" spans="1:1" ht="12.5" x14ac:dyDescent="0.25">
      <c r="A651" s="24"/>
    </row>
    <row r="652" spans="1:1" ht="12.5" x14ac:dyDescent="0.25">
      <c r="A652" s="24"/>
    </row>
    <row r="653" spans="1:1" ht="12.5" x14ac:dyDescent="0.25">
      <c r="A653" s="24"/>
    </row>
    <row r="654" spans="1:1" ht="12.5" x14ac:dyDescent="0.25">
      <c r="A654" s="24"/>
    </row>
    <row r="655" spans="1:1" ht="12.5" x14ac:dyDescent="0.25">
      <c r="A655" s="24"/>
    </row>
    <row r="656" spans="1:1" ht="12.5" x14ac:dyDescent="0.25">
      <c r="A656" s="24"/>
    </row>
    <row r="657" spans="1:1" ht="12.5" x14ac:dyDescent="0.25">
      <c r="A657" s="24"/>
    </row>
    <row r="658" spans="1:1" ht="12.5" x14ac:dyDescent="0.25">
      <c r="A658" s="24"/>
    </row>
    <row r="659" spans="1:1" ht="12.5" x14ac:dyDescent="0.25">
      <c r="A659" s="24"/>
    </row>
    <row r="660" spans="1:1" ht="12.5" x14ac:dyDescent="0.25">
      <c r="A660" s="24"/>
    </row>
    <row r="661" spans="1:1" ht="12.5" x14ac:dyDescent="0.25">
      <c r="A661" s="24"/>
    </row>
    <row r="662" spans="1:1" ht="12.5" x14ac:dyDescent="0.25">
      <c r="A662" s="24"/>
    </row>
    <row r="663" spans="1:1" ht="12.5" x14ac:dyDescent="0.25">
      <c r="A663" s="24"/>
    </row>
    <row r="664" spans="1:1" ht="12.5" x14ac:dyDescent="0.25">
      <c r="A664" s="24"/>
    </row>
    <row r="665" spans="1:1" ht="12.5" x14ac:dyDescent="0.25">
      <c r="A665" s="24"/>
    </row>
    <row r="666" spans="1:1" ht="12.5" x14ac:dyDescent="0.25">
      <c r="A666" s="24"/>
    </row>
    <row r="667" spans="1:1" ht="12.5" x14ac:dyDescent="0.25">
      <c r="A667" s="24"/>
    </row>
    <row r="668" spans="1:1" ht="12.5" x14ac:dyDescent="0.25">
      <c r="A668" s="24"/>
    </row>
    <row r="669" spans="1:1" ht="12.5" x14ac:dyDescent="0.25">
      <c r="A669" s="24"/>
    </row>
    <row r="670" spans="1:1" ht="12.5" x14ac:dyDescent="0.25">
      <c r="A670" s="24"/>
    </row>
    <row r="671" spans="1:1" ht="12.5" x14ac:dyDescent="0.25">
      <c r="A671" s="24"/>
    </row>
    <row r="672" spans="1:1" ht="12.5" x14ac:dyDescent="0.25">
      <c r="A672" s="24"/>
    </row>
    <row r="673" spans="1:1" ht="12.5" x14ac:dyDescent="0.25">
      <c r="A673" s="24"/>
    </row>
    <row r="674" spans="1:1" ht="12.5" x14ac:dyDescent="0.25">
      <c r="A674" s="24"/>
    </row>
    <row r="675" spans="1:1" ht="12.5" x14ac:dyDescent="0.25">
      <c r="A675" s="24"/>
    </row>
    <row r="676" spans="1:1" ht="12.5" x14ac:dyDescent="0.25">
      <c r="A676" s="24"/>
    </row>
    <row r="677" spans="1:1" ht="12.5" x14ac:dyDescent="0.25">
      <c r="A677" s="24"/>
    </row>
    <row r="678" spans="1:1" ht="12.5" x14ac:dyDescent="0.25">
      <c r="A678" s="24"/>
    </row>
    <row r="679" spans="1:1" ht="12.5" x14ac:dyDescent="0.25">
      <c r="A679" s="24"/>
    </row>
    <row r="680" spans="1:1" ht="12.5" x14ac:dyDescent="0.25">
      <c r="A680" s="24"/>
    </row>
    <row r="681" spans="1:1" ht="12.5" x14ac:dyDescent="0.25">
      <c r="A681" s="24"/>
    </row>
    <row r="682" spans="1:1" ht="12.5" x14ac:dyDescent="0.25">
      <c r="A682" s="24"/>
    </row>
    <row r="683" spans="1:1" ht="12.5" x14ac:dyDescent="0.25">
      <c r="A683" s="24"/>
    </row>
    <row r="684" spans="1:1" ht="12.5" x14ac:dyDescent="0.25">
      <c r="A684" s="24"/>
    </row>
    <row r="685" spans="1:1" ht="12.5" x14ac:dyDescent="0.25">
      <c r="A685" s="24"/>
    </row>
    <row r="686" spans="1:1" ht="12.5" x14ac:dyDescent="0.25">
      <c r="A686" s="24"/>
    </row>
    <row r="687" spans="1:1" ht="12.5" x14ac:dyDescent="0.25">
      <c r="A687" s="24"/>
    </row>
    <row r="688" spans="1:1" ht="12.5" x14ac:dyDescent="0.25">
      <c r="A688" s="24"/>
    </row>
    <row r="689" spans="1:1" ht="12.5" x14ac:dyDescent="0.25">
      <c r="A689" s="24"/>
    </row>
    <row r="690" spans="1:1" ht="12.5" x14ac:dyDescent="0.25">
      <c r="A690" s="24"/>
    </row>
    <row r="691" spans="1:1" ht="12.5" x14ac:dyDescent="0.25">
      <c r="A691" s="24"/>
    </row>
    <row r="692" spans="1:1" ht="12.5" x14ac:dyDescent="0.25">
      <c r="A692" s="24"/>
    </row>
    <row r="693" spans="1:1" ht="12.5" x14ac:dyDescent="0.25">
      <c r="A693" s="24"/>
    </row>
    <row r="694" spans="1:1" ht="12.5" x14ac:dyDescent="0.25">
      <c r="A694" s="24"/>
    </row>
    <row r="695" spans="1:1" ht="12.5" x14ac:dyDescent="0.25">
      <c r="A695" s="24"/>
    </row>
    <row r="696" spans="1:1" ht="12.5" x14ac:dyDescent="0.25">
      <c r="A696" s="24"/>
    </row>
    <row r="697" spans="1:1" ht="12.5" x14ac:dyDescent="0.25">
      <c r="A697" s="24"/>
    </row>
    <row r="698" spans="1:1" ht="12.5" x14ac:dyDescent="0.25">
      <c r="A698" s="24"/>
    </row>
    <row r="699" spans="1:1" ht="12.5" x14ac:dyDescent="0.25">
      <c r="A699" s="24"/>
    </row>
    <row r="700" spans="1:1" ht="12.5" x14ac:dyDescent="0.25">
      <c r="A700" s="24"/>
    </row>
    <row r="701" spans="1:1" ht="12.5" x14ac:dyDescent="0.25">
      <c r="A701" s="24"/>
    </row>
    <row r="702" spans="1:1" ht="12.5" x14ac:dyDescent="0.25">
      <c r="A702" s="24"/>
    </row>
    <row r="703" spans="1:1" ht="12.5" x14ac:dyDescent="0.25">
      <c r="A703" s="24"/>
    </row>
    <row r="704" spans="1:1" ht="12.5" x14ac:dyDescent="0.25">
      <c r="A704" s="24"/>
    </row>
    <row r="705" spans="1:1" ht="12.5" x14ac:dyDescent="0.25">
      <c r="A705" s="24"/>
    </row>
    <row r="706" spans="1:1" ht="12.5" x14ac:dyDescent="0.25">
      <c r="A706" s="24"/>
    </row>
    <row r="707" spans="1:1" ht="12.5" x14ac:dyDescent="0.25">
      <c r="A707" s="24"/>
    </row>
    <row r="708" spans="1:1" ht="12.5" x14ac:dyDescent="0.25">
      <c r="A708" s="24"/>
    </row>
    <row r="709" spans="1:1" ht="12.5" x14ac:dyDescent="0.25">
      <c r="A709" s="24"/>
    </row>
    <row r="710" spans="1:1" ht="12.5" x14ac:dyDescent="0.25">
      <c r="A710" s="24"/>
    </row>
    <row r="711" spans="1:1" ht="12.5" x14ac:dyDescent="0.25">
      <c r="A711" s="24"/>
    </row>
    <row r="712" spans="1:1" ht="12.5" x14ac:dyDescent="0.25">
      <c r="A712" s="24"/>
    </row>
    <row r="713" spans="1:1" ht="12.5" x14ac:dyDescent="0.25">
      <c r="A713" s="24"/>
    </row>
    <row r="714" spans="1:1" ht="12.5" x14ac:dyDescent="0.25">
      <c r="A714" s="24"/>
    </row>
    <row r="715" spans="1:1" ht="12.5" x14ac:dyDescent="0.25">
      <c r="A715" s="24"/>
    </row>
    <row r="716" spans="1:1" ht="12.5" x14ac:dyDescent="0.25">
      <c r="A716" s="24"/>
    </row>
    <row r="717" spans="1:1" ht="12.5" x14ac:dyDescent="0.25">
      <c r="A717" s="24"/>
    </row>
    <row r="718" spans="1:1" ht="12.5" x14ac:dyDescent="0.25">
      <c r="A718" s="24"/>
    </row>
    <row r="719" spans="1:1" ht="12.5" x14ac:dyDescent="0.25">
      <c r="A719" s="24"/>
    </row>
    <row r="720" spans="1:1" ht="12.5" x14ac:dyDescent="0.25">
      <c r="A720" s="24"/>
    </row>
    <row r="721" spans="1:1" ht="12.5" x14ac:dyDescent="0.25">
      <c r="A721" s="24"/>
    </row>
    <row r="722" spans="1:1" ht="12.5" x14ac:dyDescent="0.25">
      <c r="A722" s="24"/>
    </row>
    <row r="723" spans="1:1" ht="12.5" x14ac:dyDescent="0.25">
      <c r="A723" s="24"/>
    </row>
    <row r="724" spans="1:1" ht="12.5" x14ac:dyDescent="0.25">
      <c r="A724" s="24"/>
    </row>
    <row r="725" spans="1:1" ht="12.5" x14ac:dyDescent="0.25">
      <c r="A725" s="24"/>
    </row>
    <row r="726" spans="1:1" ht="12.5" x14ac:dyDescent="0.25">
      <c r="A726" s="24"/>
    </row>
    <row r="727" spans="1:1" ht="12.5" x14ac:dyDescent="0.25">
      <c r="A727" s="24"/>
    </row>
    <row r="728" spans="1:1" ht="12.5" x14ac:dyDescent="0.25">
      <c r="A728" s="24"/>
    </row>
    <row r="729" spans="1:1" ht="12.5" x14ac:dyDescent="0.25">
      <c r="A729" s="24"/>
    </row>
    <row r="730" spans="1:1" ht="12.5" x14ac:dyDescent="0.25">
      <c r="A730" s="24"/>
    </row>
    <row r="731" spans="1:1" ht="12.5" x14ac:dyDescent="0.25">
      <c r="A731" s="24"/>
    </row>
    <row r="732" spans="1:1" ht="12.5" x14ac:dyDescent="0.25">
      <c r="A732" s="24"/>
    </row>
    <row r="733" spans="1:1" ht="12.5" x14ac:dyDescent="0.25">
      <c r="A733" s="24"/>
    </row>
    <row r="734" spans="1:1" ht="12.5" x14ac:dyDescent="0.25">
      <c r="A734" s="24"/>
    </row>
    <row r="735" spans="1:1" ht="12.5" x14ac:dyDescent="0.25">
      <c r="A735" s="24"/>
    </row>
    <row r="736" spans="1:1" ht="12.5" x14ac:dyDescent="0.25">
      <c r="A736" s="24"/>
    </row>
    <row r="737" spans="1:1" ht="12.5" x14ac:dyDescent="0.25">
      <c r="A737" s="24"/>
    </row>
    <row r="738" spans="1:1" ht="12.5" x14ac:dyDescent="0.25">
      <c r="A738" s="24"/>
    </row>
    <row r="739" spans="1:1" ht="12.5" x14ac:dyDescent="0.25">
      <c r="A739" s="24"/>
    </row>
    <row r="740" spans="1:1" ht="12.5" x14ac:dyDescent="0.25">
      <c r="A740" s="24"/>
    </row>
    <row r="741" spans="1:1" ht="12.5" x14ac:dyDescent="0.25">
      <c r="A741" s="24"/>
    </row>
    <row r="742" spans="1:1" ht="12.5" x14ac:dyDescent="0.25">
      <c r="A742" s="24"/>
    </row>
    <row r="743" spans="1:1" ht="12.5" x14ac:dyDescent="0.25">
      <c r="A743" s="24"/>
    </row>
    <row r="744" spans="1:1" ht="12.5" x14ac:dyDescent="0.25">
      <c r="A744" s="24"/>
    </row>
    <row r="745" spans="1:1" ht="12.5" x14ac:dyDescent="0.25">
      <c r="A745" s="24"/>
    </row>
    <row r="746" spans="1:1" ht="12.5" x14ac:dyDescent="0.25">
      <c r="A746" s="24"/>
    </row>
    <row r="747" spans="1:1" ht="12.5" x14ac:dyDescent="0.25">
      <c r="A747" s="24"/>
    </row>
    <row r="748" spans="1:1" ht="12.5" x14ac:dyDescent="0.25">
      <c r="A748" s="24"/>
    </row>
    <row r="749" spans="1:1" ht="12.5" x14ac:dyDescent="0.25">
      <c r="A749" s="24"/>
    </row>
    <row r="750" spans="1:1" ht="12.5" x14ac:dyDescent="0.25">
      <c r="A750" s="24"/>
    </row>
    <row r="751" spans="1:1" ht="12.5" x14ac:dyDescent="0.25">
      <c r="A751" s="24"/>
    </row>
    <row r="752" spans="1:1" ht="12.5" x14ac:dyDescent="0.25">
      <c r="A752" s="24"/>
    </row>
    <row r="753" spans="1:1" ht="12.5" x14ac:dyDescent="0.25">
      <c r="A753" s="24"/>
    </row>
    <row r="754" spans="1:1" ht="12.5" x14ac:dyDescent="0.25">
      <c r="A754" s="24"/>
    </row>
    <row r="755" spans="1:1" ht="12.5" x14ac:dyDescent="0.25">
      <c r="A755" s="24"/>
    </row>
    <row r="756" spans="1:1" ht="12.5" x14ac:dyDescent="0.25">
      <c r="A756" s="24"/>
    </row>
    <row r="757" spans="1:1" ht="12.5" x14ac:dyDescent="0.25">
      <c r="A757" s="24"/>
    </row>
    <row r="758" spans="1:1" ht="12.5" x14ac:dyDescent="0.25">
      <c r="A758" s="24"/>
    </row>
    <row r="759" spans="1:1" ht="12.5" x14ac:dyDescent="0.25">
      <c r="A759" s="24"/>
    </row>
    <row r="760" spans="1:1" ht="12.5" x14ac:dyDescent="0.25">
      <c r="A760" s="24"/>
    </row>
    <row r="761" spans="1:1" ht="12.5" x14ac:dyDescent="0.25">
      <c r="A761" s="24"/>
    </row>
    <row r="762" spans="1:1" ht="12.5" x14ac:dyDescent="0.25">
      <c r="A762" s="24"/>
    </row>
    <row r="763" spans="1:1" ht="12.5" x14ac:dyDescent="0.25">
      <c r="A763" s="24"/>
    </row>
    <row r="764" spans="1:1" ht="12.5" x14ac:dyDescent="0.25">
      <c r="A764" s="24"/>
    </row>
    <row r="765" spans="1:1" ht="12.5" x14ac:dyDescent="0.25">
      <c r="A765" s="24"/>
    </row>
    <row r="766" spans="1:1" ht="12.5" x14ac:dyDescent="0.25">
      <c r="A766" s="24"/>
    </row>
    <row r="767" spans="1:1" ht="12.5" x14ac:dyDescent="0.25">
      <c r="A767" s="24"/>
    </row>
    <row r="768" spans="1:1" ht="12.5" x14ac:dyDescent="0.25">
      <c r="A768" s="24"/>
    </row>
    <row r="769" spans="1:1" ht="12.5" x14ac:dyDescent="0.25">
      <c r="A769" s="24"/>
    </row>
    <row r="770" spans="1:1" ht="12.5" x14ac:dyDescent="0.25">
      <c r="A770" s="24"/>
    </row>
    <row r="771" spans="1:1" ht="12.5" x14ac:dyDescent="0.25">
      <c r="A771" s="24"/>
    </row>
    <row r="772" spans="1:1" ht="12.5" x14ac:dyDescent="0.25">
      <c r="A772" s="24"/>
    </row>
    <row r="773" spans="1:1" ht="12.5" x14ac:dyDescent="0.25">
      <c r="A773" s="24"/>
    </row>
    <row r="774" spans="1:1" ht="12.5" x14ac:dyDescent="0.25">
      <c r="A774" s="24"/>
    </row>
    <row r="775" spans="1:1" ht="12.5" x14ac:dyDescent="0.25">
      <c r="A775" s="24"/>
    </row>
    <row r="776" spans="1:1" ht="12.5" x14ac:dyDescent="0.25">
      <c r="A776" s="24"/>
    </row>
    <row r="777" spans="1:1" ht="12.5" x14ac:dyDescent="0.25">
      <c r="A777" s="24"/>
    </row>
    <row r="778" spans="1:1" ht="12.5" x14ac:dyDescent="0.25">
      <c r="A778" s="24"/>
    </row>
    <row r="779" spans="1:1" ht="12.5" x14ac:dyDescent="0.25">
      <c r="A779" s="24"/>
    </row>
    <row r="780" spans="1:1" ht="12.5" x14ac:dyDescent="0.25">
      <c r="A780" s="24"/>
    </row>
    <row r="781" spans="1:1" ht="12.5" x14ac:dyDescent="0.25">
      <c r="A781" s="24"/>
    </row>
    <row r="782" spans="1:1" ht="12.5" x14ac:dyDescent="0.25">
      <c r="A782" s="24"/>
    </row>
    <row r="783" spans="1:1" ht="12.5" x14ac:dyDescent="0.25">
      <c r="A783" s="24"/>
    </row>
    <row r="784" spans="1:1" ht="12.5" x14ac:dyDescent="0.25">
      <c r="A784" s="24"/>
    </row>
    <row r="785" spans="1:1" ht="12.5" x14ac:dyDescent="0.25">
      <c r="A785" s="24"/>
    </row>
    <row r="786" spans="1:1" ht="12.5" x14ac:dyDescent="0.25">
      <c r="A786" s="24"/>
    </row>
    <row r="787" spans="1:1" ht="12.5" x14ac:dyDescent="0.25">
      <c r="A787" s="24"/>
    </row>
    <row r="788" spans="1:1" ht="12.5" x14ac:dyDescent="0.25">
      <c r="A788" s="24"/>
    </row>
    <row r="789" spans="1:1" ht="12.5" x14ac:dyDescent="0.25">
      <c r="A789" s="24"/>
    </row>
    <row r="790" spans="1:1" ht="12.5" x14ac:dyDescent="0.25">
      <c r="A790" s="24"/>
    </row>
    <row r="791" spans="1:1" ht="12.5" x14ac:dyDescent="0.25">
      <c r="A791" s="24"/>
    </row>
    <row r="792" spans="1:1" ht="12.5" x14ac:dyDescent="0.25">
      <c r="A792" s="24"/>
    </row>
    <row r="793" spans="1:1" ht="12.5" x14ac:dyDescent="0.25">
      <c r="A793" s="24"/>
    </row>
    <row r="794" spans="1:1" ht="12.5" x14ac:dyDescent="0.25">
      <c r="A794" s="24"/>
    </row>
    <row r="795" spans="1:1" ht="12.5" x14ac:dyDescent="0.25">
      <c r="A795" s="24"/>
    </row>
    <row r="796" spans="1:1" ht="12.5" x14ac:dyDescent="0.25">
      <c r="A796" s="24"/>
    </row>
    <row r="797" spans="1:1" ht="12.5" x14ac:dyDescent="0.25">
      <c r="A797" s="24"/>
    </row>
    <row r="798" spans="1:1" ht="12.5" x14ac:dyDescent="0.25">
      <c r="A798" s="24"/>
    </row>
    <row r="799" spans="1:1" ht="12.5" x14ac:dyDescent="0.25">
      <c r="A799" s="24"/>
    </row>
    <row r="800" spans="1:1" ht="12.5" x14ac:dyDescent="0.25">
      <c r="A800" s="24"/>
    </row>
    <row r="801" spans="1:1" ht="12.5" x14ac:dyDescent="0.25">
      <c r="A801" s="24"/>
    </row>
    <row r="802" spans="1:1" ht="12.5" x14ac:dyDescent="0.25">
      <c r="A802" s="24"/>
    </row>
    <row r="803" spans="1:1" ht="12.5" x14ac:dyDescent="0.25">
      <c r="A803" s="24"/>
    </row>
    <row r="804" spans="1:1" ht="12.5" x14ac:dyDescent="0.25">
      <c r="A804" s="24"/>
    </row>
    <row r="805" spans="1:1" ht="12.5" x14ac:dyDescent="0.25">
      <c r="A805" s="24"/>
    </row>
    <row r="806" spans="1:1" ht="12.5" x14ac:dyDescent="0.25">
      <c r="A806" s="24"/>
    </row>
    <row r="807" spans="1:1" ht="12.5" x14ac:dyDescent="0.25">
      <c r="A807" s="24"/>
    </row>
    <row r="808" spans="1:1" ht="12.5" x14ac:dyDescent="0.25">
      <c r="A808" s="24"/>
    </row>
    <row r="809" spans="1:1" ht="12.5" x14ac:dyDescent="0.25">
      <c r="A809" s="24"/>
    </row>
    <row r="810" spans="1:1" ht="12.5" x14ac:dyDescent="0.25">
      <c r="A810" s="24"/>
    </row>
    <row r="811" spans="1:1" ht="12.5" x14ac:dyDescent="0.25">
      <c r="A811" s="24"/>
    </row>
    <row r="812" spans="1:1" ht="12.5" x14ac:dyDescent="0.25">
      <c r="A812" s="24"/>
    </row>
    <row r="813" spans="1:1" ht="12.5" x14ac:dyDescent="0.25">
      <c r="A813" s="24"/>
    </row>
    <row r="814" spans="1:1" ht="12.5" x14ac:dyDescent="0.25">
      <c r="A814" s="24"/>
    </row>
    <row r="815" spans="1:1" ht="12.5" x14ac:dyDescent="0.25">
      <c r="A815" s="24"/>
    </row>
    <row r="816" spans="1:1" ht="12.5" x14ac:dyDescent="0.25">
      <c r="A816" s="24"/>
    </row>
    <row r="817" spans="1:1" ht="12.5" x14ac:dyDescent="0.25">
      <c r="A817" s="24"/>
    </row>
    <row r="818" spans="1:1" ht="12.5" x14ac:dyDescent="0.25">
      <c r="A818" s="24"/>
    </row>
    <row r="819" spans="1:1" ht="12.5" x14ac:dyDescent="0.25">
      <c r="A819" s="24"/>
    </row>
    <row r="820" spans="1:1" ht="12.5" x14ac:dyDescent="0.25">
      <c r="A820" s="24"/>
    </row>
    <row r="821" spans="1:1" ht="12.5" x14ac:dyDescent="0.25">
      <c r="A821" s="24"/>
    </row>
    <row r="822" spans="1:1" ht="12.5" x14ac:dyDescent="0.25">
      <c r="A822" s="24"/>
    </row>
    <row r="823" spans="1:1" ht="12.5" x14ac:dyDescent="0.25">
      <c r="A823" s="24"/>
    </row>
    <row r="824" spans="1:1" ht="12.5" x14ac:dyDescent="0.25">
      <c r="A824" s="24"/>
    </row>
    <row r="825" spans="1:1" ht="12.5" x14ac:dyDescent="0.25">
      <c r="A825" s="24"/>
    </row>
    <row r="826" spans="1:1" ht="12.5" x14ac:dyDescent="0.25">
      <c r="A826" s="24"/>
    </row>
    <row r="827" spans="1:1" ht="12.5" x14ac:dyDescent="0.25">
      <c r="A827" s="24"/>
    </row>
    <row r="828" spans="1:1" ht="12.5" x14ac:dyDescent="0.25">
      <c r="A828" s="24"/>
    </row>
    <row r="829" spans="1:1" ht="12.5" x14ac:dyDescent="0.25">
      <c r="A829" s="24"/>
    </row>
    <row r="830" spans="1:1" ht="12.5" x14ac:dyDescent="0.25">
      <c r="A830" s="24"/>
    </row>
    <row r="831" spans="1:1" ht="12.5" x14ac:dyDescent="0.25">
      <c r="A831" s="24"/>
    </row>
    <row r="832" spans="1:1" ht="12.5" x14ac:dyDescent="0.25">
      <c r="A832" s="24"/>
    </row>
    <row r="833" spans="1:1" ht="12.5" x14ac:dyDescent="0.25">
      <c r="A833" s="24"/>
    </row>
    <row r="834" spans="1:1" ht="12.5" x14ac:dyDescent="0.25">
      <c r="A834" s="24"/>
    </row>
    <row r="835" spans="1:1" ht="12.5" x14ac:dyDescent="0.25">
      <c r="A835" s="24"/>
    </row>
    <row r="836" spans="1:1" ht="12.5" x14ac:dyDescent="0.25">
      <c r="A836" s="24"/>
    </row>
    <row r="837" spans="1:1" ht="12.5" x14ac:dyDescent="0.25">
      <c r="A837" s="24"/>
    </row>
    <row r="838" spans="1:1" ht="12.5" x14ac:dyDescent="0.25">
      <c r="A838" s="24"/>
    </row>
    <row r="839" spans="1:1" ht="12.5" x14ac:dyDescent="0.25">
      <c r="A839" s="24"/>
    </row>
    <row r="840" spans="1:1" ht="12.5" x14ac:dyDescent="0.25">
      <c r="A840" s="24"/>
    </row>
    <row r="841" spans="1:1" ht="12.5" x14ac:dyDescent="0.25">
      <c r="A841" s="24"/>
    </row>
    <row r="842" spans="1:1" ht="12.5" x14ac:dyDescent="0.25">
      <c r="A842" s="24"/>
    </row>
    <row r="843" spans="1:1" ht="12.5" x14ac:dyDescent="0.25">
      <c r="A843" s="24"/>
    </row>
    <row r="844" spans="1:1" ht="12.5" x14ac:dyDescent="0.25">
      <c r="A844" s="24"/>
    </row>
    <row r="845" spans="1:1" ht="12.5" x14ac:dyDescent="0.25">
      <c r="A845" s="24"/>
    </row>
    <row r="846" spans="1:1" ht="12.5" x14ac:dyDescent="0.25">
      <c r="A846" s="24"/>
    </row>
    <row r="847" spans="1:1" ht="12.5" x14ac:dyDescent="0.25">
      <c r="A847" s="24"/>
    </row>
    <row r="848" spans="1:1" ht="12.5" x14ac:dyDescent="0.25">
      <c r="A848" s="24"/>
    </row>
    <row r="849" spans="1:1" ht="12.5" x14ac:dyDescent="0.25">
      <c r="A849" s="24"/>
    </row>
    <row r="850" spans="1:1" ht="12.5" x14ac:dyDescent="0.25">
      <c r="A850" s="24"/>
    </row>
    <row r="851" spans="1:1" ht="12.5" x14ac:dyDescent="0.25">
      <c r="A851" s="24"/>
    </row>
    <row r="852" spans="1:1" ht="12.5" x14ac:dyDescent="0.25">
      <c r="A852" s="24"/>
    </row>
    <row r="853" spans="1:1" ht="12.5" x14ac:dyDescent="0.25">
      <c r="A853" s="24"/>
    </row>
    <row r="854" spans="1:1" ht="12.5" x14ac:dyDescent="0.25">
      <c r="A854" s="24"/>
    </row>
    <row r="855" spans="1:1" ht="12.5" x14ac:dyDescent="0.25">
      <c r="A855" s="24"/>
    </row>
    <row r="856" spans="1:1" ht="12.5" x14ac:dyDescent="0.25">
      <c r="A856" s="24"/>
    </row>
    <row r="857" spans="1:1" ht="12.5" x14ac:dyDescent="0.25">
      <c r="A857" s="24"/>
    </row>
    <row r="858" spans="1:1" ht="12.5" x14ac:dyDescent="0.25">
      <c r="A858" s="24"/>
    </row>
    <row r="859" spans="1:1" ht="12.5" x14ac:dyDescent="0.25">
      <c r="A859" s="24"/>
    </row>
    <row r="860" spans="1:1" ht="12.5" x14ac:dyDescent="0.25">
      <c r="A860" s="24"/>
    </row>
    <row r="861" spans="1:1" ht="12.5" x14ac:dyDescent="0.25">
      <c r="A861" s="24"/>
    </row>
    <row r="862" spans="1:1" ht="12.5" x14ac:dyDescent="0.25">
      <c r="A862" s="24"/>
    </row>
    <row r="863" spans="1:1" ht="12.5" x14ac:dyDescent="0.25">
      <c r="A863" s="24"/>
    </row>
    <row r="864" spans="1:1" ht="12.5" x14ac:dyDescent="0.25">
      <c r="A864" s="24"/>
    </row>
    <row r="865" spans="1:1" ht="12.5" x14ac:dyDescent="0.25">
      <c r="A865" s="24"/>
    </row>
    <row r="866" spans="1:1" ht="12.5" x14ac:dyDescent="0.25">
      <c r="A866" s="24"/>
    </row>
    <row r="867" spans="1:1" ht="12.5" x14ac:dyDescent="0.25">
      <c r="A867" s="24"/>
    </row>
    <row r="868" spans="1:1" ht="12.5" x14ac:dyDescent="0.25">
      <c r="A868" s="24"/>
    </row>
    <row r="869" spans="1:1" ht="12.5" x14ac:dyDescent="0.25">
      <c r="A869" s="24"/>
    </row>
    <row r="870" spans="1:1" ht="12.5" x14ac:dyDescent="0.25">
      <c r="A870" s="24"/>
    </row>
    <row r="871" spans="1:1" ht="12.5" x14ac:dyDescent="0.25">
      <c r="A871" s="24"/>
    </row>
    <row r="872" spans="1:1" ht="12.5" x14ac:dyDescent="0.25">
      <c r="A872" s="24"/>
    </row>
    <row r="873" spans="1:1" ht="12.5" x14ac:dyDescent="0.25">
      <c r="A873" s="24"/>
    </row>
    <row r="874" spans="1:1" ht="12.5" x14ac:dyDescent="0.25">
      <c r="A874" s="24"/>
    </row>
    <row r="875" spans="1:1" ht="12.5" x14ac:dyDescent="0.25">
      <c r="A875" s="24"/>
    </row>
    <row r="876" spans="1:1" ht="12.5" x14ac:dyDescent="0.25">
      <c r="A876" s="24"/>
    </row>
    <row r="877" spans="1:1" ht="12.5" x14ac:dyDescent="0.25">
      <c r="A877" s="24"/>
    </row>
    <row r="878" spans="1:1" ht="12.5" x14ac:dyDescent="0.25">
      <c r="A878" s="24"/>
    </row>
    <row r="879" spans="1:1" ht="12.5" x14ac:dyDescent="0.25">
      <c r="A879" s="24"/>
    </row>
    <row r="880" spans="1:1" ht="12.5" x14ac:dyDescent="0.25">
      <c r="A880" s="24"/>
    </row>
    <row r="881" spans="1:1" ht="12.5" x14ac:dyDescent="0.25">
      <c r="A881" s="24"/>
    </row>
    <row r="882" spans="1:1" ht="12.5" x14ac:dyDescent="0.25">
      <c r="A882" s="24"/>
    </row>
    <row r="883" spans="1:1" ht="12.5" x14ac:dyDescent="0.25">
      <c r="A883" s="24"/>
    </row>
    <row r="884" spans="1:1" ht="12.5" x14ac:dyDescent="0.25">
      <c r="A884" s="24"/>
    </row>
    <row r="885" spans="1:1" ht="12.5" x14ac:dyDescent="0.25">
      <c r="A885" s="24"/>
    </row>
    <row r="886" spans="1:1" ht="12.5" x14ac:dyDescent="0.25">
      <c r="A886" s="24"/>
    </row>
    <row r="887" spans="1:1" ht="12.5" x14ac:dyDescent="0.25">
      <c r="A887" s="24"/>
    </row>
    <row r="888" spans="1:1" ht="12.5" x14ac:dyDescent="0.25">
      <c r="A888" s="24"/>
    </row>
    <row r="889" spans="1:1" ht="12.5" x14ac:dyDescent="0.25">
      <c r="A889" s="24"/>
    </row>
    <row r="890" spans="1:1" ht="12.5" x14ac:dyDescent="0.25">
      <c r="A890" s="24"/>
    </row>
    <row r="891" spans="1:1" ht="12.5" x14ac:dyDescent="0.25">
      <c r="A891" s="24"/>
    </row>
    <row r="892" spans="1:1" ht="12.5" x14ac:dyDescent="0.25">
      <c r="A892" s="24"/>
    </row>
    <row r="893" spans="1:1" ht="12.5" x14ac:dyDescent="0.25">
      <c r="A893" s="24"/>
    </row>
    <row r="894" spans="1:1" ht="12.5" x14ac:dyDescent="0.25">
      <c r="A894" s="24"/>
    </row>
    <row r="895" spans="1:1" ht="12.5" x14ac:dyDescent="0.25">
      <c r="A895" s="24"/>
    </row>
    <row r="896" spans="1:1" ht="12.5" x14ac:dyDescent="0.25">
      <c r="A896" s="24"/>
    </row>
    <row r="897" spans="1:1" ht="12.5" x14ac:dyDescent="0.25">
      <c r="A897" s="24"/>
    </row>
    <row r="898" spans="1:1" ht="12.5" x14ac:dyDescent="0.25">
      <c r="A898" s="24"/>
    </row>
    <row r="899" spans="1:1" ht="12.5" x14ac:dyDescent="0.25">
      <c r="A899" s="24"/>
    </row>
    <row r="900" spans="1:1" ht="12.5" x14ac:dyDescent="0.25">
      <c r="A900" s="24"/>
    </row>
    <row r="901" spans="1:1" ht="12.5" x14ac:dyDescent="0.25">
      <c r="A901" s="24"/>
    </row>
    <row r="902" spans="1:1" ht="12.5" x14ac:dyDescent="0.25">
      <c r="A902" s="24"/>
    </row>
    <row r="903" spans="1:1" ht="12.5" x14ac:dyDescent="0.25">
      <c r="A903" s="24"/>
    </row>
    <row r="904" spans="1:1" ht="12.5" x14ac:dyDescent="0.25">
      <c r="A904" s="24"/>
    </row>
    <row r="905" spans="1:1" ht="12.5" x14ac:dyDescent="0.25">
      <c r="A905" s="24"/>
    </row>
    <row r="906" spans="1:1" ht="12.5" x14ac:dyDescent="0.25">
      <c r="A906" s="24"/>
    </row>
    <row r="907" spans="1:1" ht="12.5" x14ac:dyDescent="0.25">
      <c r="A907" s="24"/>
    </row>
    <row r="908" spans="1:1" ht="12.5" x14ac:dyDescent="0.25">
      <c r="A908" s="24"/>
    </row>
    <row r="909" spans="1:1" ht="12.5" x14ac:dyDescent="0.25">
      <c r="A909" s="24"/>
    </row>
    <row r="910" spans="1:1" ht="12.5" x14ac:dyDescent="0.25">
      <c r="A910" s="24"/>
    </row>
    <row r="911" spans="1:1" ht="12.5" x14ac:dyDescent="0.25">
      <c r="A911" s="24"/>
    </row>
    <row r="912" spans="1:1" ht="12.5" x14ac:dyDescent="0.25">
      <c r="A912" s="24"/>
    </row>
    <row r="913" spans="1:1" ht="12.5" x14ac:dyDescent="0.25">
      <c r="A913" s="24"/>
    </row>
    <row r="914" spans="1:1" ht="12.5" x14ac:dyDescent="0.25">
      <c r="A914" s="24"/>
    </row>
    <row r="915" spans="1:1" ht="12.5" x14ac:dyDescent="0.25">
      <c r="A915" s="24"/>
    </row>
    <row r="916" spans="1:1" ht="12.5" x14ac:dyDescent="0.25">
      <c r="A916" s="24"/>
    </row>
    <row r="917" spans="1:1" ht="12.5" x14ac:dyDescent="0.25">
      <c r="A917" s="24"/>
    </row>
    <row r="918" spans="1:1" ht="12.5" x14ac:dyDescent="0.25">
      <c r="A918" s="24"/>
    </row>
    <row r="919" spans="1:1" ht="12.5" x14ac:dyDescent="0.25">
      <c r="A919" s="24"/>
    </row>
    <row r="920" spans="1:1" ht="12.5" x14ac:dyDescent="0.25">
      <c r="A920" s="24"/>
    </row>
    <row r="921" spans="1:1" ht="12.5" x14ac:dyDescent="0.25">
      <c r="A921" s="24"/>
    </row>
    <row r="922" spans="1:1" ht="12.5" x14ac:dyDescent="0.25">
      <c r="A922" s="24"/>
    </row>
    <row r="923" spans="1:1" ht="12.5" x14ac:dyDescent="0.25">
      <c r="A923" s="24"/>
    </row>
    <row r="924" spans="1:1" ht="12.5" x14ac:dyDescent="0.25">
      <c r="A924" s="24"/>
    </row>
    <row r="925" spans="1:1" ht="12.5" x14ac:dyDescent="0.25">
      <c r="A925" s="24"/>
    </row>
    <row r="926" spans="1:1" ht="12.5" x14ac:dyDescent="0.25">
      <c r="A926" s="24"/>
    </row>
    <row r="927" spans="1:1" ht="12.5" x14ac:dyDescent="0.25">
      <c r="A927" s="24"/>
    </row>
    <row r="928" spans="1:1" ht="12.5" x14ac:dyDescent="0.25">
      <c r="A928" s="24"/>
    </row>
    <row r="929" spans="1:1" ht="12.5" x14ac:dyDescent="0.25">
      <c r="A929" s="24"/>
    </row>
    <row r="930" spans="1:1" ht="12.5" x14ac:dyDescent="0.25">
      <c r="A930" s="24"/>
    </row>
    <row r="931" spans="1:1" ht="12.5" x14ac:dyDescent="0.25">
      <c r="A931" s="24"/>
    </row>
    <row r="932" spans="1:1" ht="12.5" x14ac:dyDescent="0.25">
      <c r="A932" s="24"/>
    </row>
    <row r="933" spans="1:1" ht="12.5" x14ac:dyDescent="0.25">
      <c r="A933" s="24"/>
    </row>
    <row r="934" spans="1:1" ht="12.5" x14ac:dyDescent="0.25">
      <c r="A934" s="24"/>
    </row>
    <row r="935" spans="1:1" ht="12.5" x14ac:dyDescent="0.25">
      <c r="A935" s="24"/>
    </row>
    <row r="936" spans="1:1" ht="12.5" x14ac:dyDescent="0.25">
      <c r="A936" s="24"/>
    </row>
    <row r="937" spans="1:1" ht="12.5" x14ac:dyDescent="0.25">
      <c r="A937" s="24"/>
    </row>
    <row r="938" spans="1:1" ht="12.5" x14ac:dyDescent="0.25">
      <c r="A938" s="24"/>
    </row>
    <row r="939" spans="1:1" ht="12.5" x14ac:dyDescent="0.25">
      <c r="A939" s="24"/>
    </row>
    <row r="940" spans="1:1" ht="12.5" x14ac:dyDescent="0.25">
      <c r="A940" s="24"/>
    </row>
    <row r="941" spans="1:1" ht="12.5" x14ac:dyDescent="0.25">
      <c r="A941" s="24"/>
    </row>
    <row r="942" spans="1:1" ht="12.5" x14ac:dyDescent="0.25">
      <c r="A942" s="24"/>
    </row>
    <row r="943" spans="1:1" ht="12.5" x14ac:dyDescent="0.25">
      <c r="A943" s="24"/>
    </row>
    <row r="944" spans="1:1" ht="12.5" x14ac:dyDescent="0.25">
      <c r="A944" s="24"/>
    </row>
    <row r="945" spans="1:1" ht="12.5" x14ac:dyDescent="0.25">
      <c r="A945" s="24"/>
    </row>
    <row r="946" spans="1:1" ht="12.5" x14ac:dyDescent="0.25">
      <c r="A946" s="24"/>
    </row>
    <row r="947" spans="1:1" ht="12.5" x14ac:dyDescent="0.25">
      <c r="A947" s="24"/>
    </row>
    <row r="948" spans="1:1" ht="12.5" x14ac:dyDescent="0.25">
      <c r="A948" s="24"/>
    </row>
    <row r="949" spans="1:1" ht="12.5" x14ac:dyDescent="0.25">
      <c r="A949" s="24"/>
    </row>
    <row r="950" spans="1:1" ht="12.5" x14ac:dyDescent="0.25">
      <c r="A950" s="24"/>
    </row>
    <row r="951" spans="1:1" ht="12.5" x14ac:dyDescent="0.25">
      <c r="A951" s="24"/>
    </row>
    <row r="952" spans="1:1" ht="12.5" x14ac:dyDescent="0.25">
      <c r="A952" s="24"/>
    </row>
    <row r="953" spans="1:1" ht="12.5" x14ac:dyDescent="0.25">
      <c r="A953" s="24"/>
    </row>
    <row r="954" spans="1:1" ht="12.5" x14ac:dyDescent="0.25">
      <c r="A954" s="24"/>
    </row>
    <row r="955" spans="1:1" ht="12.5" x14ac:dyDescent="0.25">
      <c r="A955" s="24"/>
    </row>
    <row r="956" spans="1:1" ht="12.5" x14ac:dyDescent="0.25">
      <c r="A956" s="24"/>
    </row>
    <row r="957" spans="1:1" ht="12.5" x14ac:dyDescent="0.25">
      <c r="A957" s="24"/>
    </row>
    <row r="958" spans="1:1" ht="12.5" x14ac:dyDescent="0.25">
      <c r="A958" s="24"/>
    </row>
    <row r="959" spans="1:1" ht="12.5" x14ac:dyDescent="0.25">
      <c r="A959" s="24"/>
    </row>
    <row r="960" spans="1:1" ht="12.5" x14ac:dyDescent="0.25">
      <c r="A960" s="24"/>
    </row>
    <row r="961" spans="1:1" ht="12.5" x14ac:dyDescent="0.25">
      <c r="A961" s="24"/>
    </row>
    <row r="962" spans="1:1" ht="12.5" x14ac:dyDescent="0.25">
      <c r="A962" s="24"/>
    </row>
    <row r="963" spans="1:1" ht="12.5" x14ac:dyDescent="0.25">
      <c r="A963" s="24"/>
    </row>
    <row r="964" spans="1:1" ht="12.5" x14ac:dyDescent="0.25">
      <c r="A964" s="24"/>
    </row>
    <row r="965" spans="1:1" ht="12.5" x14ac:dyDescent="0.25">
      <c r="A965" s="24"/>
    </row>
    <row r="966" spans="1:1" ht="12.5" x14ac:dyDescent="0.25">
      <c r="A966" s="24"/>
    </row>
    <row r="967" spans="1:1" ht="12.5" x14ac:dyDescent="0.25">
      <c r="A967" s="24"/>
    </row>
    <row r="968" spans="1:1" ht="12.5" x14ac:dyDescent="0.25">
      <c r="A968" s="24"/>
    </row>
    <row r="969" spans="1:1" ht="12.5" x14ac:dyDescent="0.25">
      <c r="A969" s="24"/>
    </row>
    <row r="970" spans="1:1" ht="12.5" x14ac:dyDescent="0.25">
      <c r="A970" s="24"/>
    </row>
    <row r="971" spans="1:1" ht="12.5" x14ac:dyDescent="0.25">
      <c r="A971" s="24"/>
    </row>
    <row r="972" spans="1:1" ht="12.5" x14ac:dyDescent="0.25">
      <c r="A972" s="24"/>
    </row>
    <row r="973" spans="1:1" ht="12.5" x14ac:dyDescent="0.25">
      <c r="A973" s="24"/>
    </row>
    <row r="974" spans="1:1" ht="12.5" x14ac:dyDescent="0.25">
      <c r="A974" s="24"/>
    </row>
    <row r="975" spans="1:1" ht="12.5" x14ac:dyDescent="0.25">
      <c r="A975" s="24"/>
    </row>
    <row r="976" spans="1:1" ht="12.5" x14ac:dyDescent="0.25">
      <c r="A976" s="24"/>
    </row>
    <row r="977" spans="1:1" ht="12.5" x14ac:dyDescent="0.25">
      <c r="A977" s="24"/>
    </row>
    <row r="978" spans="1:1" ht="12.5" x14ac:dyDescent="0.25">
      <c r="A978" s="24"/>
    </row>
    <row r="979" spans="1:1" ht="12.5" x14ac:dyDescent="0.25">
      <c r="A979" s="24"/>
    </row>
    <row r="980" spans="1:1" ht="12.5" x14ac:dyDescent="0.25">
      <c r="A980" s="24"/>
    </row>
    <row r="981" spans="1:1" ht="12.5" x14ac:dyDescent="0.25">
      <c r="A981" s="24"/>
    </row>
    <row r="982" spans="1:1" ht="12.5" x14ac:dyDescent="0.25">
      <c r="A982" s="24"/>
    </row>
    <row r="983" spans="1:1" ht="12.5" x14ac:dyDescent="0.25">
      <c r="A983" s="24"/>
    </row>
    <row r="984" spans="1:1" ht="12.5" x14ac:dyDescent="0.25">
      <c r="A984" s="24"/>
    </row>
    <row r="985" spans="1:1" ht="12.5" x14ac:dyDescent="0.25">
      <c r="A985" s="24"/>
    </row>
    <row r="986" spans="1:1" ht="12.5" x14ac:dyDescent="0.25">
      <c r="A986" s="24"/>
    </row>
    <row r="987" spans="1:1" ht="12.5" x14ac:dyDescent="0.25">
      <c r="A987" s="24"/>
    </row>
    <row r="988" spans="1:1" ht="12.5" x14ac:dyDescent="0.25">
      <c r="A988" s="24"/>
    </row>
    <row r="989" spans="1:1" ht="12.5" x14ac:dyDescent="0.25">
      <c r="A989" s="24"/>
    </row>
    <row r="990" spans="1:1" ht="12.5" x14ac:dyDescent="0.25">
      <c r="A990" s="24"/>
    </row>
    <row r="991" spans="1:1" ht="12.5" x14ac:dyDescent="0.25">
      <c r="A991" s="24"/>
    </row>
    <row r="992" spans="1:1" ht="12.5" x14ac:dyDescent="0.25">
      <c r="A992" s="24"/>
    </row>
    <row r="993" spans="1:1" ht="12.5" x14ac:dyDescent="0.25">
      <c r="A993" s="24"/>
    </row>
    <row r="994" spans="1:1" ht="12.5" x14ac:dyDescent="0.25">
      <c r="A994" s="24"/>
    </row>
    <row r="995" spans="1:1" ht="12.5" x14ac:dyDescent="0.25">
      <c r="A995" s="24"/>
    </row>
    <row r="996" spans="1:1" ht="12.5" x14ac:dyDescent="0.25">
      <c r="A996" s="24"/>
    </row>
    <row r="997" spans="1:1" ht="12.5" x14ac:dyDescent="0.25">
      <c r="A997" s="24"/>
    </row>
    <row r="998" spans="1:1" ht="12.5" x14ac:dyDescent="0.25">
      <c r="A998" s="24"/>
    </row>
    <row r="999" spans="1:1" ht="12.5" x14ac:dyDescent="0.25">
      <c r="A999" s="24"/>
    </row>
    <row r="1000" spans="1:1" ht="12.5" x14ac:dyDescent="0.25">
      <c r="A1000" s="24"/>
    </row>
    <row r="1001" spans="1:1" ht="12.5" x14ac:dyDescent="0.25">
      <c r="A1001" s="24"/>
    </row>
    <row r="1002" spans="1:1" ht="12.5" x14ac:dyDescent="0.25">
      <c r="A1002" s="24"/>
    </row>
    <row r="1003" spans="1:1" ht="12.5" x14ac:dyDescent="0.25">
      <c r="A1003" s="24"/>
    </row>
    <row r="1004" spans="1:1" ht="12.5" x14ac:dyDescent="0.25">
      <c r="A1004" s="24"/>
    </row>
    <row r="1005" spans="1:1" ht="12.5" x14ac:dyDescent="0.25">
      <c r="A1005" s="24"/>
    </row>
    <row r="1006" spans="1:1" ht="12.5" x14ac:dyDescent="0.25">
      <c r="A1006" s="24"/>
    </row>
    <row r="1007" spans="1:1" ht="12.5" x14ac:dyDescent="0.25">
      <c r="A1007" s="24"/>
    </row>
    <row r="1008" spans="1:1" ht="12.5" x14ac:dyDescent="0.25">
      <c r="A1008" s="24"/>
    </row>
    <row r="1009" spans="1:1" ht="12.5" x14ac:dyDescent="0.25">
      <c r="A1009" s="24"/>
    </row>
    <row r="1010" spans="1:1" ht="12.5" x14ac:dyDescent="0.25">
      <c r="A1010" s="24"/>
    </row>
    <row r="1011" spans="1:1" ht="12.5" x14ac:dyDescent="0.25">
      <c r="A1011" s="24"/>
    </row>
    <row r="1012" spans="1:1" ht="12.5" x14ac:dyDescent="0.25">
      <c r="A1012" s="24"/>
    </row>
    <row r="1013" spans="1:1" ht="12.5" x14ac:dyDescent="0.25">
      <c r="A1013" s="24"/>
    </row>
    <row r="1014" spans="1:1" ht="12.5" x14ac:dyDescent="0.25">
      <c r="A1014" s="24"/>
    </row>
    <row r="1015" spans="1:1" ht="12.5" x14ac:dyDescent="0.25">
      <c r="A1015" s="24"/>
    </row>
    <row r="1016" spans="1:1" ht="12.5" x14ac:dyDescent="0.25">
      <c r="A1016" s="24"/>
    </row>
    <row r="1017" spans="1:1" ht="12.5" x14ac:dyDescent="0.25">
      <c r="A1017" s="24"/>
    </row>
    <row r="1018" spans="1:1" ht="12.5" x14ac:dyDescent="0.25">
      <c r="A1018" s="24"/>
    </row>
    <row r="1019" spans="1:1" ht="12.5" x14ac:dyDescent="0.25">
      <c r="A1019" s="24"/>
    </row>
    <row r="1020" spans="1:1" ht="12.5" x14ac:dyDescent="0.25">
      <c r="A1020" s="24"/>
    </row>
    <row r="1021" spans="1:1" ht="12.5" x14ac:dyDescent="0.25">
      <c r="A1021" s="24"/>
    </row>
    <row r="1022" spans="1:1" ht="12.5" x14ac:dyDescent="0.25">
      <c r="A1022" s="24"/>
    </row>
    <row r="1023" spans="1:1" ht="12.5" x14ac:dyDescent="0.25">
      <c r="A1023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2"/>
  <sheetViews>
    <sheetView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F15" sqref="F15"/>
    </sheetView>
  </sheetViews>
  <sheetFormatPr defaultColWidth="12.6328125" defaultRowHeight="15" customHeight="1" x14ac:dyDescent="0.25"/>
  <cols>
    <col min="1" max="1" width="8" customWidth="1"/>
    <col min="2" max="2" width="29.36328125" customWidth="1"/>
    <col min="3" max="6" width="12.6328125" customWidth="1"/>
    <col min="16" max="16" width="2.453125" customWidth="1"/>
  </cols>
  <sheetData>
    <row r="1" spans="1:22" ht="26.25" customHeight="1" x14ac:dyDescent="0.25">
      <c r="A1" s="3"/>
      <c r="B1" s="5"/>
      <c r="C1" s="7" t="s">
        <v>2</v>
      </c>
      <c r="D1" s="8">
        <v>46023</v>
      </c>
      <c r="E1" s="8">
        <v>46054</v>
      </c>
      <c r="F1" s="8">
        <v>46082</v>
      </c>
      <c r="G1" s="8">
        <v>46113</v>
      </c>
      <c r="H1" s="8">
        <v>46143</v>
      </c>
      <c r="I1" s="8">
        <v>46174</v>
      </c>
      <c r="J1" s="8">
        <v>46204</v>
      </c>
      <c r="K1" s="8">
        <v>46235</v>
      </c>
      <c r="L1" s="8">
        <v>46266</v>
      </c>
      <c r="M1" s="8">
        <v>46296</v>
      </c>
      <c r="N1" s="8">
        <v>46327</v>
      </c>
      <c r="O1" s="8">
        <v>46357</v>
      </c>
      <c r="P1" s="12"/>
    </row>
    <row r="2" spans="1:22" ht="15.75" customHeight="1" x14ac:dyDescent="0.85">
      <c r="A2" s="16" t="s">
        <v>4</v>
      </c>
      <c r="B2" s="18" t="s">
        <v>7</v>
      </c>
      <c r="C2" s="20" t="s">
        <v>9</v>
      </c>
      <c r="D2" s="22" t="s">
        <v>9</v>
      </c>
      <c r="E2" s="22" t="s">
        <v>9</v>
      </c>
      <c r="F2" s="22" t="s">
        <v>9</v>
      </c>
      <c r="G2" s="22" t="s">
        <v>9</v>
      </c>
      <c r="H2" s="22" t="s">
        <v>9</v>
      </c>
      <c r="I2" s="22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7"/>
    </row>
    <row r="3" spans="1:22" ht="15.75" customHeight="1" x14ac:dyDescent="0.85">
      <c r="A3" s="28" t="s">
        <v>14</v>
      </c>
      <c r="B3" s="28" t="s">
        <v>16</v>
      </c>
      <c r="C3" s="38">
        <f t="shared" ref="C3:O3" ca="1" si="0">SUM(C4:C6)</f>
        <v>531665.3314348656</v>
      </c>
      <c r="D3" s="38">
        <f t="shared" ca="1" si="0"/>
        <v>43770.840839080374</v>
      </c>
      <c r="E3" s="38">
        <f t="shared" ca="1" si="0"/>
        <v>38870.098310344751</v>
      </c>
      <c r="F3" s="38">
        <f t="shared" ca="1" si="0"/>
        <v>57666.614785440492</v>
      </c>
      <c r="G3" s="38">
        <f t="shared" ca="1" si="0"/>
        <v>56133.971446360149</v>
      </c>
      <c r="H3" s="38">
        <f t="shared" ca="1" si="0"/>
        <v>42531.09788314176</v>
      </c>
      <c r="I3" s="38">
        <f t="shared" ca="1" si="0"/>
        <v>41541.442710727963</v>
      </c>
      <c r="J3" s="38">
        <f t="shared" ca="1" si="0"/>
        <v>42942.592136015315</v>
      </c>
      <c r="K3" s="38">
        <f t="shared" ca="1" si="0"/>
        <v>42037.99443486589</v>
      </c>
      <c r="L3" s="38">
        <f t="shared" ca="1" si="0"/>
        <v>44426.500181992335</v>
      </c>
      <c r="M3" s="38">
        <f t="shared" ca="1" si="0"/>
        <v>40321.902480842909</v>
      </c>
      <c r="N3" s="38">
        <f t="shared" ca="1" si="0"/>
        <v>41100.373745210723</v>
      </c>
      <c r="O3" s="38">
        <f t="shared" ca="1" si="0"/>
        <v>40321.902480842909</v>
      </c>
      <c r="P3" s="50"/>
    </row>
    <row r="4" spans="1:22" ht="15.75" customHeight="1" x14ac:dyDescent="0.85">
      <c r="A4" s="53" t="s">
        <v>14</v>
      </c>
      <c r="B4" s="55" t="s">
        <v>33</v>
      </c>
      <c r="C4" s="59">
        <f t="shared" ref="C4:C6" ca="1" si="1">SUM(D4:O4)</f>
        <v>289991.06323563197</v>
      </c>
      <c r="D4" s="63">
        <f ca="1">('India- Tech Build Out'!J24+'India- Tech Build Out'!J47+'India- Tech Build Out'!J119)/$B$31</f>
        <v>31928.161720306434</v>
      </c>
      <c r="E4" s="63">
        <f ca="1">('India- Tech Build Out'!K24+'India- Tech Build Out'!K47+'India- Tech Build Out'!K119)/$B$31</f>
        <v>26228.177812260463</v>
      </c>
      <c r="F4" s="63">
        <f ca="1">('India- Tech Build Out'!L24+'India- Tech Build Out'!L47+'India- Tech Build Out'!L119)/$B$31</f>
        <v>41079.483559386899</v>
      </c>
      <c r="G4" s="63">
        <f ca="1">('India- Tech Build Out'!M24+'India- Tech Build Out'!M47+'India- Tech Build Out'!M119)/$B$31</f>
        <v>23720.407270114945</v>
      </c>
      <c r="H4" s="63">
        <f ca="1">('India- Tech Build Out'!N24+'India- Tech Build Out'!N47+'India- Tech Build Out'!N119)/$B$31</f>
        <v>20735.924511494253</v>
      </c>
      <c r="I4" s="63">
        <f ca="1">('India- Tech Build Out'!O24+'India- Tech Build Out'!O47+'India- Tech Build Out'!O119)/$B$31</f>
        <v>20643.970488505747</v>
      </c>
      <c r="J4" s="63">
        <f ca="1">('India- Tech Build Out'!P24+'India- Tech Build Out'!P47+'India- Tech Build Out'!P119)/$B$31</f>
        <v>20643.970488505747</v>
      </c>
      <c r="K4" s="63">
        <f ca="1">('India- Tech Build Out'!Q24+'India- Tech Build Out'!Q47+'India- Tech Build Out'!Q119)/$B$31</f>
        <v>21392.246350574715</v>
      </c>
      <c r="L4" s="63">
        <f ca="1">('India- Tech Build Out'!R24+'India- Tech Build Out'!R47+'India- Tech Build Out'!R119)/$B$31</f>
        <v>20908.338304597703</v>
      </c>
      <c r="M4" s="63">
        <f ca="1">('India- Tech Build Out'!S24+'India- Tech Build Out'!S47+'India- Tech Build Out'!S119)/$B$31</f>
        <v>20643.970488505747</v>
      </c>
      <c r="N4" s="63">
        <f ca="1">('India- Tech Build Out'!T24+'India- Tech Build Out'!T47+'India- Tech Build Out'!T119)/$B$31</f>
        <v>21422.441752873565</v>
      </c>
      <c r="O4" s="63">
        <f ca="1">('India- Tech Build Out'!U24+'India- Tech Build Out'!U47+'India- Tech Build Out'!U119)/$B$31</f>
        <v>20643.970488505747</v>
      </c>
      <c r="P4" s="50"/>
    </row>
    <row r="5" spans="1:22" ht="15.75" customHeight="1" x14ac:dyDescent="0.85">
      <c r="A5" s="53" t="s">
        <v>14</v>
      </c>
      <c r="B5" s="55" t="s">
        <v>16</v>
      </c>
      <c r="C5" s="59">
        <f t="shared" ca="1" si="1"/>
        <v>223283.46360153257</v>
      </c>
      <c r="D5" s="63">
        <f ca="1">'India- Tech Build Out'!J70/$B$31</f>
        <v>10310.112068965518</v>
      </c>
      <c r="E5" s="63">
        <f ca="1">'India- Tech Build Out'!K70/$B$31</f>
        <v>11109.353448275862</v>
      </c>
      <c r="F5" s="63">
        <f ca="1">'India- Tech Build Out'!L70/$B$31</f>
        <v>15054.564176245172</v>
      </c>
      <c r="G5" s="63">
        <f ca="1">'India- Tech Build Out'!M70/$B$31</f>
        <v>30880.997126436781</v>
      </c>
      <c r="H5" s="63">
        <f ca="1">'India- Tech Build Out'!N70/$B$31</f>
        <v>20262.606321839081</v>
      </c>
      <c r="I5" s="63">
        <f ca="1">'India- Tech Build Out'!O70/$B$31</f>
        <v>19364.905172413793</v>
      </c>
      <c r="J5" s="63">
        <f ca="1">'India- Tech Build Out'!P70/$B$31</f>
        <v>20766.05459770115</v>
      </c>
      <c r="K5" s="63">
        <f ca="1">'India- Tech Build Out'!Q70/$B$31</f>
        <v>19113.181034482757</v>
      </c>
      <c r="L5" s="63">
        <f ca="1">'India- Tech Build Out'!R70/$B$31</f>
        <v>21985.594827586207</v>
      </c>
      <c r="M5" s="63">
        <f ca="1">'India- Tech Build Out'!S70/$B$31</f>
        <v>18145.364942528737</v>
      </c>
      <c r="N5" s="63">
        <f ca="1">'India- Tech Build Out'!T70/$B$31</f>
        <v>18145.364942528737</v>
      </c>
      <c r="O5" s="63">
        <f ca="1">'India- Tech Build Out'!U70/$B$31</f>
        <v>18145.364942528737</v>
      </c>
      <c r="P5" s="50"/>
    </row>
    <row r="6" spans="1:22" ht="15.75" customHeight="1" x14ac:dyDescent="0.85">
      <c r="A6" s="53" t="s">
        <v>14</v>
      </c>
      <c r="B6" s="86" t="s">
        <v>23</v>
      </c>
      <c r="C6" s="59">
        <f t="shared" ca="1" si="1"/>
        <v>18390.804597701102</v>
      </c>
      <c r="D6" s="63">
        <f ca="1">'India- Tech Build Out'!J92/$B$31</f>
        <v>1532.5670498084253</v>
      </c>
      <c r="E6" s="63">
        <f ca="1">'India- Tech Build Out'!K92/$B$31</f>
        <v>1532.5670498084253</v>
      </c>
      <c r="F6" s="63">
        <f ca="1">'India- Tech Build Out'!L92/$B$31</f>
        <v>1532.5670498084253</v>
      </c>
      <c r="G6" s="63">
        <f ca="1">'India- Tech Build Out'!M92/$B$31</f>
        <v>1532.5670498084253</v>
      </c>
      <c r="H6" s="63">
        <f ca="1">'India- Tech Build Out'!N92/$B$31</f>
        <v>1532.5670498084253</v>
      </c>
      <c r="I6" s="63">
        <f ca="1">'India- Tech Build Out'!O92/$B$31</f>
        <v>1532.5670498084253</v>
      </c>
      <c r="J6" s="63">
        <f ca="1">'India- Tech Build Out'!P92/$B$31</f>
        <v>1532.5670498084253</v>
      </c>
      <c r="K6" s="63">
        <f ca="1">'India- Tech Build Out'!Q92/$B$31</f>
        <v>1532.5670498084253</v>
      </c>
      <c r="L6" s="63">
        <f ca="1">'India- Tech Build Out'!R92/$B$31</f>
        <v>1532.5670498084253</v>
      </c>
      <c r="M6" s="63">
        <f ca="1">'India- Tech Build Out'!S92/$B$31</f>
        <v>1532.5670498084253</v>
      </c>
      <c r="N6" s="63">
        <f ca="1">'India- Tech Build Out'!T92/$B$31</f>
        <v>1532.5670498084253</v>
      </c>
      <c r="O6" s="63">
        <f ca="1">'India- Tech Build Out'!U92/$B$31</f>
        <v>1532.5670498084253</v>
      </c>
      <c r="P6" s="50"/>
    </row>
    <row r="7" spans="1:22" ht="15.75" customHeight="1" x14ac:dyDescent="0.85">
      <c r="A7" s="28" t="s">
        <v>24</v>
      </c>
      <c r="B7" s="28" t="s">
        <v>16</v>
      </c>
      <c r="C7" s="38">
        <f t="shared" ref="C7:O7" ca="1" si="2">SUM(C8:C9)</f>
        <v>242826.62443750005</v>
      </c>
      <c r="D7" s="38">
        <f t="shared" ca="1" si="2"/>
        <v>9458.1778125000001</v>
      </c>
      <c r="E7" s="38">
        <f t="shared" ca="1" si="2"/>
        <v>12795.8855625</v>
      </c>
      <c r="F7" s="38">
        <f t="shared" ca="1" si="2"/>
        <v>14350.066875</v>
      </c>
      <c r="G7" s="38">
        <f t="shared" ca="1" si="2"/>
        <v>29523.506874999999</v>
      </c>
      <c r="H7" s="38">
        <f t="shared" ca="1" si="2"/>
        <v>18447.4008125</v>
      </c>
      <c r="I7" s="38">
        <f t="shared" ca="1" si="2"/>
        <v>20644.085812500001</v>
      </c>
      <c r="J7" s="38">
        <f t="shared" ca="1" si="2"/>
        <v>21373.294750000001</v>
      </c>
      <c r="K7" s="38">
        <f t="shared" ca="1" si="2"/>
        <v>21328.460812500001</v>
      </c>
      <c r="L7" s="38">
        <f t="shared" ca="1" si="2"/>
        <v>22298.107250000001</v>
      </c>
      <c r="M7" s="38">
        <f t="shared" ca="1" si="2"/>
        <v>25869.212625</v>
      </c>
      <c r="N7" s="38">
        <f t="shared" ca="1" si="2"/>
        <v>23369.212625</v>
      </c>
      <c r="O7" s="38">
        <f t="shared" ca="1" si="2"/>
        <v>23369.212625</v>
      </c>
      <c r="P7" s="50"/>
    </row>
    <row r="8" spans="1:22" ht="15.75" customHeight="1" x14ac:dyDescent="0.85">
      <c r="A8" s="53" t="s">
        <v>24</v>
      </c>
      <c r="B8" s="55" t="s">
        <v>16</v>
      </c>
      <c r="C8" s="59">
        <f t="shared" ref="C8:C9" ca="1" si="3">SUM(D8:O8)</f>
        <v>196165.93343750003</v>
      </c>
      <c r="D8" s="63">
        <f ca="1">'INDO- Tech Build-Out'!J23/$B$32</f>
        <v>7422.5313749999996</v>
      </c>
      <c r="E8" s="63">
        <f ca="1">'INDO- Tech Build-Out'!K23/$B$32</f>
        <v>9650.0828750000001</v>
      </c>
      <c r="F8" s="63">
        <f ca="1">'INDO- Tech Build-Out'!L23/$B$32</f>
        <v>7808.1704374999999</v>
      </c>
      <c r="G8" s="63">
        <f ca="1">'INDO- Tech Build-Out'!M23/$B$32</f>
        <v>21539.475437500001</v>
      </c>
      <c r="H8" s="63">
        <f ca="1">'INDO- Tech Build-Out'!N23/$B$32</f>
        <v>15113.369375</v>
      </c>
      <c r="I8" s="63">
        <f ca="1">'INDO- Tech Build-Out'!O23/$B$32</f>
        <v>17310.054375</v>
      </c>
      <c r="J8" s="63">
        <f ca="1">'INDO- Tech Build-Out'!P23/$B$32</f>
        <v>18039.263312499999</v>
      </c>
      <c r="K8" s="63">
        <f ca="1">'INDO- Tech Build-Out'!Q23/$B$32</f>
        <v>17994.429375</v>
      </c>
      <c r="L8" s="63">
        <f ca="1">'INDO- Tech Build-Out'!R23/$B$32</f>
        <v>18683.013312499999</v>
      </c>
      <c r="M8" s="63">
        <f ca="1">'INDO- Tech Build-Out'!S23/$B$32</f>
        <v>22535.181187499998</v>
      </c>
      <c r="N8" s="63">
        <f ca="1">'INDO- Tech Build-Out'!T23/$B$32</f>
        <v>20035.181187499998</v>
      </c>
      <c r="O8" s="63">
        <f ca="1">'INDO- Tech Build-Out'!U23/$B$32</f>
        <v>20035.181187499998</v>
      </c>
      <c r="P8" s="50"/>
    </row>
    <row r="9" spans="1:22" ht="15.75" customHeight="1" x14ac:dyDescent="0.85">
      <c r="A9" s="53" t="s">
        <v>24</v>
      </c>
      <c r="B9" s="86" t="s">
        <v>68</v>
      </c>
      <c r="C9" s="59">
        <f t="shared" ca="1" si="3"/>
        <v>46660.691000000013</v>
      </c>
      <c r="D9" s="59">
        <f ca="1">'INDO- Tech Build-Out'!J46/$B$32</f>
        <v>2035.6464375</v>
      </c>
      <c r="E9" s="59">
        <f ca="1">'INDO- Tech Build-Out'!K46/$B$32</f>
        <v>3145.8026875</v>
      </c>
      <c r="F9" s="59">
        <f ca="1">'INDO- Tech Build-Out'!L46/$B$32</f>
        <v>6541.8964374999996</v>
      </c>
      <c r="G9" s="59">
        <f ca="1">'INDO- Tech Build-Out'!M46/$B$32</f>
        <v>7984.0314374999998</v>
      </c>
      <c r="H9" s="59">
        <f ca="1">'INDO- Tech Build-Out'!N46/$B$32</f>
        <v>3334.0314374999998</v>
      </c>
      <c r="I9" s="59">
        <f ca="1">'INDO- Tech Build-Out'!O46/$B$32</f>
        <v>3334.0314374999998</v>
      </c>
      <c r="J9" s="59">
        <f ca="1">'INDO- Tech Build-Out'!P46/$B$32</f>
        <v>3334.0314374999998</v>
      </c>
      <c r="K9" s="59">
        <f ca="1">'INDO- Tech Build-Out'!Q46/$B$32</f>
        <v>3334.0314374999998</v>
      </c>
      <c r="L9" s="59">
        <f ca="1">'INDO- Tech Build-Out'!R46/$B$32</f>
        <v>3615.0939374999998</v>
      </c>
      <c r="M9" s="59">
        <f ca="1">'INDO- Tech Build-Out'!S46/$B$32</f>
        <v>3334.0314374999998</v>
      </c>
      <c r="N9" s="59">
        <f ca="1">'INDO- Tech Build-Out'!T46/$B$32</f>
        <v>3334.0314374999998</v>
      </c>
      <c r="O9" s="59">
        <f ca="1">'INDO- Tech Build-Out'!U46/$B$32</f>
        <v>3334.0314374999998</v>
      </c>
      <c r="P9" s="50"/>
    </row>
    <row r="10" spans="1:22" ht="15.75" customHeight="1" x14ac:dyDescent="0.85">
      <c r="A10" s="28" t="s">
        <v>30</v>
      </c>
      <c r="B10" s="28" t="s">
        <v>16</v>
      </c>
      <c r="C10" s="38">
        <f t="shared" ref="C10:O10" ca="1" si="4">SUM(C11:C12)</f>
        <v>200751.22924999983</v>
      </c>
      <c r="D10" s="38">
        <f t="shared" ca="1" si="4"/>
        <v>10962.56025</v>
      </c>
      <c r="E10" s="38">
        <f t="shared" ca="1" si="4"/>
        <v>27383.840374999916</v>
      </c>
      <c r="F10" s="38">
        <f t="shared" ca="1" si="4"/>
        <v>16089.137583333333</v>
      </c>
      <c r="G10" s="38">
        <f t="shared" ca="1" si="4"/>
        <v>15430.804250000001</v>
      </c>
      <c r="H10" s="38">
        <f t="shared" ca="1" si="4"/>
        <v>19475.507041666584</v>
      </c>
      <c r="I10" s="38">
        <f t="shared" ca="1" si="4"/>
        <v>16001.637583333333</v>
      </c>
      <c r="J10" s="38">
        <f t="shared" ca="1" si="4"/>
        <v>17316.220916666665</v>
      </c>
      <c r="K10" s="38">
        <f t="shared" ca="1" si="4"/>
        <v>16034.970916666667</v>
      </c>
      <c r="L10" s="38">
        <f t="shared" ca="1" si="4"/>
        <v>16896.637583333333</v>
      </c>
      <c r="M10" s="38">
        <f t="shared" ca="1" si="4"/>
        <v>15106.637583333333</v>
      </c>
      <c r="N10" s="38">
        <f t="shared" ca="1" si="4"/>
        <v>15026.637583333333</v>
      </c>
      <c r="O10" s="38">
        <f t="shared" ca="1" si="4"/>
        <v>15026.637583333333</v>
      </c>
      <c r="P10" s="50"/>
    </row>
    <row r="11" spans="1:22" ht="15.75" customHeight="1" x14ac:dyDescent="0.85">
      <c r="A11" s="53" t="s">
        <v>30</v>
      </c>
      <c r="B11" s="55" t="s">
        <v>16</v>
      </c>
      <c r="C11" s="59">
        <f t="shared" ref="C11:C12" ca="1" si="5">SUM(D11:O11)</f>
        <v>185576.22924999983</v>
      </c>
      <c r="D11" s="63">
        <f ca="1">'BD- Tech Build-Out'!J23/$B$33</f>
        <v>10962.56025</v>
      </c>
      <c r="E11" s="63">
        <f ca="1">'BD- Tech Build-Out'!K23/$B$33</f>
        <v>25300.507041666584</v>
      </c>
      <c r="F11" s="63">
        <f ca="1">'BD- Tech Build-Out'!L23/$B$33</f>
        <v>14826.637583333333</v>
      </c>
      <c r="G11" s="63">
        <f ca="1">'BD- Tech Build-Out'!M23/$B$33</f>
        <v>13934.970916666667</v>
      </c>
      <c r="H11" s="63">
        <f ca="1">'BD- Tech Build-Out'!N23/$B$33</f>
        <v>18213.007041666584</v>
      </c>
      <c r="I11" s="63">
        <f ca="1">'BD- Tech Build-Out'!O23/$B$33</f>
        <v>14739.137583333333</v>
      </c>
      <c r="J11" s="63">
        <f ca="1">'BD- Tech Build-Out'!P23/$B$33</f>
        <v>16053.720916666667</v>
      </c>
      <c r="K11" s="63">
        <f ca="1">'BD- Tech Build-Out'!Q23/$B$33</f>
        <v>14539.137583333333</v>
      </c>
      <c r="L11" s="63">
        <f ca="1">'BD- Tech Build-Out'!R23/$B$33</f>
        <v>15634.137583333333</v>
      </c>
      <c r="M11" s="63">
        <f ca="1">'BD- Tech Build-Out'!S23/$B$33</f>
        <v>13844.137583333333</v>
      </c>
      <c r="N11" s="63">
        <f ca="1">'BD- Tech Build-Out'!T23/$B$33</f>
        <v>13764.137583333333</v>
      </c>
      <c r="O11" s="63">
        <f ca="1">'BD- Tech Build-Out'!U23/$B$33</f>
        <v>13764.137583333333</v>
      </c>
      <c r="P11" s="50"/>
    </row>
    <row r="12" spans="1:22" ht="15.75" customHeight="1" x14ac:dyDescent="0.85">
      <c r="A12" s="53" t="s">
        <v>30</v>
      </c>
      <c r="B12" s="86" t="s">
        <v>68</v>
      </c>
      <c r="C12" s="59">
        <f t="shared" ca="1" si="5"/>
        <v>15175.000000000002</v>
      </c>
      <c r="D12" s="63">
        <f ca="1">'BD- Tech Build-Out'!J46/$B$33</f>
        <v>0</v>
      </c>
      <c r="E12" s="63">
        <f ca="1">'BD- Tech Build-Out'!K46/$B$33</f>
        <v>2083.3333333333335</v>
      </c>
      <c r="F12" s="63">
        <f ca="1">'BD- Tech Build-Out'!L46/$B$33</f>
        <v>1262.5</v>
      </c>
      <c r="G12" s="63">
        <f ca="1">'BD- Tech Build-Out'!M46/$B$33</f>
        <v>1495.8333333333333</v>
      </c>
      <c r="H12" s="63">
        <f ca="1">'BD- Tech Build-Out'!N46/$B$33</f>
        <v>1262.5</v>
      </c>
      <c r="I12" s="63">
        <f ca="1">'BD- Tech Build-Out'!O46/$B$33</f>
        <v>1262.5</v>
      </c>
      <c r="J12" s="63">
        <f ca="1">'BD- Tech Build-Out'!P46/$B$33</f>
        <v>1262.5</v>
      </c>
      <c r="K12" s="63">
        <f ca="1">'BD- Tech Build-Out'!Q46/$B$33</f>
        <v>1495.8333333333333</v>
      </c>
      <c r="L12" s="63">
        <f ca="1">'BD- Tech Build-Out'!R46/$B$33</f>
        <v>1262.5</v>
      </c>
      <c r="M12" s="63">
        <f ca="1">'BD- Tech Build-Out'!S46/$B$33</f>
        <v>1262.5</v>
      </c>
      <c r="N12" s="63">
        <f ca="1">'BD- Tech Build-Out'!T46/$B$33</f>
        <v>1262.5</v>
      </c>
      <c r="O12" s="63">
        <f ca="1">'BD- Tech Build-Out'!U46/$B$33</f>
        <v>1262.5</v>
      </c>
      <c r="P12" s="50"/>
    </row>
    <row r="13" spans="1:22" ht="15.75" customHeight="1" x14ac:dyDescent="0.85">
      <c r="A13" s="28" t="s">
        <v>14</v>
      </c>
      <c r="B13" s="28" t="s">
        <v>34</v>
      </c>
      <c r="C13" s="38">
        <f t="shared" ref="C13:O13" ca="1" si="6">SUM(C14:C15)</f>
        <v>896975.53735632077</v>
      </c>
      <c r="D13" s="38">
        <f t="shared" ca="1" si="6"/>
        <v>57857.211685823684</v>
      </c>
      <c r="E13" s="38">
        <f t="shared" ca="1" si="6"/>
        <v>57857.211685823684</v>
      </c>
      <c r="F13" s="38">
        <f t="shared" ca="1" si="6"/>
        <v>77009.702107279663</v>
      </c>
      <c r="G13" s="38">
        <f t="shared" ca="1" si="6"/>
        <v>77578.667624520924</v>
      </c>
      <c r="H13" s="38">
        <f t="shared" ca="1" si="6"/>
        <v>86056.062260536331</v>
      </c>
      <c r="I13" s="38">
        <f t="shared" ca="1" si="6"/>
        <v>84623.411877394494</v>
      </c>
      <c r="J13" s="38">
        <f t="shared" ca="1" si="6"/>
        <v>75497.154214559312</v>
      </c>
      <c r="K13" s="38">
        <f t="shared" ca="1" si="6"/>
        <v>76591.407088122534</v>
      </c>
      <c r="L13" s="38">
        <f t="shared" ca="1" si="6"/>
        <v>77413.246168582307</v>
      </c>
      <c r="M13" s="38">
        <f t="shared" ca="1" si="6"/>
        <v>75497.154214559312</v>
      </c>
      <c r="N13" s="38">
        <f t="shared" ca="1" si="6"/>
        <v>75497.154214559312</v>
      </c>
      <c r="O13" s="38">
        <f t="shared" ca="1" si="6"/>
        <v>75497.154214559312</v>
      </c>
      <c r="P13" s="50"/>
    </row>
    <row r="14" spans="1:22" ht="15.75" customHeight="1" x14ac:dyDescent="0.85">
      <c r="A14" s="53" t="s">
        <v>14</v>
      </c>
      <c r="B14" s="55" t="s">
        <v>81</v>
      </c>
      <c r="C14" s="59">
        <f t="shared" ref="C14:C15" ca="1" si="7">SUM(D14:O14)</f>
        <v>326653.48754789215</v>
      </c>
      <c r="D14" s="63">
        <f ca="1">'India- Tech Build Out'!J115/$B$31</f>
        <v>27028.394636015291</v>
      </c>
      <c r="E14" s="63">
        <f ca="1">'India- Tech Build Out'!K115/$B$31</f>
        <v>27028.394636015291</v>
      </c>
      <c r="F14" s="63">
        <f ca="1">'India- Tech Build Out'!L115/$B$31</f>
        <v>30184.716475095749</v>
      </c>
      <c r="G14" s="63">
        <f ca="1">'India- Tech Build Out'!M115/$B$31</f>
        <v>31131.84291187736</v>
      </c>
      <c r="H14" s="63">
        <f ca="1">'India- Tech Build Out'!N115/$B$31</f>
        <v>34053.681992337129</v>
      </c>
      <c r="I14" s="63">
        <f ca="1">'India- Tech Build Out'!O115/$B$31</f>
        <v>31438.272988505636</v>
      </c>
      <c r="J14" s="63">
        <f ca="1">'India- Tech Build Out'!P115/$B$31</f>
        <v>23978.681992337126</v>
      </c>
      <c r="K14" s="63">
        <f ca="1">'India- Tech Build Out'!Q115/$B$31</f>
        <v>23978.681992337126</v>
      </c>
      <c r="L14" s="63">
        <f ca="1">'India- Tech Build Out'!R115/$B$31</f>
        <v>25894.773946360117</v>
      </c>
      <c r="M14" s="63">
        <f ca="1">'India- Tech Build Out'!S115/$B$31</f>
        <v>23978.681992337126</v>
      </c>
      <c r="N14" s="63">
        <f ca="1">'India- Tech Build Out'!T115/$B$31</f>
        <v>23978.681992337126</v>
      </c>
      <c r="O14" s="63">
        <f ca="1">'India- Tech Build Out'!U115/$B$31</f>
        <v>23978.681992337126</v>
      </c>
      <c r="P14" s="50"/>
    </row>
    <row r="15" spans="1:22" ht="15.75" customHeight="1" x14ac:dyDescent="0.85">
      <c r="A15" s="53" t="s">
        <v>14</v>
      </c>
      <c r="B15" s="109" t="s">
        <v>41</v>
      </c>
      <c r="C15" s="59">
        <f t="shared" ca="1" si="7"/>
        <v>570322.04980842862</v>
      </c>
      <c r="D15" s="59">
        <f ca="1">'India- Tech Build Out'!J142/$B$31</f>
        <v>30828.817049808393</v>
      </c>
      <c r="E15" s="59">
        <f ca="1">'India- Tech Build Out'!K142/$B$31</f>
        <v>30828.817049808393</v>
      </c>
      <c r="F15" s="59">
        <f ca="1">'India- Tech Build Out'!L142/$B$31</f>
        <v>46824.985632183911</v>
      </c>
      <c r="G15" s="59">
        <f ca="1">'India- Tech Build Out'!M142/$B$31</f>
        <v>46446.824712643567</v>
      </c>
      <c r="H15" s="59">
        <f ca="1">'India- Tech Build Out'!N142/$B$31</f>
        <v>52002.380268199195</v>
      </c>
      <c r="I15" s="59">
        <f ca="1">'India- Tech Build Out'!O142/$B$31</f>
        <v>53185.138888888854</v>
      </c>
      <c r="J15" s="59">
        <f ca="1">'India- Tech Build Out'!P142/$B$31</f>
        <v>51518.47222222219</v>
      </c>
      <c r="K15" s="59">
        <f ca="1">'India- Tech Build Out'!Q142/$B$31</f>
        <v>52612.725095785405</v>
      </c>
      <c r="L15" s="59">
        <f ca="1">'India- Tech Build Out'!R142/$B$31</f>
        <v>51518.47222222219</v>
      </c>
      <c r="M15" s="59">
        <f ca="1">'India- Tech Build Out'!S142/$B$31</f>
        <v>51518.47222222219</v>
      </c>
      <c r="N15" s="59">
        <f ca="1">'India- Tech Build Out'!T142/$B$31</f>
        <v>51518.47222222219</v>
      </c>
      <c r="O15" s="59">
        <f ca="1">'India- Tech Build Out'!U142/$B$31</f>
        <v>51518.47222222219</v>
      </c>
      <c r="P15" s="66"/>
      <c r="Q15" s="24"/>
      <c r="R15" s="24"/>
      <c r="S15" s="24"/>
      <c r="T15" s="24"/>
      <c r="U15" s="24"/>
      <c r="V15" s="24"/>
    </row>
    <row r="16" spans="1:22" ht="15.75" customHeight="1" x14ac:dyDescent="0.85">
      <c r="A16" s="28" t="s">
        <v>42</v>
      </c>
      <c r="B16" s="28" t="s">
        <v>16</v>
      </c>
      <c r="C16" s="38">
        <f t="shared" ref="C16:O16" si="8">SUM(C17)</f>
        <v>21193.777777777777</v>
      </c>
      <c r="D16" s="38">
        <f t="shared" si="8"/>
        <v>1025.4074074074074</v>
      </c>
      <c r="E16" s="38">
        <f t="shared" si="8"/>
        <v>1025.4074074074074</v>
      </c>
      <c r="F16" s="38">
        <f t="shared" si="8"/>
        <v>1580.962962962963</v>
      </c>
      <c r="G16" s="38">
        <f t="shared" si="8"/>
        <v>1580.962962962963</v>
      </c>
      <c r="H16" s="38">
        <f t="shared" si="8"/>
        <v>1580.962962962963</v>
      </c>
      <c r="I16" s="38">
        <f t="shared" si="8"/>
        <v>1580.962962962963</v>
      </c>
      <c r="J16" s="38">
        <f t="shared" si="8"/>
        <v>2136.5185185185187</v>
      </c>
      <c r="K16" s="38">
        <f t="shared" si="8"/>
        <v>2136.5185185185187</v>
      </c>
      <c r="L16" s="38">
        <f t="shared" si="8"/>
        <v>2136.5185185185187</v>
      </c>
      <c r="M16" s="38">
        <f t="shared" si="8"/>
        <v>2136.5185185185187</v>
      </c>
      <c r="N16" s="38">
        <f t="shared" si="8"/>
        <v>2136.5185185185187</v>
      </c>
      <c r="O16" s="38">
        <f t="shared" si="8"/>
        <v>2136.5185185185187</v>
      </c>
      <c r="P16" s="66"/>
      <c r="Q16" s="24"/>
      <c r="R16" s="24"/>
      <c r="S16" s="24"/>
      <c r="T16" s="24"/>
      <c r="U16" s="24"/>
      <c r="V16" s="24"/>
    </row>
    <row r="17" spans="1:22" ht="15.75" customHeight="1" x14ac:dyDescent="0.85">
      <c r="A17" s="108" t="s">
        <v>42</v>
      </c>
      <c r="B17" s="55" t="s">
        <v>68</v>
      </c>
      <c r="C17" s="59">
        <f>SUM(D17:O17)</f>
        <v>21193.777777777777</v>
      </c>
      <c r="D17" s="59">
        <f>'Nepal- Tech Build Out'!J23/$B$34</f>
        <v>1025.4074074074074</v>
      </c>
      <c r="E17" s="59">
        <f>'Nepal- Tech Build Out'!K23/$B$34</f>
        <v>1025.4074074074074</v>
      </c>
      <c r="F17" s="59">
        <f>'Nepal- Tech Build Out'!L23/$B$34</f>
        <v>1580.962962962963</v>
      </c>
      <c r="G17" s="59">
        <f>'Nepal- Tech Build Out'!M23/$B$34</f>
        <v>1580.962962962963</v>
      </c>
      <c r="H17" s="59">
        <f>'Nepal- Tech Build Out'!N23/$B$34</f>
        <v>1580.962962962963</v>
      </c>
      <c r="I17" s="59">
        <f>'Nepal- Tech Build Out'!O23/$B$34</f>
        <v>1580.962962962963</v>
      </c>
      <c r="J17" s="59">
        <f>'Nepal- Tech Build Out'!P23/$B$34</f>
        <v>2136.5185185185187</v>
      </c>
      <c r="K17" s="59">
        <f>'Nepal- Tech Build Out'!Q23/$B$34</f>
        <v>2136.5185185185187</v>
      </c>
      <c r="L17" s="59">
        <f>'Nepal- Tech Build Out'!R23/$B$34</f>
        <v>2136.5185185185187</v>
      </c>
      <c r="M17" s="59">
        <f>'Nepal- Tech Build Out'!S23/$B$34</f>
        <v>2136.5185185185187</v>
      </c>
      <c r="N17" s="59">
        <f>'Nepal- Tech Build Out'!T23/$B$34</f>
        <v>2136.5185185185187</v>
      </c>
      <c r="O17" s="59">
        <f>'Nepal- Tech Build Out'!U23/$B$34</f>
        <v>2136.5185185185187</v>
      </c>
      <c r="P17" s="66"/>
      <c r="Q17" s="24"/>
      <c r="R17" s="24"/>
      <c r="S17" s="24"/>
      <c r="T17" s="24"/>
      <c r="U17" s="24"/>
      <c r="V17" s="24"/>
    </row>
    <row r="18" spans="1:22" ht="15.75" customHeight="1" x14ac:dyDescent="0.85">
      <c r="A18" s="116" t="s">
        <v>44</v>
      </c>
      <c r="B18" s="28" t="s">
        <v>16</v>
      </c>
      <c r="C18" s="38">
        <f t="shared" ref="C18:O18" ca="1" si="9">SUM(C19:C20)</f>
        <v>288853.99999999919</v>
      </c>
      <c r="D18" s="38">
        <f t="shared" ca="1" si="9"/>
        <v>37152.666666666599</v>
      </c>
      <c r="E18" s="38">
        <f t="shared" ca="1" si="9"/>
        <v>24685.666666666599</v>
      </c>
      <c r="F18" s="38">
        <f t="shared" ca="1" si="9"/>
        <v>25525.666666666599</v>
      </c>
      <c r="G18" s="38">
        <f t="shared" ca="1" si="9"/>
        <v>22182.666666666599</v>
      </c>
      <c r="H18" s="38">
        <f t="shared" ca="1" si="9"/>
        <v>22758.666666666599</v>
      </c>
      <c r="I18" s="38">
        <f t="shared" ca="1" si="9"/>
        <v>21745.666666666599</v>
      </c>
      <c r="J18" s="38">
        <f t="shared" ca="1" si="9"/>
        <v>24333.666666666599</v>
      </c>
      <c r="K18" s="38">
        <f t="shared" ca="1" si="9"/>
        <v>21855.666666666599</v>
      </c>
      <c r="L18" s="38">
        <f t="shared" ca="1" si="9"/>
        <v>22471.666666666599</v>
      </c>
      <c r="M18" s="38">
        <f t="shared" ca="1" si="9"/>
        <v>21874.666666666599</v>
      </c>
      <c r="N18" s="38">
        <f t="shared" ca="1" si="9"/>
        <v>22496.666666666599</v>
      </c>
      <c r="O18" s="38">
        <f t="shared" ca="1" si="9"/>
        <v>21770.666666666599</v>
      </c>
      <c r="P18" s="66"/>
      <c r="Q18" s="24"/>
      <c r="R18" s="24"/>
      <c r="S18" s="24"/>
      <c r="T18" s="24"/>
      <c r="U18" s="24"/>
      <c r="V18" s="24"/>
    </row>
    <row r="19" spans="1:22" ht="15.75" customHeight="1" x14ac:dyDescent="0.85">
      <c r="A19" s="108" t="s">
        <v>44</v>
      </c>
      <c r="B19" s="55" t="s">
        <v>16</v>
      </c>
      <c r="C19" s="59">
        <f t="shared" ref="C19:C20" ca="1" si="10">SUM(D19:O19)</f>
        <v>0</v>
      </c>
      <c r="D19" s="59">
        <f ca="1">'US- Tech Build Out'!J23</f>
        <v>0</v>
      </c>
      <c r="E19" s="59">
        <f ca="1">'US- Tech Build Out'!K23</f>
        <v>0</v>
      </c>
      <c r="F19" s="59">
        <f ca="1">'US- Tech Build Out'!L23</f>
        <v>0</v>
      </c>
      <c r="G19" s="59">
        <f ca="1">'US- Tech Build Out'!M23</f>
        <v>0</v>
      </c>
      <c r="H19" s="59">
        <f ca="1">'US- Tech Build Out'!N23</f>
        <v>0</v>
      </c>
      <c r="I19" s="59">
        <f ca="1">'US- Tech Build Out'!O23</f>
        <v>0</v>
      </c>
      <c r="J19" s="59">
        <f ca="1">'US- Tech Build Out'!P23</f>
        <v>0</v>
      </c>
      <c r="K19" s="59">
        <f ca="1">'US- Tech Build Out'!Q23</f>
        <v>0</v>
      </c>
      <c r="L19" s="59">
        <f ca="1">'US- Tech Build Out'!R23</f>
        <v>0</v>
      </c>
      <c r="M19" s="59">
        <f ca="1">'US- Tech Build Out'!S23</f>
        <v>0</v>
      </c>
      <c r="N19" s="59">
        <f ca="1">'US- Tech Build Out'!T23</f>
        <v>0</v>
      </c>
      <c r="O19" s="59">
        <f ca="1">'US- Tech Build Out'!U23</f>
        <v>0</v>
      </c>
      <c r="P19" s="66"/>
      <c r="Q19" s="24"/>
      <c r="R19" s="24"/>
      <c r="S19" s="24"/>
      <c r="T19" s="24"/>
      <c r="U19" s="24"/>
      <c r="V19" s="24"/>
    </row>
    <row r="20" spans="1:22" ht="15.75" customHeight="1" x14ac:dyDescent="0.85">
      <c r="A20" s="108" t="s">
        <v>44</v>
      </c>
      <c r="B20" s="86" t="s">
        <v>68</v>
      </c>
      <c r="C20" s="59">
        <f t="shared" ca="1" si="10"/>
        <v>288853.99999999919</v>
      </c>
      <c r="D20" s="59">
        <f ca="1">'US- Tech Build Out'!J46</f>
        <v>37152.666666666599</v>
      </c>
      <c r="E20" s="59">
        <f ca="1">'US- Tech Build Out'!K46</f>
        <v>24685.666666666599</v>
      </c>
      <c r="F20" s="59">
        <f ca="1">'US- Tech Build Out'!L46</f>
        <v>25525.666666666599</v>
      </c>
      <c r="G20" s="59">
        <f ca="1">'US- Tech Build Out'!M46</f>
        <v>22182.666666666599</v>
      </c>
      <c r="H20" s="59">
        <f ca="1">'US- Tech Build Out'!N46</f>
        <v>22758.666666666599</v>
      </c>
      <c r="I20" s="59">
        <f ca="1">'US- Tech Build Out'!O46</f>
        <v>21745.666666666599</v>
      </c>
      <c r="J20" s="59">
        <f ca="1">'US- Tech Build Out'!P46</f>
        <v>24333.666666666599</v>
      </c>
      <c r="K20" s="59">
        <f ca="1">'US- Tech Build Out'!Q46</f>
        <v>21855.666666666599</v>
      </c>
      <c r="L20" s="59">
        <f ca="1">'US- Tech Build Out'!R46</f>
        <v>22471.666666666599</v>
      </c>
      <c r="M20" s="59">
        <f ca="1">'US- Tech Build Out'!S46</f>
        <v>21874.666666666599</v>
      </c>
      <c r="N20" s="59">
        <f ca="1">'US- Tech Build Out'!T46</f>
        <v>22496.666666666599</v>
      </c>
      <c r="O20" s="59">
        <f ca="1">'US- Tech Build Out'!U46</f>
        <v>21770.666666666599</v>
      </c>
      <c r="P20" s="66"/>
      <c r="Q20" s="24"/>
      <c r="R20" s="24"/>
      <c r="S20" s="24"/>
      <c r="T20" s="24"/>
      <c r="U20" s="24"/>
      <c r="V20" s="24"/>
    </row>
    <row r="21" spans="1:22" ht="15.75" customHeight="1" x14ac:dyDescent="0.85">
      <c r="A21" s="117"/>
      <c r="B21" s="118"/>
      <c r="C21" s="119">
        <f t="shared" ref="C21:O21" ca="1" si="11">C3+C7+C10+C13+C16+C18</f>
        <v>2182266.5002564634</v>
      </c>
      <c r="D21" s="119">
        <f t="shared" ca="1" si="11"/>
        <v>160226.86466147806</v>
      </c>
      <c r="E21" s="119">
        <f t="shared" ca="1" si="11"/>
        <v>162618.11000774236</v>
      </c>
      <c r="F21" s="119">
        <f t="shared" ca="1" si="11"/>
        <v>192222.15098068304</v>
      </c>
      <c r="G21" s="119">
        <f t="shared" ca="1" si="11"/>
        <v>202430.57982551062</v>
      </c>
      <c r="H21" s="119">
        <f t="shared" ca="1" si="11"/>
        <v>190849.6976274742</v>
      </c>
      <c r="I21" s="119">
        <f t="shared" ca="1" si="11"/>
        <v>186137.20761358534</v>
      </c>
      <c r="J21" s="119">
        <f t="shared" ca="1" si="11"/>
        <v>183599.44720242638</v>
      </c>
      <c r="K21" s="119">
        <f t="shared" ca="1" si="11"/>
        <v>179985.01843734022</v>
      </c>
      <c r="L21" s="119">
        <f t="shared" ca="1" si="11"/>
        <v>185642.67636909307</v>
      </c>
      <c r="M21" s="119">
        <f t="shared" ca="1" si="11"/>
        <v>180806.09208892065</v>
      </c>
      <c r="N21" s="119">
        <f t="shared" ca="1" si="11"/>
        <v>179626.56335328848</v>
      </c>
      <c r="O21" s="119">
        <f t="shared" ca="1" si="11"/>
        <v>178122.09208892065</v>
      </c>
      <c r="P21" s="50"/>
    </row>
    <row r="22" spans="1:22" ht="15.75" customHeight="1" x14ac:dyDescent="0.3">
      <c r="A22" s="120"/>
      <c r="B22" s="121" t="s">
        <v>102</v>
      </c>
      <c r="C22" s="122">
        <f ca="1">C21-'Digital Product Summary by COA'!E49</f>
        <v>0</v>
      </c>
      <c r="D22" s="122">
        <f ca="1">D21-'Digital Product Summary by COA'!F49</f>
        <v>0</v>
      </c>
      <c r="E22" s="122">
        <f ca="1">E21-'Digital Product Summary by COA'!G49</f>
        <v>0</v>
      </c>
      <c r="F22" s="122">
        <f ca="1">F21-'Digital Product Summary by COA'!H49</f>
        <v>0</v>
      </c>
      <c r="G22" s="122">
        <f ca="1">G21-'Digital Product Summary by COA'!I49</f>
        <v>0</v>
      </c>
      <c r="H22" s="122">
        <f ca="1">H21-'Digital Product Summary by COA'!J49</f>
        <v>0</v>
      </c>
      <c r="I22" s="122">
        <f ca="1">I21-'Digital Product Summary by COA'!K49</f>
        <v>0</v>
      </c>
      <c r="J22" s="122">
        <f ca="1">J21-'Digital Product Summary by COA'!L49</f>
        <v>0</v>
      </c>
      <c r="K22" s="122">
        <f ca="1">K21-'Digital Product Summary by COA'!M49</f>
        <v>0</v>
      </c>
      <c r="L22" s="122">
        <f ca="1">L21-'Digital Product Summary by COA'!N49</f>
        <v>0</v>
      </c>
      <c r="M22" s="122">
        <f ca="1">M21-'Digital Product Summary by COA'!O49</f>
        <v>0</v>
      </c>
      <c r="N22" s="122">
        <f ca="1">N21-'Digital Product Summary by COA'!P49</f>
        <v>0</v>
      </c>
      <c r="O22" s="122">
        <f ca="1">O21-'Digital Product Summary by COA'!Q49</f>
        <v>0</v>
      </c>
    </row>
    <row r="23" spans="1:22" ht="15.75" customHeight="1" x14ac:dyDescent="0.3">
      <c r="A23" s="120"/>
      <c r="C23" s="50"/>
    </row>
    <row r="24" spans="1:22" ht="15.75" customHeight="1" x14ac:dyDescent="0.3">
      <c r="A24" s="120"/>
      <c r="C24" s="50"/>
    </row>
    <row r="25" spans="1:22" ht="15.75" customHeight="1" x14ac:dyDescent="0.3">
      <c r="A25" s="120"/>
      <c r="C25" s="50"/>
    </row>
    <row r="26" spans="1:22" ht="15.75" customHeight="1" x14ac:dyDescent="0.3">
      <c r="A26" s="120"/>
      <c r="C26" s="50"/>
    </row>
    <row r="27" spans="1:22" ht="15.75" customHeight="1" x14ac:dyDescent="0.3">
      <c r="A27" s="120"/>
      <c r="C27" s="50"/>
    </row>
    <row r="28" spans="1:22" ht="15.75" customHeight="1" x14ac:dyDescent="0.3">
      <c r="A28" s="120"/>
      <c r="C28" s="50"/>
    </row>
    <row r="29" spans="1:22" ht="15.75" customHeight="1" x14ac:dyDescent="0.3">
      <c r="A29" s="120"/>
      <c r="C29" s="50"/>
    </row>
    <row r="30" spans="1:22" ht="15.75" customHeight="1" x14ac:dyDescent="0.3">
      <c r="A30" s="120"/>
      <c r="C30" s="50"/>
    </row>
    <row r="31" spans="1:22" ht="15.75" customHeight="1" x14ac:dyDescent="0.3">
      <c r="A31" s="30" t="s">
        <v>106</v>
      </c>
      <c r="B31" s="30">
        <v>87</v>
      </c>
    </row>
    <row r="32" spans="1:22" ht="15.75" customHeight="1" x14ac:dyDescent="0.3">
      <c r="A32" s="30" t="s">
        <v>107</v>
      </c>
      <c r="B32" s="30">
        <v>16000</v>
      </c>
    </row>
    <row r="33" spans="1:2" ht="15.75" customHeight="1" x14ac:dyDescent="0.3">
      <c r="A33" s="30" t="s">
        <v>108</v>
      </c>
      <c r="B33" s="30">
        <v>120</v>
      </c>
    </row>
    <row r="34" spans="1:2" ht="15.75" customHeight="1" x14ac:dyDescent="0.3">
      <c r="A34" s="30" t="s">
        <v>109</v>
      </c>
      <c r="B34" s="30">
        <v>135</v>
      </c>
    </row>
    <row r="35" spans="1:2" ht="15.75" customHeight="1" x14ac:dyDescent="0.3">
      <c r="A35" s="30" t="s">
        <v>44</v>
      </c>
      <c r="B35" s="69">
        <v>1</v>
      </c>
    </row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343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" customHeight="1" x14ac:dyDescent="0.25"/>
  <cols>
    <col min="1" max="1" width="14.26953125" customWidth="1"/>
    <col min="2" max="2" width="28.08984375" customWidth="1"/>
    <col min="3" max="3" width="36.453125" customWidth="1"/>
    <col min="4" max="4" width="13.36328125" customWidth="1"/>
    <col min="5" max="5" width="11.90625" customWidth="1"/>
    <col min="6" max="6" width="12.6328125" customWidth="1"/>
    <col min="8" max="8" width="13.453125" customWidth="1"/>
    <col min="9" max="9" width="13.6328125" customWidth="1"/>
    <col min="10" max="10" width="14.36328125" customWidth="1"/>
    <col min="11" max="11" width="13.26953125" customWidth="1"/>
    <col min="12" max="12" width="13.7265625" customWidth="1"/>
    <col min="14" max="14" width="13.36328125" customWidth="1"/>
    <col min="17" max="17" width="15.453125" customWidth="1"/>
    <col min="18" max="18" width="4.453125" customWidth="1"/>
    <col min="19" max="19" width="14.08984375" customWidth="1"/>
    <col min="20" max="20" width="10.6328125" customWidth="1"/>
    <col min="21" max="34" width="16.7265625" customWidth="1"/>
  </cols>
  <sheetData>
    <row r="1" spans="1:34" ht="24.75" customHeight="1" x14ac:dyDescent="0.25">
      <c r="A1" s="14" t="s">
        <v>4</v>
      </c>
      <c r="B1" s="19" t="s">
        <v>8</v>
      </c>
      <c r="C1" s="21" t="s">
        <v>10</v>
      </c>
      <c r="D1" s="23" t="s">
        <v>12</v>
      </c>
      <c r="E1" s="7" t="s">
        <v>2</v>
      </c>
      <c r="F1" s="8">
        <v>46023</v>
      </c>
      <c r="G1" s="8">
        <v>46054</v>
      </c>
      <c r="H1" s="8">
        <v>46082</v>
      </c>
      <c r="I1" s="8">
        <v>46113</v>
      </c>
      <c r="J1" s="8">
        <v>46143</v>
      </c>
      <c r="K1" s="8">
        <v>46174</v>
      </c>
      <c r="L1" s="8">
        <v>46204</v>
      </c>
      <c r="M1" s="8">
        <v>46235</v>
      </c>
      <c r="N1" s="8">
        <v>46266</v>
      </c>
      <c r="O1" s="8">
        <v>46296</v>
      </c>
      <c r="P1" s="8">
        <v>46327</v>
      </c>
      <c r="Q1" s="8">
        <v>46357</v>
      </c>
      <c r="R1" s="37"/>
      <c r="S1" s="39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34" ht="15.75" customHeight="1" x14ac:dyDescent="0.85">
      <c r="A2" s="3"/>
      <c r="B2" s="5"/>
      <c r="C2" s="5"/>
      <c r="D2" s="5"/>
      <c r="E2" s="20" t="s">
        <v>9</v>
      </c>
      <c r="F2" s="22" t="s">
        <v>9</v>
      </c>
      <c r="G2" s="22" t="s">
        <v>9</v>
      </c>
      <c r="H2" s="22" t="s">
        <v>9</v>
      </c>
      <c r="I2" s="22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49"/>
      <c r="S2" s="52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3" spans="1:34" ht="15.75" customHeight="1" x14ac:dyDescent="0.85">
      <c r="A3" s="32" t="s">
        <v>35</v>
      </c>
      <c r="B3" s="56" t="s">
        <v>37</v>
      </c>
      <c r="C3" s="58" t="s">
        <v>37</v>
      </c>
      <c r="D3" s="60" t="s">
        <v>38</v>
      </c>
      <c r="E3" s="62">
        <f t="shared" ref="E3:E48" ca="1" si="0">SUM(F3:Q3)</f>
        <v>1229549.0704152279</v>
      </c>
      <c r="F3" s="71">
        <f ca="1">SUMIFS(F$53:F$318,$A$53:$A$318,"India",$C$53:$C$318,$C3)/'Shared Summary by Dept_US$'!$B$31+SUMIFS(F$53:F$318,$A$53:$A$318,"INDO",$C$53:$C$318,$C3)/'Shared Summary by Dept_US$'!$B$32+SUMIFS(F$53:F$318,$A$53:$A$318,"BD",$C$53:$C$318,$C3)/'Shared Summary by Dept_US$'!$B$33+SUMIFS(F$53:F$318,$A$53:$A$318,"Nepal",$C$53:$C$318,$C3)/'Shared Summary by Dept_US$'!$B$34+SUMIFS(F$53:F$318,$A$53:$A$318,"US",$C$53:$C$318,$C3)/'Shared Summary by Dept_US$'!$B$35</f>
        <v>76195.929000079617</v>
      </c>
      <c r="G3" s="71">
        <f ca="1">SUMIFS(G$53:G$318,$A$53:$A$318,"India",$C$53:$C$318,$C3)/'Shared Summary by Dept_US$'!$B$31+SUMIFS(G$53:G$318,$A$53:$A$318,"INDO",$C$53:$C$318,$C3)/'Shared Summary by Dept_US$'!$B$32+SUMIFS(G$53:G$318,$A$53:$A$318,"BD",$C$53:$C$318,$C3)/'Shared Summary by Dept_US$'!$B$33+SUMIFS(G$53:G$318,$A$53:$A$318,"Nepal",$C$53:$C$318,$C3)/'Shared Summary by Dept_US$'!$B$34+SUMIFS(G$53:G$318,$A$53:$A$318,"US",$C$53:$C$318,$C3)/'Shared Summary by Dept_US$'!$B$35</f>
        <v>80973.188250079605</v>
      </c>
      <c r="H3" s="71">
        <f ca="1">SUMIFS(H$53:H$318,$A$53:$A$318,"India",$C$53:$C$318,$C3)/'Shared Summary by Dept_US$'!$B$31+SUMIFS(H$53:H$318,$A$53:$A$318,"INDO",$C$53:$C$318,$C3)/'Shared Summary by Dept_US$'!$B$32+SUMIFS(H$53:H$318,$A$53:$A$318,"BD",$C$53:$C$318,$C3)/'Shared Summary by Dept_US$'!$B$33+SUMIFS(H$53:H$318,$A$53:$A$318,"Nepal",$C$53:$C$318,$C3)/'Shared Summary by Dept_US$'!$B$34+SUMIFS(H$53:H$318,$A$53:$A$318,"US",$C$53:$C$318,$C3)/'Shared Summary by Dept_US$'!$B$35</f>
        <v>81308.244305395754</v>
      </c>
      <c r="I3" s="71">
        <f ca="1">SUMIFS(I$53:I$318,$A$53:$A$318,"India",$C$53:$C$318,$C3)/'Shared Summary by Dept_US$'!$B$31+SUMIFS(I$53:I$318,$A$53:$A$318,"INDO",$C$53:$C$318,$C3)/'Shared Summary by Dept_US$'!$B$32+SUMIFS(I$53:I$318,$A$53:$A$318,"BD",$C$53:$C$318,$C3)/'Shared Summary by Dept_US$'!$B$33+SUMIFS(I$53:I$318,$A$53:$A$318,"Nepal",$C$53:$C$318,$C3)/'Shared Summary by Dept_US$'!$B$34+SUMIFS(I$53:I$318,$A$53:$A$318,"US",$C$53:$C$318,$C3)/'Shared Summary by Dept_US$'!$B$35</f>
        <v>104534.11567895887</v>
      </c>
      <c r="J3" s="71">
        <f ca="1">SUMIFS(J$53:J$318,$A$53:$A$318,"India",$C$53:$C$318,$C3)/'Shared Summary by Dept_US$'!$B$31+SUMIFS(J$53:J$318,$A$53:$A$318,"INDO",$C$53:$C$318,$C3)/'Shared Summary by Dept_US$'!$B$32+SUMIFS(J$53:J$318,$A$53:$A$318,"BD",$C$53:$C$318,$C3)/'Shared Summary by Dept_US$'!$B$33+SUMIFS(J$53:J$318,$A$53:$A$318,"Nepal",$C$53:$C$318,$C3)/'Shared Summary by Dept_US$'!$B$34+SUMIFS(J$53:J$318,$A$53:$A$318,"US",$C$53:$C$318,$C3)/'Shared Summary by Dept_US$'!$B$35</f>
        <v>112902.95540118107</v>
      </c>
      <c r="K3" s="71">
        <f ca="1">SUMIFS(K$53:K$318,$A$53:$A$318,"India",$C$53:$C$318,$C3)/'Shared Summary by Dept_US$'!$B$31+SUMIFS(K$53:K$318,$A$53:$A$318,"INDO",$C$53:$C$318,$C3)/'Shared Summary by Dept_US$'!$B$32+SUMIFS(K$53:K$318,$A$53:$A$318,"BD",$C$53:$C$318,$C3)/'Shared Summary by Dept_US$'!$B$33+SUMIFS(K$53:K$318,$A$53:$A$318,"Nepal",$C$53:$C$318,$C3)/'Shared Summary by Dept_US$'!$B$34+SUMIFS(K$53:K$318,$A$53:$A$318,"US",$C$53:$C$318,$C3)/'Shared Summary by Dept_US$'!$B$35</f>
        <v>112657.08290118116</v>
      </c>
      <c r="L3" s="71">
        <f ca="1">SUMIFS(L$53:L$318,$A$53:$A$318,"India",$C$53:$C$318,$C3)/'Shared Summary by Dept_US$'!$B$31+SUMIFS(L$53:L$318,$A$53:$A$318,"INDO",$C$53:$C$318,$C3)/'Shared Summary by Dept_US$'!$B$32+SUMIFS(L$53:L$318,$A$53:$A$318,"BD",$C$53:$C$318,$C3)/'Shared Summary by Dept_US$'!$B$33+SUMIFS(L$53:L$318,$A$53:$A$318,"Nepal",$C$53:$C$318,$C3)/'Shared Summary by Dept_US$'!$B$34+SUMIFS(L$53:L$318,$A$53:$A$318,"US",$C$53:$C$318,$C3)/'Shared Summary by Dept_US$'!$B$35</f>
        <v>110162.92581305864</v>
      </c>
      <c r="M3" s="71">
        <f ca="1">SUMIFS(M$53:M$318,$A$53:$A$318,"India",$C$53:$C$318,$C3)/'Shared Summary by Dept_US$'!$B$31+SUMIFS(M$53:M$318,$A$53:$A$318,"INDO",$C$53:$C$318,$C3)/'Shared Summary by Dept_US$'!$B$32+SUMIFS(M$53:M$318,$A$53:$A$318,"BD",$C$53:$C$318,$C3)/'Shared Summary by Dept_US$'!$B$33+SUMIFS(M$53:M$318,$A$53:$A$318,"Nepal",$C$53:$C$318,$C3)/'Shared Summary by Dept_US$'!$B$34+SUMIFS(M$53:M$318,$A$53:$A$318,"US",$C$53:$C$318,$C3)/'Shared Summary by Dept_US$'!$B$35</f>
        <v>110162.92581305864</v>
      </c>
      <c r="N3" s="71">
        <f ca="1">SUMIFS(N$53:N$318,$A$53:$A$318,"India",$C$53:$C$318,$C3)/'Shared Summary by Dept_US$'!$B$31+SUMIFS(N$53:N$318,$A$53:$A$318,"INDO",$C$53:$C$318,$C3)/'Shared Summary by Dept_US$'!$B$32+SUMIFS(N$53:N$318,$A$53:$A$318,"BD",$C$53:$C$318,$C3)/'Shared Summary by Dept_US$'!$B$33+SUMIFS(N$53:N$318,$A$53:$A$318,"Nepal",$C$53:$C$318,$C3)/'Shared Summary by Dept_US$'!$B$34+SUMIFS(N$53:N$318,$A$53:$A$318,"US",$C$53:$C$318,$C3)/'Shared Summary by Dept_US$'!$B$35</f>
        <v>110162.92581305864</v>
      </c>
      <c r="O3" s="71">
        <f ca="1">SUMIFS(O$53:O$318,$A$53:$A$318,"India",$C$53:$C$318,$C3)/'Shared Summary by Dept_US$'!$B$31+SUMIFS(O$53:O$318,$A$53:$A$318,"INDO",$C$53:$C$318,$C3)/'Shared Summary by Dept_US$'!$B$32+SUMIFS(O$53:O$318,$A$53:$A$318,"BD",$C$53:$C$318,$C3)/'Shared Summary by Dept_US$'!$B$33+SUMIFS(O$53:O$318,$A$53:$A$318,"Nepal",$C$53:$C$318,$C3)/'Shared Summary by Dept_US$'!$B$34+SUMIFS(O$53:O$318,$A$53:$A$318,"US",$C$53:$C$318,$C3)/'Shared Summary by Dept_US$'!$B$35</f>
        <v>110162.92581305864</v>
      </c>
      <c r="P3" s="71">
        <f ca="1">SUMIFS(P$53:P$318,$A$53:$A$318,"India",$C$53:$C$318,$C3)/'Shared Summary by Dept_US$'!$B$31+SUMIFS(P$53:P$318,$A$53:$A$318,"INDO",$C$53:$C$318,$C3)/'Shared Summary by Dept_US$'!$B$32+SUMIFS(P$53:P$318,$A$53:$A$318,"BD",$C$53:$C$318,$C3)/'Shared Summary by Dept_US$'!$B$33+SUMIFS(P$53:P$318,$A$53:$A$318,"Nepal",$C$53:$C$318,$C3)/'Shared Summary by Dept_US$'!$B$34+SUMIFS(P$53:P$318,$A$53:$A$318,"US",$C$53:$C$318,$C3)/'Shared Summary by Dept_US$'!$B$35</f>
        <v>110162.92581305864</v>
      </c>
      <c r="Q3" s="71">
        <f ca="1">SUMIFS(Q$53:Q$318,$A$53:$A$318,"India",$C$53:$C$318,$C3)/'Shared Summary by Dept_US$'!$B$31+SUMIFS(Q$53:Q$318,$A$53:$A$318,"INDO",$C$53:$C$318,$C3)/'Shared Summary by Dept_US$'!$B$32+SUMIFS(Q$53:Q$318,$A$53:$A$318,"BD",$C$53:$C$318,$C3)/'Shared Summary by Dept_US$'!$B$33+SUMIFS(Q$53:Q$318,$A$53:$A$318,"Nepal",$C$53:$C$318,$C3)/'Shared Summary by Dept_US$'!$B$34+SUMIFS(Q$53:Q$318,$A$53:$A$318,"US",$C$53:$C$318,$C3)/'Shared Summary by Dept_US$'!$B$35</f>
        <v>110162.92581305864</v>
      </c>
      <c r="S3" s="106"/>
      <c r="T3" s="10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spans="1:34" ht="15.75" customHeight="1" x14ac:dyDescent="0.85">
      <c r="A4" s="32" t="s">
        <v>35</v>
      </c>
      <c r="B4" s="108" t="s">
        <v>75</v>
      </c>
      <c r="C4" s="109" t="s">
        <v>72</v>
      </c>
      <c r="D4" s="110" t="s">
        <v>76</v>
      </c>
      <c r="E4" s="111">
        <f t="shared" ca="1" si="0"/>
        <v>21501.756513409957</v>
      </c>
      <c r="F4" s="71">
        <f ca="1">SUMIFS(F$53:F$318,$A$53:$A$318,"India",$C$53:$C$318,$C4)/'Shared Summary by Dept_US$'!$B$31+SUMIFS(F$53:F$318,$A$53:$A$318,"INDO",$C$53:$C$318,$C4)/'Shared Summary by Dept_US$'!$B$32+SUMIFS(F$53:F$318,$A$53:$A$318,"BD",$C$53:$C$318,$C4)/'Shared Summary by Dept_US$'!$B$33+SUMIFS(F$53:F$318,$A$53:$A$318,"Nepal",$C$53:$C$318,$C4)/'Shared Summary by Dept_US$'!$B$34+SUMIFS(F$53:F$318,$A$53:$A$318,"US",$C$53:$C$318,$C4)/'Shared Summary by Dept_US$'!$B$35</f>
        <v>1491.1494252873563</v>
      </c>
      <c r="G4" s="71">
        <f ca="1">SUMIFS(G$53:G$318,$A$53:$A$318,"India",$C$53:$C$318,$C4)/'Shared Summary by Dept_US$'!$B$31+SUMIFS(G$53:G$318,$A$53:$A$318,"INDO",$C$53:$C$318,$C4)/'Shared Summary by Dept_US$'!$B$32+SUMIFS(G$53:G$318,$A$53:$A$318,"BD",$C$53:$C$318,$C4)/'Shared Summary by Dept_US$'!$B$33+SUMIFS(G$53:G$318,$A$53:$A$318,"Nepal",$C$53:$C$318,$C4)/'Shared Summary by Dept_US$'!$B$34+SUMIFS(G$53:G$318,$A$53:$A$318,"US",$C$53:$C$318,$C4)/'Shared Summary by Dept_US$'!$B$35</f>
        <v>837.19999999999993</v>
      </c>
      <c r="H4" s="71">
        <f ca="1">SUMIFS(H$53:H$318,$A$53:$A$318,"India",$C$53:$C$318,$C4)/'Shared Summary by Dept_US$'!$B$31+SUMIFS(H$53:H$318,$A$53:$A$318,"INDO",$C$53:$C$318,$C4)/'Shared Summary by Dept_US$'!$B$32+SUMIFS(H$53:H$318,$A$53:$A$318,"BD",$C$53:$C$318,$C4)/'Shared Summary by Dept_US$'!$B$33+SUMIFS(H$53:H$318,$A$53:$A$318,"Nepal",$C$53:$C$318,$C4)/'Shared Summary by Dept_US$'!$B$34+SUMIFS(H$53:H$318,$A$53:$A$318,"US",$C$53:$C$318,$C4)/'Shared Summary by Dept_US$'!$B$35</f>
        <v>15204.597701149425</v>
      </c>
      <c r="I4" s="71">
        <f ca="1">SUMIFS(I$53:I$318,$A$53:$A$318,"India",$C$53:$C$318,$C4)/'Shared Summary by Dept_US$'!$B$31+SUMIFS(I$53:I$318,$A$53:$A$318,"INDO",$C$53:$C$318,$C4)/'Shared Summary by Dept_US$'!$B$32+SUMIFS(I$53:I$318,$A$53:$A$318,"BD",$C$53:$C$318,$C4)/'Shared Summary by Dept_US$'!$B$33+SUMIFS(I$53:I$318,$A$53:$A$318,"Nepal",$C$53:$C$318,$C4)/'Shared Summary by Dept_US$'!$B$34+SUMIFS(I$53:I$318,$A$53:$A$318,"US",$C$53:$C$318,$C4)/'Shared Summary by Dept_US$'!$B$35</f>
        <v>0</v>
      </c>
      <c r="J4" s="71">
        <f ca="1">SUMIFS(J$53:J$318,$A$53:$A$318,"India",$C$53:$C$318,$C4)/'Shared Summary by Dept_US$'!$B$31+SUMIFS(J$53:J$318,$A$53:$A$318,"INDO",$C$53:$C$318,$C4)/'Shared Summary by Dept_US$'!$B$32+SUMIFS(J$53:J$318,$A$53:$A$318,"BD",$C$53:$C$318,$C4)/'Shared Summary by Dept_US$'!$B$33+SUMIFS(J$53:J$318,$A$53:$A$318,"Nepal",$C$53:$C$318,$C4)/'Shared Summary by Dept_US$'!$B$34+SUMIFS(J$53:J$318,$A$53:$A$318,"US",$C$53:$C$318,$C4)/'Shared Summary by Dept_US$'!$B$35</f>
        <v>0</v>
      </c>
      <c r="K4" s="71">
        <f ca="1">SUMIFS(K$53:K$318,$A$53:$A$318,"India",$C$53:$C$318,$C4)/'Shared Summary by Dept_US$'!$B$31+SUMIFS(K$53:K$318,$A$53:$A$318,"INDO",$C$53:$C$318,$C4)/'Shared Summary by Dept_US$'!$B$32+SUMIFS(K$53:K$318,$A$53:$A$318,"BD",$C$53:$C$318,$C4)/'Shared Summary by Dept_US$'!$B$33+SUMIFS(K$53:K$318,$A$53:$A$318,"Nepal",$C$53:$C$318,$C4)/'Shared Summary by Dept_US$'!$B$34+SUMIFS(K$53:K$318,$A$53:$A$318,"US",$C$53:$C$318,$C4)/'Shared Summary by Dept_US$'!$B$35</f>
        <v>3190.3381226053561</v>
      </c>
      <c r="L4" s="71">
        <f ca="1">SUMIFS(L$53:L$318,$A$53:$A$318,"India",$C$53:$C$318,$C4)/'Shared Summary by Dept_US$'!$B$31+SUMIFS(L$53:L$318,$A$53:$A$318,"INDO",$C$53:$C$318,$C4)/'Shared Summary by Dept_US$'!$B$32+SUMIFS(L$53:L$318,$A$53:$A$318,"BD",$C$53:$C$318,$C4)/'Shared Summary by Dept_US$'!$B$33+SUMIFS(L$53:L$318,$A$53:$A$318,"Nepal",$C$53:$C$318,$C4)/'Shared Summary by Dept_US$'!$B$34+SUMIFS(L$53:L$318,$A$53:$A$318,"US",$C$53:$C$318,$C4)/'Shared Summary by Dept_US$'!$B$35</f>
        <v>0</v>
      </c>
      <c r="M4" s="71">
        <f ca="1">SUMIFS(M$53:M$318,$A$53:$A$318,"India",$C$53:$C$318,$C4)/'Shared Summary by Dept_US$'!$B$31+SUMIFS(M$53:M$318,$A$53:$A$318,"INDO",$C$53:$C$318,$C4)/'Shared Summary by Dept_US$'!$B$32+SUMIFS(M$53:M$318,$A$53:$A$318,"BD",$C$53:$C$318,$C4)/'Shared Summary by Dept_US$'!$B$33+SUMIFS(M$53:M$318,$A$53:$A$318,"Nepal",$C$53:$C$318,$C4)/'Shared Summary by Dept_US$'!$B$34+SUMIFS(M$53:M$318,$A$53:$A$318,"US",$C$53:$C$318,$C4)/'Shared Summary by Dept_US$'!$B$35</f>
        <v>0</v>
      </c>
      <c r="N4" s="71">
        <f ca="1">SUMIFS(N$53:N$318,$A$53:$A$318,"India",$C$53:$C$318,$C4)/'Shared Summary by Dept_US$'!$B$31+SUMIFS(N$53:N$318,$A$53:$A$318,"INDO",$C$53:$C$318,$C4)/'Shared Summary by Dept_US$'!$B$32+SUMIFS(N$53:N$318,$A$53:$A$318,"BD",$C$53:$C$318,$C4)/'Shared Summary by Dept_US$'!$B$33+SUMIFS(N$53:N$318,$A$53:$A$318,"Nepal",$C$53:$C$318,$C4)/'Shared Summary by Dept_US$'!$B$34+SUMIFS(N$53:N$318,$A$53:$A$318,"US",$C$53:$C$318,$C4)/'Shared Summary by Dept_US$'!$B$35</f>
        <v>0</v>
      </c>
      <c r="O4" s="71">
        <f ca="1">SUMIFS(O$53:O$318,$A$53:$A$318,"India",$C$53:$C$318,$C4)/'Shared Summary by Dept_US$'!$B$31+SUMIFS(O$53:O$318,$A$53:$A$318,"INDO",$C$53:$C$318,$C4)/'Shared Summary by Dept_US$'!$B$32+SUMIFS(O$53:O$318,$A$53:$A$318,"BD",$C$53:$C$318,$C4)/'Shared Summary by Dept_US$'!$B$33+SUMIFS(O$53:O$318,$A$53:$A$318,"Nepal",$C$53:$C$318,$C4)/'Shared Summary by Dept_US$'!$B$34+SUMIFS(O$53:O$318,$A$53:$A$318,"US",$C$53:$C$318,$C4)/'Shared Summary by Dept_US$'!$B$35</f>
        <v>0</v>
      </c>
      <c r="P4" s="71">
        <f ca="1">SUMIFS(P$53:P$318,$A$53:$A$318,"India",$C$53:$C$318,$C4)/'Shared Summary by Dept_US$'!$B$31+SUMIFS(P$53:P$318,$A$53:$A$318,"INDO",$C$53:$C$318,$C4)/'Shared Summary by Dept_US$'!$B$32+SUMIFS(P$53:P$318,$A$53:$A$318,"BD",$C$53:$C$318,$C4)/'Shared Summary by Dept_US$'!$B$33+SUMIFS(P$53:P$318,$A$53:$A$318,"Nepal",$C$53:$C$318,$C4)/'Shared Summary by Dept_US$'!$B$34+SUMIFS(P$53:P$318,$A$53:$A$318,"US",$C$53:$C$318,$C4)/'Shared Summary by Dept_US$'!$B$35</f>
        <v>778.47126436781605</v>
      </c>
      <c r="Q4" s="71">
        <f ca="1">SUMIFS(Q$53:Q$318,$A$53:$A$318,"India",$C$53:$C$318,$C4)/'Shared Summary by Dept_US$'!$B$31+SUMIFS(Q$53:Q$318,$A$53:$A$318,"INDO",$C$53:$C$318,$C4)/'Shared Summary by Dept_US$'!$B$32+SUMIFS(Q$53:Q$318,$A$53:$A$318,"BD",$C$53:$C$318,$C4)/'Shared Summary by Dept_US$'!$B$33+SUMIFS(Q$53:Q$318,$A$53:$A$318,"Nepal",$C$53:$C$318,$C4)/'Shared Summary by Dept_US$'!$B$34+SUMIFS(Q$53:Q$318,$A$53:$A$318,"US",$C$53:$C$318,$C4)/'Shared Summary by Dept_US$'!$B$35</f>
        <v>0</v>
      </c>
      <c r="S4" s="106"/>
      <c r="T4" s="107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pans="1:34" ht="15.75" customHeight="1" x14ac:dyDescent="0.85">
      <c r="A5" s="32" t="s">
        <v>35</v>
      </c>
      <c r="B5" s="108" t="s">
        <v>75</v>
      </c>
      <c r="C5" s="109" t="s">
        <v>73</v>
      </c>
      <c r="D5" s="110">
        <v>91207</v>
      </c>
      <c r="E5" s="111">
        <f t="shared" ca="1" si="0"/>
        <v>0</v>
      </c>
      <c r="F5" s="71">
        <f ca="1">SUMIFS(F$53:F$318,$A$53:$A$318,"India",$C$53:$C$318,$C5)/'Shared Summary by Dept_US$'!$B$31+SUMIFS(F$53:F$318,$A$53:$A$318,"INDO",$C$53:$C$318,$C5)/'Shared Summary by Dept_US$'!$B$32+SUMIFS(F$53:F$318,$A$53:$A$318,"BD",$C$53:$C$318,$C5)/'Shared Summary by Dept_US$'!$B$33+SUMIFS(F$53:F$318,$A$53:$A$318,"Nepal",$C$53:$C$318,$C5)/'Shared Summary by Dept_US$'!$B$34+SUMIFS(F$53:F$318,$A$53:$A$318,"US",$C$53:$C$318,$C5)/'Shared Summary by Dept_US$'!$B$35</f>
        <v>0</v>
      </c>
      <c r="G5" s="71">
        <f ca="1">SUMIFS(G$53:G$318,$A$53:$A$318,"India",$C$53:$C$318,$C5)/'Shared Summary by Dept_US$'!$B$31+SUMIFS(G$53:G$318,$A$53:$A$318,"INDO",$C$53:$C$318,$C5)/'Shared Summary by Dept_US$'!$B$32+SUMIFS(G$53:G$318,$A$53:$A$318,"BD",$C$53:$C$318,$C5)/'Shared Summary by Dept_US$'!$B$33+SUMIFS(G$53:G$318,$A$53:$A$318,"Nepal",$C$53:$C$318,$C5)/'Shared Summary by Dept_US$'!$B$34+SUMIFS(G$53:G$318,$A$53:$A$318,"US",$C$53:$C$318,$C5)/'Shared Summary by Dept_US$'!$B$35</f>
        <v>0</v>
      </c>
      <c r="H5" s="71">
        <f ca="1">SUMIFS(H$53:H$318,$A$53:$A$318,"India",$C$53:$C$318,$C5)/'Shared Summary by Dept_US$'!$B$31+SUMIFS(H$53:H$318,$A$53:$A$318,"INDO",$C$53:$C$318,$C5)/'Shared Summary by Dept_US$'!$B$32+SUMIFS(H$53:H$318,$A$53:$A$318,"BD",$C$53:$C$318,$C5)/'Shared Summary by Dept_US$'!$B$33+SUMIFS(H$53:H$318,$A$53:$A$318,"Nepal",$C$53:$C$318,$C5)/'Shared Summary by Dept_US$'!$B$34+SUMIFS(H$53:H$318,$A$53:$A$318,"US",$C$53:$C$318,$C5)/'Shared Summary by Dept_US$'!$B$35</f>
        <v>0</v>
      </c>
      <c r="I5" s="71">
        <f ca="1">SUMIFS(I$53:I$318,$A$53:$A$318,"India",$C$53:$C$318,$C5)/'Shared Summary by Dept_US$'!$B$31+SUMIFS(I$53:I$318,$A$53:$A$318,"INDO",$C$53:$C$318,$C5)/'Shared Summary by Dept_US$'!$B$32+SUMIFS(I$53:I$318,$A$53:$A$318,"BD",$C$53:$C$318,$C5)/'Shared Summary by Dept_US$'!$B$33+SUMIFS(I$53:I$318,$A$53:$A$318,"Nepal",$C$53:$C$318,$C5)/'Shared Summary by Dept_US$'!$B$34+SUMIFS(I$53:I$318,$A$53:$A$318,"US",$C$53:$C$318,$C5)/'Shared Summary by Dept_US$'!$B$35</f>
        <v>0</v>
      </c>
      <c r="J5" s="71">
        <f ca="1">SUMIFS(J$53:J$318,$A$53:$A$318,"India",$C$53:$C$318,$C5)/'Shared Summary by Dept_US$'!$B$31+SUMIFS(J$53:J$318,$A$53:$A$318,"INDO",$C$53:$C$318,$C5)/'Shared Summary by Dept_US$'!$B$32+SUMIFS(J$53:J$318,$A$53:$A$318,"BD",$C$53:$C$318,$C5)/'Shared Summary by Dept_US$'!$B$33+SUMIFS(J$53:J$318,$A$53:$A$318,"Nepal",$C$53:$C$318,$C5)/'Shared Summary by Dept_US$'!$B$34+SUMIFS(J$53:J$318,$A$53:$A$318,"US",$C$53:$C$318,$C5)/'Shared Summary by Dept_US$'!$B$35</f>
        <v>0</v>
      </c>
      <c r="K5" s="71">
        <f ca="1">SUMIFS(K$53:K$318,$A$53:$A$318,"India",$C$53:$C$318,$C5)/'Shared Summary by Dept_US$'!$B$31+SUMIFS(K$53:K$318,$A$53:$A$318,"INDO",$C$53:$C$318,$C5)/'Shared Summary by Dept_US$'!$B$32+SUMIFS(K$53:K$318,$A$53:$A$318,"BD",$C$53:$C$318,$C5)/'Shared Summary by Dept_US$'!$B$33+SUMIFS(K$53:K$318,$A$53:$A$318,"Nepal",$C$53:$C$318,$C5)/'Shared Summary by Dept_US$'!$B$34+SUMIFS(K$53:K$318,$A$53:$A$318,"US",$C$53:$C$318,$C5)/'Shared Summary by Dept_US$'!$B$35</f>
        <v>0</v>
      </c>
      <c r="L5" s="71">
        <f ca="1">SUMIFS(L$53:L$318,$A$53:$A$318,"India",$C$53:$C$318,$C5)/'Shared Summary by Dept_US$'!$B$31+SUMIFS(L$53:L$318,$A$53:$A$318,"INDO",$C$53:$C$318,$C5)/'Shared Summary by Dept_US$'!$B$32+SUMIFS(L$53:L$318,$A$53:$A$318,"BD",$C$53:$C$318,$C5)/'Shared Summary by Dept_US$'!$B$33+SUMIFS(L$53:L$318,$A$53:$A$318,"Nepal",$C$53:$C$318,$C5)/'Shared Summary by Dept_US$'!$B$34+SUMIFS(L$53:L$318,$A$53:$A$318,"US",$C$53:$C$318,$C5)/'Shared Summary by Dept_US$'!$B$35</f>
        <v>0</v>
      </c>
      <c r="M5" s="71">
        <f ca="1">SUMIFS(M$53:M$318,$A$53:$A$318,"India",$C$53:$C$318,$C5)/'Shared Summary by Dept_US$'!$B$31+SUMIFS(M$53:M$318,$A$53:$A$318,"INDO",$C$53:$C$318,$C5)/'Shared Summary by Dept_US$'!$B$32+SUMIFS(M$53:M$318,$A$53:$A$318,"BD",$C$53:$C$318,$C5)/'Shared Summary by Dept_US$'!$B$33+SUMIFS(M$53:M$318,$A$53:$A$318,"Nepal",$C$53:$C$318,$C5)/'Shared Summary by Dept_US$'!$B$34+SUMIFS(M$53:M$318,$A$53:$A$318,"US",$C$53:$C$318,$C5)/'Shared Summary by Dept_US$'!$B$35</f>
        <v>0</v>
      </c>
      <c r="N5" s="71">
        <f ca="1">SUMIFS(N$53:N$318,$A$53:$A$318,"India",$C$53:$C$318,$C5)/'Shared Summary by Dept_US$'!$B$31+SUMIFS(N$53:N$318,$A$53:$A$318,"INDO",$C$53:$C$318,$C5)/'Shared Summary by Dept_US$'!$B$32+SUMIFS(N$53:N$318,$A$53:$A$318,"BD",$C$53:$C$318,$C5)/'Shared Summary by Dept_US$'!$B$33+SUMIFS(N$53:N$318,$A$53:$A$318,"Nepal",$C$53:$C$318,$C5)/'Shared Summary by Dept_US$'!$B$34+SUMIFS(N$53:N$318,$A$53:$A$318,"US",$C$53:$C$318,$C5)/'Shared Summary by Dept_US$'!$B$35</f>
        <v>0</v>
      </c>
      <c r="O5" s="71">
        <f ca="1">SUMIFS(O$53:O$318,$A$53:$A$318,"India",$C$53:$C$318,$C5)/'Shared Summary by Dept_US$'!$B$31+SUMIFS(O$53:O$318,$A$53:$A$318,"INDO",$C$53:$C$318,$C5)/'Shared Summary by Dept_US$'!$B$32+SUMIFS(O$53:O$318,$A$53:$A$318,"BD",$C$53:$C$318,$C5)/'Shared Summary by Dept_US$'!$B$33+SUMIFS(O$53:O$318,$A$53:$A$318,"Nepal",$C$53:$C$318,$C5)/'Shared Summary by Dept_US$'!$B$34+SUMIFS(O$53:O$318,$A$53:$A$318,"US",$C$53:$C$318,$C5)/'Shared Summary by Dept_US$'!$B$35</f>
        <v>0</v>
      </c>
      <c r="P5" s="71">
        <f ca="1">SUMIFS(P$53:P$318,$A$53:$A$318,"India",$C$53:$C$318,$C5)/'Shared Summary by Dept_US$'!$B$31+SUMIFS(P$53:P$318,$A$53:$A$318,"INDO",$C$53:$C$318,$C5)/'Shared Summary by Dept_US$'!$B$32+SUMIFS(P$53:P$318,$A$53:$A$318,"BD",$C$53:$C$318,$C5)/'Shared Summary by Dept_US$'!$B$33+SUMIFS(P$53:P$318,$A$53:$A$318,"Nepal",$C$53:$C$318,$C5)/'Shared Summary by Dept_US$'!$B$34+SUMIFS(P$53:P$318,$A$53:$A$318,"US",$C$53:$C$318,$C5)/'Shared Summary by Dept_US$'!$B$35</f>
        <v>0</v>
      </c>
      <c r="Q5" s="71">
        <f ca="1">SUMIFS(Q$53:Q$318,$A$53:$A$318,"India",$C$53:$C$318,$C5)/'Shared Summary by Dept_US$'!$B$31+SUMIFS(Q$53:Q$318,$A$53:$A$318,"INDO",$C$53:$C$318,$C5)/'Shared Summary by Dept_US$'!$B$32+SUMIFS(Q$53:Q$318,$A$53:$A$318,"BD",$C$53:$C$318,$C5)/'Shared Summary by Dept_US$'!$B$33+SUMIFS(Q$53:Q$318,$A$53:$A$318,"Nepal",$C$53:$C$318,$C5)/'Shared Summary by Dept_US$'!$B$34+SUMIFS(Q$53:Q$318,$A$53:$A$318,"US",$C$53:$C$318,$C5)/'Shared Summary by Dept_US$'!$B$35</f>
        <v>0</v>
      </c>
      <c r="S5" s="106"/>
      <c r="T5" s="107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pans="1:34" ht="15.75" customHeight="1" x14ac:dyDescent="0.85">
      <c r="A6" s="32" t="s">
        <v>35</v>
      </c>
      <c r="B6" s="108" t="s">
        <v>116</v>
      </c>
      <c r="C6" s="109" t="s">
        <v>74</v>
      </c>
      <c r="D6" s="110">
        <v>91301</v>
      </c>
      <c r="E6" s="111">
        <f t="shared" ca="1" si="0"/>
        <v>0</v>
      </c>
      <c r="F6" s="71">
        <f ca="1">SUMIFS(F$53:F$318,$A$53:$A$318,"India",$C$53:$C$318,$C6)/'Shared Summary by Dept_US$'!$B$31+SUMIFS(F$53:F$318,$A$53:$A$318,"INDO",$C$53:$C$318,$C6)/'Shared Summary by Dept_US$'!$B$32+SUMIFS(F$53:F$318,$A$53:$A$318,"BD",$C$53:$C$318,$C6)/'Shared Summary by Dept_US$'!$B$33+SUMIFS(F$53:F$318,$A$53:$A$318,"Nepal",$C$53:$C$318,$C6)/'Shared Summary by Dept_US$'!$B$34+SUMIFS(F$53:F$318,$A$53:$A$318,"US",$C$53:$C$318,$C6)/'Shared Summary by Dept_US$'!$B$35</f>
        <v>0</v>
      </c>
      <c r="G6" s="71">
        <f ca="1">SUMIFS(G$53:G$318,$A$53:$A$318,"India",$C$53:$C$318,$C6)/'Shared Summary by Dept_US$'!$B$31+SUMIFS(G$53:G$318,$A$53:$A$318,"INDO",$C$53:$C$318,$C6)/'Shared Summary by Dept_US$'!$B$32+SUMIFS(G$53:G$318,$A$53:$A$318,"BD",$C$53:$C$318,$C6)/'Shared Summary by Dept_US$'!$B$33+SUMIFS(G$53:G$318,$A$53:$A$318,"Nepal",$C$53:$C$318,$C6)/'Shared Summary by Dept_US$'!$B$34+SUMIFS(G$53:G$318,$A$53:$A$318,"US",$C$53:$C$318,$C6)/'Shared Summary by Dept_US$'!$B$35</f>
        <v>0</v>
      </c>
      <c r="H6" s="71">
        <f ca="1">SUMIFS(H$53:H$318,$A$53:$A$318,"India",$C$53:$C$318,$C6)/'Shared Summary by Dept_US$'!$B$31+SUMIFS(H$53:H$318,$A$53:$A$318,"INDO",$C$53:$C$318,$C6)/'Shared Summary by Dept_US$'!$B$32+SUMIFS(H$53:H$318,$A$53:$A$318,"BD",$C$53:$C$318,$C6)/'Shared Summary by Dept_US$'!$B$33+SUMIFS(H$53:H$318,$A$53:$A$318,"Nepal",$C$53:$C$318,$C6)/'Shared Summary by Dept_US$'!$B$34+SUMIFS(H$53:H$318,$A$53:$A$318,"US",$C$53:$C$318,$C6)/'Shared Summary by Dept_US$'!$B$35</f>
        <v>0</v>
      </c>
      <c r="I6" s="71">
        <f ca="1">SUMIFS(I$53:I$318,$A$53:$A$318,"India",$C$53:$C$318,$C6)/'Shared Summary by Dept_US$'!$B$31+SUMIFS(I$53:I$318,$A$53:$A$318,"INDO",$C$53:$C$318,$C6)/'Shared Summary by Dept_US$'!$B$32+SUMIFS(I$53:I$318,$A$53:$A$318,"BD",$C$53:$C$318,$C6)/'Shared Summary by Dept_US$'!$B$33+SUMIFS(I$53:I$318,$A$53:$A$318,"Nepal",$C$53:$C$318,$C6)/'Shared Summary by Dept_US$'!$B$34+SUMIFS(I$53:I$318,$A$53:$A$318,"US",$C$53:$C$318,$C6)/'Shared Summary by Dept_US$'!$B$35</f>
        <v>0</v>
      </c>
      <c r="J6" s="71">
        <f ca="1">SUMIFS(J$53:J$318,$A$53:$A$318,"India",$C$53:$C$318,$C6)/'Shared Summary by Dept_US$'!$B$31+SUMIFS(J$53:J$318,$A$53:$A$318,"INDO",$C$53:$C$318,$C6)/'Shared Summary by Dept_US$'!$B$32+SUMIFS(J$53:J$318,$A$53:$A$318,"BD",$C$53:$C$318,$C6)/'Shared Summary by Dept_US$'!$B$33+SUMIFS(J$53:J$318,$A$53:$A$318,"Nepal",$C$53:$C$318,$C6)/'Shared Summary by Dept_US$'!$B$34+SUMIFS(J$53:J$318,$A$53:$A$318,"US",$C$53:$C$318,$C6)/'Shared Summary by Dept_US$'!$B$35</f>
        <v>0</v>
      </c>
      <c r="K6" s="71">
        <f ca="1">SUMIFS(K$53:K$318,$A$53:$A$318,"India",$C$53:$C$318,$C6)/'Shared Summary by Dept_US$'!$B$31+SUMIFS(K$53:K$318,$A$53:$A$318,"INDO",$C$53:$C$318,$C6)/'Shared Summary by Dept_US$'!$B$32+SUMIFS(K$53:K$318,$A$53:$A$318,"BD",$C$53:$C$318,$C6)/'Shared Summary by Dept_US$'!$B$33+SUMIFS(K$53:K$318,$A$53:$A$318,"Nepal",$C$53:$C$318,$C6)/'Shared Summary by Dept_US$'!$B$34+SUMIFS(K$53:K$318,$A$53:$A$318,"US",$C$53:$C$318,$C6)/'Shared Summary by Dept_US$'!$B$35</f>
        <v>0</v>
      </c>
      <c r="L6" s="71">
        <f ca="1">SUMIFS(L$53:L$318,$A$53:$A$318,"India",$C$53:$C$318,$C6)/'Shared Summary by Dept_US$'!$B$31+SUMIFS(L$53:L$318,$A$53:$A$318,"INDO",$C$53:$C$318,$C6)/'Shared Summary by Dept_US$'!$B$32+SUMIFS(L$53:L$318,$A$53:$A$318,"BD",$C$53:$C$318,$C6)/'Shared Summary by Dept_US$'!$B$33+SUMIFS(L$53:L$318,$A$53:$A$318,"Nepal",$C$53:$C$318,$C6)/'Shared Summary by Dept_US$'!$B$34+SUMIFS(L$53:L$318,$A$53:$A$318,"US",$C$53:$C$318,$C6)/'Shared Summary by Dept_US$'!$B$35</f>
        <v>0</v>
      </c>
      <c r="M6" s="71">
        <f ca="1">SUMIFS(M$53:M$318,$A$53:$A$318,"India",$C$53:$C$318,$C6)/'Shared Summary by Dept_US$'!$B$31+SUMIFS(M$53:M$318,$A$53:$A$318,"INDO",$C$53:$C$318,$C6)/'Shared Summary by Dept_US$'!$B$32+SUMIFS(M$53:M$318,$A$53:$A$318,"BD",$C$53:$C$318,$C6)/'Shared Summary by Dept_US$'!$B$33+SUMIFS(M$53:M$318,$A$53:$A$318,"Nepal",$C$53:$C$318,$C6)/'Shared Summary by Dept_US$'!$B$34+SUMIFS(M$53:M$318,$A$53:$A$318,"US",$C$53:$C$318,$C6)/'Shared Summary by Dept_US$'!$B$35</f>
        <v>0</v>
      </c>
      <c r="N6" s="71">
        <f ca="1">SUMIFS(N$53:N$318,$A$53:$A$318,"India",$C$53:$C$318,$C6)/'Shared Summary by Dept_US$'!$B$31+SUMIFS(N$53:N$318,$A$53:$A$318,"INDO",$C$53:$C$318,$C6)/'Shared Summary by Dept_US$'!$B$32+SUMIFS(N$53:N$318,$A$53:$A$318,"BD",$C$53:$C$318,$C6)/'Shared Summary by Dept_US$'!$B$33+SUMIFS(N$53:N$318,$A$53:$A$318,"Nepal",$C$53:$C$318,$C6)/'Shared Summary by Dept_US$'!$B$34+SUMIFS(N$53:N$318,$A$53:$A$318,"US",$C$53:$C$318,$C6)/'Shared Summary by Dept_US$'!$B$35</f>
        <v>0</v>
      </c>
      <c r="O6" s="71">
        <f ca="1">SUMIFS(O$53:O$318,$A$53:$A$318,"India",$C$53:$C$318,$C6)/'Shared Summary by Dept_US$'!$B$31+SUMIFS(O$53:O$318,$A$53:$A$318,"INDO",$C$53:$C$318,$C6)/'Shared Summary by Dept_US$'!$B$32+SUMIFS(O$53:O$318,$A$53:$A$318,"BD",$C$53:$C$318,$C6)/'Shared Summary by Dept_US$'!$B$33+SUMIFS(O$53:O$318,$A$53:$A$318,"Nepal",$C$53:$C$318,$C6)/'Shared Summary by Dept_US$'!$B$34+SUMIFS(O$53:O$318,$A$53:$A$318,"US",$C$53:$C$318,$C6)/'Shared Summary by Dept_US$'!$B$35</f>
        <v>0</v>
      </c>
      <c r="P6" s="71">
        <f ca="1">SUMIFS(P$53:P$318,$A$53:$A$318,"India",$C$53:$C$318,$C6)/'Shared Summary by Dept_US$'!$B$31+SUMIFS(P$53:P$318,$A$53:$A$318,"INDO",$C$53:$C$318,$C6)/'Shared Summary by Dept_US$'!$B$32+SUMIFS(P$53:P$318,$A$53:$A$318,"BD",$C$53:$C$318,$C6)/'Shared Summary by Dept_US$'!$B$33+SUMIFS(P$53:P$318,$A$53:$A$318,"Nepal",$C$53:$C$318,$C6)/'Shared Summary by Dept_US$'!$B$34+SUMIFS(P$53:P$318,$A$53:$A$318,"US",$C$53:$C$318,$C6)/'Shared Summary by Dept_US$'!$B$35</f>
        <v>0</v>
      </c>
      <c r="Q6" s="71">
        <f ca="1">SUMIFS(Q$53:Q$318,$A$53:$A$318,"India",$C$53:$C$318,$C6)/'Shared Summary by Dept_US$'!$B$31+SUMIFS(Q$53:Q$318,$A$53:$A$318,"INDO",$C$53:$C$318,$C6)/'Shared Summary by Dept_US$'!$B$32+SUMIFS(Q$53:Q$318,$A$53:$A$318,"BD",$C$53:$C$318,$C6)/'Shared Summary by Dept_US$'!$B$33+SUMIFS(Q$53:Q$318,$A$53:$A$318,"Nepal",$C$53:$C$318,$C6)/'Shared Summary by Dept_US$'!$B$34+SUMIFS(Q$53:Q$318,$A$53:$A$318,"US",$C$53:$C$318,$C6)/'Shared Summary by Dept_US$'!$B$35</f>
        <v>0</v>
      </c>
      <c r="S6" s="106"/>
      <c r="T6" s="10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ht="15.75" customHeight="1" x14ac:dyDescent="0.85">
      <c r="A7" s="32" t="s">
        <v>35</v>
      </c>
      <c r="B7" s="108" t="s">
        <v>116</v>
      </c>
      <c r="C7" s="109" t="s">
        <v>77</v>
      </c>
      <c r="D7" s="110">
        <v>91302</v>
      </c>
      <c r="E7" s="111">
        <f t="shared" ca="1" si="0"/>
        <v>0</v>
      </c>
      <c r="F7" s="71">
        <f ca="1">SUMIFS(F$53:F$318,$A$53:$A$318,"India",$C$53:$C$318,$C7)/'Shared Summary by Dept_US$'!$B$31+SUMIFS(F$53:F$318,$A$53:$A$318,"INDO",$C$53:$C$318,$C7)/'Shared Summary by Dept_US$'!$B$32+SUMIFS(F$53:F$318,$A$53:$A$318,"BD",$C$53:$C$318,$C7)/'Shared Summary by Dept_US$'!$B$33+SUMIFS(F$53:F$318,$A$53:$A$318,"Nepal",$C$53:$C$318,$C7)/'Shared Summary by Dept_US$'!$B$34+SUMIFS(F$53:F$318,$A$53:$A$318,"US",$C$53:$C$318,$C7)/'Shared Summary by Dept_US$'!$B$35</f>
        <v>0</v>
      </c>
      <c r="G7" s="71">
        <f ca="1">SUMIFS(G$53:G$318,$A$53:$A$318,"India",$C$53:$C$318,$C7)/'Shared Summary by Dept_US$'!$B$31+SUMIFS(G$53:G$318,$A$53:$A$318,"INDO",$C$53:$C$318,$C7)/'Shared Summary by Dept_US$'!$B$32+SUMIFS(G$53:G$318,$A$53:$A$318,"BD",$C$53:$C$318,$C7)/'Shared Summary by Dept_US$'!$B$33+SUMIFS(G$53:G$318,$A$53:$A$318,"Nepal",$C$53:$C$318,$C7)/'Shared Summary by Dept_US$'!$B$34+SUMIFS(G$53:G$318,$A$53:$A$318,"US",$C$53:$C$318,$C7)/'Shared Summary by Dept_US$'!$B$35</f>
        <v>0</v>
      </c>
      <c r="H7" s="71">
        <f ca="1">SUMIFS(H$53:H$318,$A$53:$A$318,"India",$C$53:$C$318,$C7)/'Shared Summary by Dept_US$'!$B$31+SUMIFS(H$53:H$318,$A$53:$A$318,"INDO",$C$53:$C$318,$C7)/'Shared Summary by Dept_US$'!$B$32+SUMIFS(H$53:H$318,$A$53:$A$318,"BD",$C$53:$C$318,$C7)/'Shared Summary by Dept_US$'!$B$33+SUMIFS(H$53:H$318,$A$53:$A$318,"Nepal",$C$53:$C$318,$C7)/'Shared Summary by Dept_US$'!$B$34+SUMIFS(H$53:H$318,$A$53:$A$318,"US",$C$53:$C$318,$C7)/'Shared Summary by Dept_US$'!$B$35</f>
        <v>0</v>
      </c>
      <c r="I7" s="71">
        <f ca="1">SUMIFS(I$53:I$318,$A$53:$A$318,"India",$C$53:$C$318,$C7)/'Shared Summary by Dept_US$'!$B$31+SUMIFS(I$53:I$318,$A$53:$A$318,"INDO",$C$53:$C$318,$C7)/'Shared Summary by Dept_US$'!$B$32+SUMIFS(I$53:I$318,$A$53:$A$318,"BD",$C$53:$C$318,$C7)/'Shared Summary by Dept_US$'!$B$33+SUMIFS(I$53:I$318,$A$53:$A$318,"Nepal",$C$53:$C$318,$C7)/'Shared Summary by Dept_US$'!$B$34+SUMIFS(I$53:I$318,$A$53:$A$318,"US",$C$53:$C$318,$C7)/'Shared Summary by Dept_US$'!$B$35</f>
        <v>0</v>
      </c>
      <c r="J7" s="71">
        <f ca="1">SUMIFS(J$53:J$318,$A$53:$A$318,"India",$C$53:$C$318,$C7)/'Shared Summary by Dept_US$'!$B$31+SUMIFS(J$53:J$318,$A$53:$A$318,"INDO",$C$53:$C$318,$C7)/'Shared Summary by Dept_US$'!$B$32+SUMIFS(J$53:J$318,$A$53:$A$318,"BD",$C$53:$C$318,$C7)/'Shared Summary by Dept_US$'!$B$33+SUMIFS(J$53:J$318,$A$53:$A$318,"Nepal",$C$53:$C$318,$C7)/'Shared Summary by Dept_US$'!$B$34+SUMIFS(J$53:J$318,$A$53:$A$318,"US",$C$53:$C$318,$C7)/'Shared Summary by Dept_US$'!$B$35</f>
        <v>0</v>
      </c>
      <c r="K7" s="71">
        <f ca="1">SUMIFS(K$53:K$318,$A$53:$A$318,"India",$C$53:$C$318,$C7)/'Shared Summary by Dept_US$'!$B$31+SUMIFS(K$53:K$318,$A$53:$A$318,"INDO",$C$53:$C$318,$C7)/'Shared Summary by Dept_US$'!$B$32+SUMIFS(K$53:K$318,$A$53:$A$318,"BD",$C$53:$C$318,$C7)/'Shared Summary by Dept_US$'!$B$33+SUMIFS(K$53:K$318,$A$53:$A$318,"Nepal",$C$53:$C$318,$C7)/'Shared Summary by Dept_US$'!$B$34+SUMIFS(K$53:K$318,$A$53:$A$318,"US",$C$53:$C$318,$C7)/'Shared Summary by Dept_US$'!$B$35</f>
        <v>0</v>
      </c>
      <c r="L7" s="71">
        <f ca="1">SUMIFS(L$53:L$318,$A$53:$A$318,"India",$C$53:$C$318,$C7)/'Shared Summary by Dept_US$'!$B$31+SUMIFS(L$53:L$318,$A$53:$A$318,"INDO",$C$53:$C$318,$C7)/'Shared Summary by Dept_US$'!$B$32+SUMIFS(L$53:L$318,$A$53:$A$318,"BD",$C$53:$C$318,$C7)/'Shared Summary by Dept_US$'!$B$33+SUMIFS(L$53:L$318,$A$53:$A$318,"Nepal",$C$53:$C$318,$C7)/'Shared Summary by Dept_US$'!$B$34+SUMIFS(L$53:L$318,$A$53:$A$318,"US",$C$53:$C$318,$C7)/'Shared Summary by Dept_US$'!$B$35</f>
        <v>0</v>
      </c>
      <c r="M7" s="71">
        <f ca="1">SUMIFS(M$53:M$318,$A$53:$A$318,"India",$C$53:$C$318,$C7)/'Shared Summary by Dept_US$'!$B$31+SUMIFS(M$53:M$318,$A$53:$A$318,"INDO",$C$53:$C$318,$C7)/'Shared Summary by Dept_US$'!$B$32+SUMIFS(M$53:M$318,$A$53:$A$318,"BD",$C$53:$C$318,$C7)/'Shared Summary by Dept_US$'!$B$33+SUMIFS(M$53:M$318,$A$53:$A$318,"Nepal",$C$53:$C$318,$C7)/'Shared Summary by Dept_US$'!$B$34+SUMIFS(M$53:M$318,$A$53:$A$318,"US",$C$53:$C$318,$C7)/'Shared Summary by Dept_US$'!$B$35</f>
        <v>0</v>
      </c>
      <c r="N7" s="71">
        <f ca="1">SUMIFS(N$53:N$318,$A$53:$A$318,"India",$C$53:$C$318,$C7)/'Shared Summary by Dept_US$'!$B$31+SUMIFS(N$53:N$318,$A$53:$A$318,"INDO",$C$53:$C$318,$C7)/'Shared Summary by Dept_US$'!$B$32+SUMIFS(N$53:N$318,$A$53:$A$318,"BD",$C$53:$C$318,$C7)/'Shared Summary by Dept_US$'!$B$33+SUMIFS(N$53:N$318,$A$53:$A$318,"Nepal",$C$53:$C$318,$C7)/'Shared Summary by Dept_US$'!$B$34+SUMIFS(N$53:N$318,$A$53:$A$318,"US",$C$53:$C$318,$C7)/'Shared Summary by Dept_US$'!$B$35</f>
        <v>0</v>
      </c>
      <c r="O7" s="71">
        <f ca="1">SUMIFS(O$53:O$318,$A$53:$A$318,"India",$C$53:$C$318,$C7)/'Shared Summary by Dept_US$'!$B$31+SUMIFS(O$53:O$318,$A$53:$A$318,"INDO",$C$53:$C$318,$C7)/'Shared Summary by Dept_US$'!$B$32+SUMIFS(O$53:O$318,$A$53:$A$318,"BD",$C$53:$C$318,$C7)/'Shared Summary by Dept_US$'!$B$33+SUMIFS(O$53:O$318,$A$53:$A$318,"Nepal",$C$53:$C$318,$C7)/'Shared Summary by Dept_US$'!$B$34+SUMIFS(O$53:O$318,$A$53:$A$318,"US",$C$53:$C$318,$C7)/'Shared Summary by Dept_US$'!$B$35</f>
        <v>0</v>
      </c>
      <c r="P7" s="71">
        <f ca="1">SUMIFS(P$53:P$318,$A$53:$A$318,"India",$C$53:$C$318,$C7)/'Shared Summary by Dept_US$'!$B$31+SUMIFS(P$53:P$318,$A$53:$A$318,"INDO",$C$53:$C$318,$C7)/'Shared Summary by Dept_US$'!$B$32+SUMIFS(P$53:P$318,$A$53:$A$318,"BD",$C$53:$C$318,$C7)/'Shared Summary by Dept_US$'!$B$33+SUMIFS(P$53:P$318,$A$53:$A$318,"Nepal",$C$53:$C$318,$C7)/'Shared Summary by Dept_US$'!$B$34+SUMIFS(P$53:P$318,$A$53:$A$318,"US",$C$53:$C$318,$C7)/'Shared Summary by Dept_US$'!$B$35</f>
        <v>0</v>
      </c>
      <c r="Q7" s="71">
        <f ca="1">SUMIFS(Q$53:Q$318,$A$53:$A$318,"India",$C$53:$C$318,$C7)/'Shared Summary by Dept_US$'!$B$31+SUMIFS(Q$53:Q$318,$A$53:$A$318,"INDO",$C$53:$C$318,$C7)/'Shared Summary by Dept_US$'!$B$32+SUMIFS(Q$53:Q$318,$A$53:$A$318,"BD",$C$53:$C$318,$C7)/'Shared Summary by Dept_US$'!$B$33+SUMIFS(Q$53:Q$318,$A$53:$A$318,"Nepal",$C$53:$C$318,$C7)/'Shared Summary by Dept_US$'!$B$34+SUMIFS(Q$53:Q$318,$A$53:$A$318,"US",$C$53:$C$318,$C7)/'Shared Summary by Dept_US$'!$B$35</f>
        <v>0</v>
      </c>
      <c r="S7" s="106"/>
      <c r="T7" s="107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pans="1:34" ht="15.75" customHeight="1" x14ac:dyDescent="0.85">
      <c r="A8" s="32" t="s">
        <v>35</v>
      </c>
      <c r="B8" s="108" t="s">
        <v>116</v>
      </c>
      <c r="C8" s="109" t="s">
        <v>78</v>
      </c>
      <c r="D8" s="110">
        <v>91303</v>
      </c>
      <c r="E8" s="111">
        <f t="shared" ca="1" si="0"/>
        <v>0</v>
      </c>
      <c r="F8" s="71">
        <f ca="1">SUMIFS(F$53:F$318,$A$53:$A$318,"India",$C$53:$C$318,$C8)/'Shared Summary by Dept_US$'!$B$31+SUMIFS(F$53:F$318,$A$53:$A$318,"INDO",$C$53:$C$318,$C8)/'Shared Summary by Dept_US$'!$B$32+SUMIFS(F$53:F$318,$A$53:$A$318,"BD",$C$53:$C$318,$C8)/'Shared Summary by Dept_US$'!$B$33+SUMIFS(F$53:F$318,$A$53:$A$318,"Nepal",$C$53:$C$318,$C8)/'Shared Summary by Dept_US$'!$B$34+SUMIFS(F$53:F$318,$A$53:$A$318,"US",$C$53:$C$318,$C8)/'Shared Summary by Dept_US$'!$B$35</f>
        <v>0</v>
      </c>
      <c r="G8" s="71">
        <f ca="1">SUMIFS(G$53:G$318,$A$53:$A$318,"India",$C$53:$C$318,$C8)/'Shared Summary by Dept_US$'!$B$31+SUMIFS(G$53:G$318,$A$53:$A$318,"INDO",$C$53:$C$318,$C8)/'Shared Summary by Dept_US$'!$B$32+SUMIFS(G$53:G$318,$A$53:$A$318,"BD",$C$53:$C$318,$C8)/'Shared Summary by Dept_US$'!$B$33+SUMIFS(G$53:G$318,$A$53:$A$318,"Nepal",$C$53:$C$318,$C8)/'Shared Summary by Dept_US$'!$B$34+SUMIFS(G$53:G$318,$A$53:$A$318,"US",$C$53:$C$318,$C8)/'Shared Summary by Dept_US$'!$B$35</f>
        <v>0</v>
      </c>
      <c r="H8" s="71">
        <f ca="1">SUMIFS(H$53:H$318,$A$53:$A$318,"India",$C$53:$C$318,$C8)/'Shared Summary by Dept_US$'!$B$31+SUMIFS(H$53:H$318,$A$53:$A$318,"INDO",$C$53:$C$318,$C8)/'Shared Summary by Dept_US$'!$B$32+SUMIFS(H$53:H$318,$A$53:$A$318,"BD",$C$53:$C$318,$C8)/'Shared Summary by Dept_US$'!$B$33+SUMIFS(H$53:H$318,$A$53:$A$318,"Nepal",$C$53:$C$318,$C8)/'Shared Summary by Dept_US$'!$B$34+SUMIFS(H$53:H$318,$A$53:$A$318,"US",$C$53:$C$318,$C8)/'Shared Summary by Dept_US$'!$B$35</f>
        <v>0</v>
      </c>
      <c r="I8" s="71">
        <f ca="1">SUMIFS(I$53:I$318,$A$53:$A$318,"India",$C$53:$C$318,$C8)/'Shared Summary by Dept_US$'!$B$31+SUMIFS(I$53:I$318,$A$53:$A$318,"INDO",$C$53:$C$318,$C8)/'Shared Summary by Dept_US$'!$B$32+SUMIFS(I$53:I$318,$A$53:$A$318,"BD",$C$53:$C$318,$C8)/'Shared Summary by Dept_US$'!$B$33+SUMIFS(I$53:I$318,$A$53:$A$318,"Nepal",$C$53:$C$318,$C8)/'Shared Summary by Dept_US$'!$B$34+SUMIFS(I$53:I$318,$A$53:$A$318,"US",$C$53:$C$318,$C8)/'Shared Summary by Dept_US$'!$B$35</f>
        <v>0</v>
      </c>
      <c r="J8" s="71">
        <f ca="1">SUMIFS(J$53:J$318,$A$53:$A$318,"India",$C$53:$C$318,$C8)/'Shared Summary by Dept_US$'!$B$31+SUMIFS(J$53:J$318,$A$53:$A$318,"INDO",$C$53:$C$318,$C8)/'Shared Summary by Dept_US$'!$B$32+SUMIFS(J$53:J$318,$A$53:$A$318,"BD",$C$53:$C$318,$C8)/'Shared Summary by Dept_US$'!$B$33+SUMIFS(J$53:J$318,$A$53:$A$318,"Nepal",$C$53:$C$318,$C8)/'Shared Summary by Dept_US$'!$B$34+SUMIFS(J$53:J$318,$A$53:$A$318,"US",$C$53:$C$318,$C8)/'Shared Summary by Dept_US$'!$B$35</f>
        <v>0</v>
      </c>
      <c r="K8" s="71">
        <f ca="1">SUMIFS(K$53:K$318,$A$53:$A$318,"India",$C$53:$C$318,$C8)/'Shared Summary by Dept_US$'!$B$31+SUMIFS(K$53:K$318,$A$53:$A$318,"INDO",$C$53:$C$318,$C8)/'Shared Summary by Dept_US$'!$B$32+SUMIFS(K$53:K$318,$A$53:$A$318,"BD",$C$53:$C$318,$C8)/'Shared Summary by Dept_US$'!$B$33+SUMIFS(K$53:K$318,$A$53:$A$318,"Nepal",$C$53:$C$318,$C8)/'Shared Summary by Dept_US$'!$B$34+SUMIFS(K$53:K$318,$A$53:$A$318,"US",$C$53:$C$318,$C8)/'Shared Summary by Dept_US$'!$B$35</f>
        <v>0</v>
      </c>
      <c r="L8" s="71">
        <f ca="1">SUMIFS(L$53:L$318,$A$53:$A$318,"India",$C$53:$C$318,$C8)/'Shared Summary by Dept_US$'!$B$31+SUMIFS(L$53:L$318,$A$53:$A$318,"INDO",$C$53:$C$318,$C8)/'Shared Summary by Dept_US$'!$B$32+SUMIFS(L$53:L$318,$A$53:$A$318,"BD",$C$53:$C$318,$C8)/'Shared Summary by Dept_US$'!$B$33+SUMIFS(L$53:L$318,$A$53:$A$318,"Nepal",$C$53:$C$318,$C8)/'Shared Summary by Dept_US$'!$B$34+SUMIFS(L$53:L$318,$A$53:$A$318,"US",$C$53:$C$318,$C8)/'Shared Summary by Dept_US$'!$B$35</f>
        <v>0</v>
      </c>
      <c r="M8" s="71">
        <f ca="1">SUMIFS(M$53:M$318,$A$53:$A$318,"India",$C$53:$C$318,$C8)/'Shared Summary by Dept_US$'!$B$31+SUMIFS(M$53:M$318,$A$53:$A$318,"INDO",$C$53:$C$318,$C8)/'Shared Summary by Dept_US$'!$B$32+SUMIFS(M$53:M$318,$A$53:$A$318,"BD",$C$53:$C$318,$C8)/'Shared Summary by Dept_US$'!$B$33+SUMIFS(M$53:M$318,$A$53:$A$318,"Nepal",$C$53:$C$318,$C8)/'Shared Summary by Dept_US$'!$B$34+SUMIFS(M$53:M$318,$A$53:$A$318,"US",$C$53:$C$318,$C8)/'Shared Summary by Dept_US$'!$B$35</f>
        <v>0</v>
      </c>
      <c r="N8" s="71">
        <f ca="1">SUMIFS(N$53:N$318,$A$53:$A$318,"India",$C$53:$C$318,$C8)/'Shared Summary by Dept_US$'!$B$31+SUMIFS(N$53:N$318,$A$53:$A$318,"INDO",$C$53:$C$318,$C8)/'Shared Summary by Dept_US$'!$B$32+SUMIFS(N$53:N$318,$A$53:$A$318,"BD",$C$53:$C$318,$C8)/'Shared Summary by Dept_US$'!$B$33+SUMIFS(N$53:N$318,$A$53:$A$318,"Nepal",$C$53:$C$318,$C8)/'Shared Summary by Dept_US$'!$B$34+SUMIFS(N$53:N$318,$A$53:$A$318,"US",$C$53:$C$318,$C8)/'Shared Summary by Dept_US$'!$B$35</f>
        <v>0</v>
      </c>
      <c r="O8" s="71">
        <f ca="1">SUMIFS(O$53:O$318,$A$53:$A$318,"India",$C$53:$C$318,$C8)/'Shared Summary by Dept_US$'!$B$31+SUMIFS(O$53:O$318,$A$53:$A$318,"INDO",$C$53:$C$318,$C8)/'Shared Summary by Dept_US$'!$B$32+SUMIFS(O$53:O$318,$A$53:$A$318,"BD",$C$53:$C$318,$C8)/'Shared Summary by Dept_US$'!$B$33+SUMIFS(O$53:O$318,$A$53:$A$318,"Nepal",$C$53:$C$318,$C8)/'Shared Summary by Dept_US$'!$B$34+SUMIFS(O$53:O$318,$A$53:$A$318,"US",$C$53:$C$318,$C8)/'Shared Summary by Dept_US$'!$B$35</f>
        <v>0</v>
      </c>
      <c r="P8" s="71">
        <f ca="1">SUMIFS(P$53:P$318,$A$53:$A$318,"India",$C$53:$C$318,$C8)/'Shared Summary by Dept_US$'!$B$31+SUMIFS(P$53:P$318,$A$53:$A$318,"INDO",$C$53:$C$318,$C8)/'Shared Summary by Dept_US$'!$B$32+SUMIFS(P$53:P$318,$A$53:$A$318,"BD",$C$53:$C$318,$C8)/'Shared Summary by Dept_US$'!$B$33+SUMIFS(P$53:P$318,$A$53:$A$318,"Nepal",$C$53:$C$318,$C8)/'Shared Summary by Dept_US$'!$B$34+SUMIFS(P$53:P$318,$A$53:$A$318,"US",$C$53:$C$318,$C8)/'Shared Summary by Dept_US$'!$B$35</f>
        <v>0</v>
      </c>
      <c r="Q8" s="71">
        <f ca="1">SUMIFS(Q$53:Q$318,$A$53:$A$318,"India",$C$53:$C$318,$C8)/'Shared Summary by Dept_US$'!$B$31+SUMIFS(Q$53:Q$318,$A$53:$A$318,"INDO",$C$53:$C$318,$C8)/'Shared Summary by Dept_US$'!$B$32+SUMIFS(Q$53:Q$318,$A$53:$A$318,"BD",$C$53:$C$318,$C8)/'Shared Summary by Dept_US$'!$B$33+SUMIFS(Q$53:Q$318,$A$53:$A$318,"Nepal",$C$53:$C$318,$C8)/'Shared Summary by Dept_US$'!$B$34+SUMIFS(Q$53:Q$318,$A$53:$A$318,"US",$C$53:$C$318,$C8)/'Shared Summary by Dept_US$'!$B$35</f>
        <v>0</v>
      </c>
      <c r="S8" s="106"/>
      <c r="T8" s="107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1:34" ht="15.75" customHeight="1" x14ac:dyDescent="0.85">
      <c r="A9" s="32" t="s">
        <v>35</v>
      </c>
      <c r="B9" s="108" t="s">
        <v>84</v>
      </c>
      <c r="C9" s="109" t="s">
        <v>85</v>
      </c>
      <c r="D9" s="110">
        <v>92101</v>
      </c>
      <c r="E9" s="111">
        <f t="shared" ca="1" si="0"/>
        <v>439613.03084003727</v>
      </c>
      <c r="F9" s="71">
        <f ca="1">SUMIFS(F$53:F$318,$A$53:$A$318,"India",$C$53:$C$318,$C9)/'Shared Summary by Dept_US$'!$B$31+SUMIFS(F$53:F$318,$A$53:$A$318,"INDO",$C$53:$C$318,$C9)/'Shared Summary by Dept_US$'!$B$32+SUMIFS(F$53:F$318,$A$53:$A$318,"BD",$C$53:$C$318,$C9)/'Shared Summary by Dept_US$'!$B$33+SUMIFS(F$53:F$318,$A$53:$A$318,"Nepal",$C$53:$C$318,$C9)/'Shared Summary by Dept_US$'!$B$34+SUMIFS(F$53:F$318,$A$53:$A$318,"US",$C$53:$C$318,$C9)/'Shared Summary by Dept_US$'!$B$35</f>
        <v>39300.549395593793</v>
      </c>
      <c r="G9" s="71">
        <f ca="1">SUMIFS(G$53:G$318,$A$53:$A$318,"India",$C$53:$C$318,$C9)/'Shared Summary by Dept_US$'!$B$31+SUMIFS(G$53:G$318,$A$53:$A$318,"INDO",$C$53:$C$318,$C9)/'Shared Summary by Dept_US$'!$B$32+SUMIFS(G$53:G$318,$A$53:$A$318,"BD",$C$53:$C$318,$C9)/'Shared Summary by Dept_US$'!$B$33+SUMIFS(G$53:G$318,$A$53:$A$318,"Nepal",$C$53:$C$318,$C9)/'Shared Summary by Dept_US$'!$B$34+SUMIFS(G$53:G$318,$A$53:$A$318,"US",$C$53:$C$318,$C9)/'Shared Summary by Dept_US$'!$B$35</f>
        <v>37729.915951628274</v>
      </c>
      <c r="H9" s="71">
        <f ca="1">SUMIFS(H$53:H$318,$A$53:$A$318,"India",$C$53:$C$318,$C9)/'Shared Summary by Dept_US$'!$B$31+SUMIFS(H$53:H$318,$A$53:$A$318,"INDO",$C$53:$C$318,$C9)/'Shared Summary by Dept_US$'!$B$32+SUMIFS(H$53:H$318,$A$53:$A$318,"BD",$C$53:$C$318,$C9)/'Shared Summary by Dept_US$'!$B$33+SUMIFS(H$53:H$318,$A$53:$A$318,"Nepal",$C$53:$C$318,$C9)/'Shared Summary by Dept_US$'!$B$34+SUMIFS(H$53:H$318,$A$53:$A$318,"US",$C$53:$C$318,$C9)/'Shared Summary by Dept_US$'!$B$35</f>
        <v>36849.490008620611</v>
      </c>
      <c r="I9" s="71">
        <f ca="1">SUMIFS(I$53:I$318,$A$53:$A$318,"India",$C$53:$C$318,$C9)/'Shared Summary by Dept_US$'!$B$31+SUMIFS(I$53:I$318,$A$53:$A$318,"INDO",$C$53:$C$318,$C9)/'Shared Summary by Dept_US$'!$B$32+SUMIFS(I$53:I$318,$A$53:$A$318,"BD",$C$53:$C$318,$C9)/'Shared Summary by Dept_US$'!$B$33+SUMIFS(I$53:I$318,$A$53:$A$318,"Nepal",$C$53:$C$318,$C9)/'Shared Summary by Dept_US$'!$B$34+SUMIFS(I$53:I$318,$A$53:$A$318,"US",$C$53:$C$318,$C9)/'Shared Summary by Dept_US$'!$B$35</f>
        <v>34516.168169540149</v>
      </c>
      <c r="J9" s="71">
        <f ca="1">SUMIFS(J$53:J$318,$A$53:$A$318,"India",$C$53:$C$318,$C9)/'Shared Summary by Dept_US$'!$B$31+SUMIFS(J$53:J$318,$A$53:$A$318,"INDO",$C$53:$C$318,$C9)/'Shared Summary by Dept_US$'!$B$32+SUMIFS(J$53:J$318,$A$53:$A$318,"BD",$C$53:$C$318,$C9)/'Shared Summary by Dept_US$'!$B$33+SUMIFS(J$53:J$318,$A$53:$A$318,"Nepal",$C$53:$C$318,$C9)/'Shared Summary by Dept_US$'!$B$34+SUMIFS(J$53:J$318,$A$53:$A$318,"US",$C$53:$C$318,$C9)/'Shared Summary by Dept_US$'!$B$35</f>
        <v>36897.480127873489</v>
      </c>
      <c r="K9" s="71">
        <f ca="1">SUMIFS(K$53:K$318,$A$53:$A$318,"India",$C$53:$C$318,$C9)/'Shared Summary by Dept_US$'!$B$31+SUMIFS(K$53:K$318,$A$53:$A$318,"INDO",$C$53:$C$318,$C9)/'Shared Summary by Dept_US$'!$B$32+SUMIFS(K$53:K$318,$A$53:$A$318,"BD",$C$53:$C$318,$C9)/'Shared Summary by Dept_US$'!$B$33+SUMIFS(K$53:K$318,$A$53:$A$318,"Nepal",$C$53:$C$318,$C9)/'Shared Summary by Dept_US$'!$B$34+SUMIFS(K$53:K$318,$A$53:$A$318,"US",$C$53:$C$318,$C9)/'Shared Summary by Dept_US$'!$B$35</f>
        <v>35766.168169540149</v>
      </c>
      <c r="L9" s="71">
        <f ca="1">SUMIFS(L$53:L$318,$A$53:$A$318,"India",$C$53:$C$318,$C9)/'Shared Summary by Dept_US$'!$B$31+SUMIFS(L$53:L$318,$A$53:$A$318,"INDO",$C$53:$C$318,$C9)/'Shared Summary by Dept_US$'!$B$32+SUMIFS(L$53:L$318,$A$53:$A$318,"BD",$C$53:$C$318,$C9)/'Shared Summary by Dept_US$'!$B$33+SUMIFS(L$53:L$318,$A$53:$A$318,"Nepal",$C$53:$C$318,$C9)/'Shared Summary by Dept_US$'!$B$34+SUMIFS(L$53:L$318,$A$53:$A$318,"US",$C$53:$C$318,$C9)/'Shared Summary by Dept_US$'!$B$35</f>
        <v>35825.543169540149</v>
      </c>
      <c r="M9" s="71">
        <f ca="1">SUMIFS(M$53:M$318,$A$53:$A$318,"India",$C$53:$C$318,$C9)/'Shared Summary by Dept_US$'!$B$31+SUMIFS(M$53:M$318,$A$53:$A$318,"INDO",$C$53:$C$318,$C9)/'Shared Summary by Dept_US$'!$B$32+SUMIFS(M$53:M$318,$A$53:$A$318,"BD",$C$53:$C$318,$C9)/'Shared Summary by Dept_US$'!$B$33+SUMIFS(M$53:M$318,$A$53:$A$318,"Nepal",$C$53:$C$318,$C9)/'Shared Summary by Dept_US$'!$B$34+SUMIFS(M$53:M$318,$A$53:$A$318,"US",$C$53:$C$318,$C9)/'Shared Summary by Dept_US$'!$B$35</f>
        <v>36450.543169540149</v>
      </c>
      <c r="N9" s="71">
        <f ca="1">SUMIFS(N$53:N$318,$A$53:$A$318,"India",$C$53:$C$318,$C9)/'Shared Summary by Dept_US$'!$B$31+SUMIFS(N$53:N$318,$A$53:$A$318,"INDO",$C$53:$C$318,$C9)/'Shared Summary by Dept_US$'!$B$32+SUMIFS(N$53:N$318,$A$53:$A$318,"BD",$C$53:$C$318,$C9)/'Shared Summary by Dept_US$'!$B$33+SUMIFS(N$53:N$318,$A$53:$A$318,"Nepal",$C$53:$C$318,$C9)/'Shared Summary by Dept_US$'!$B$34+SUMIFS(N$53:N$318,$A$53:$A$318,"US",$C$53:$C$318,$C9)/'Shared Summary by Dept_US$'!$B$35</f>
        <v>36569.293169540149</v>
      </c>
      <c r="O9" s="71">
        <f ca="1">SUMIFS(O$53:O$318,$A$53:$A$318,"India",$C$53:$C$318,$C9)/'Shared Summary by Dept_US$'!$B$31+SUMIFS(O$53:O$318,$A$53:$A$318,"INDO",$C$53:$C$318,$C9)/'Shared Summary by Dept_US$'!$B$32+SUMIFS(O$53:O$318,$A$53:$A$318,"BD",$C$53:$C$318,$C9)/'Shared Summary by Dept_US$'!$B$33+SUMIFS(O$53:O$318,$A$53:$A$318,"Nepal",$C$53:$C$318,$C9)/'Shared Summary by Dept_US$'!$B$34+SUMIFS(O$53:O$318,$A$53:$A$318,"US",$C$53:$C$318,$C9)/'Shared Summary by Dept_US$'!$B$35</f>
        <v>36569.293169540149</v>
      </c>
      <c r="P9" s="71">
        <f ca="1">SUMIFS(P$53:P$318,$A$53:$A$318,"India",$C$53:$C$318,$C9)/'Shared Summary by Dept_US$'!$B$31+SUMIFS(P$53:P$318,$A$53:$A$318,"INDO",$C$53:$C$318,$C9)/'Shared Summary by Dept_US$'!$B$32+SUMIFS(P$53:P$318,$A$53:$A$318,"BD",$C$53:$C$318,$C9)/'Shared Summary by Dept_US$'!$B$33+SUMIFS(P$53:P$318,$A$53:$A$318,"Nepal",$C$53:$C$318,$C9)/'Shared Summary by Dept_US$'!$B$34+SUMIFS(P$53:P$318,$A$53:$A$318,"US",$C$53:$C$318,$C9)/'Shared Summary by Dept_US$'!$B$35</f>
        <v>36569.293169540149</v>
      </c>
      <c r="Q9" s="71">
        <f ca="1">SUMIFS(Q$53:Q$318,$A$53:$A$318,"India",$C$53:$C$318,$C9)/'Shared Summary by Dept_US$'!$B$31+SUMIFS(Q$53:Q$318,$A$53:$A$318,"INDO",$C$53:$C$318,$C9)/'Shared Summary by Dept_US$'!$B$32+SUMIFS(Q$53:Q$318,$A$53:$A$318,"BD",$C$53:$C$318,$C9)/'Shared Summary by Dept_US$'!$B$33+SUMIFS(Q$53:Q$318,$A$53:$A$318,"Nepal",$C$53:$C$318,$C9)/'Shared Summary by Dept_US$'!$B$34+SUMIFS(Q$53:Q$318,$A$53:$A$318,"US",$C$53:$C$318,$C9)/'Shared Summary by Dept_US$'!$B$35</f>
        <v>36569.293169540149</v>
      </c>
      <c r="S9" s="106"/>
      <c r="T9" s="107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pans="1:34" ht="15.75" customHeight="1" x14ac:dyDescent="0.85">
      <c r="A10" s="32" t="s">
        <v>35</v>
      </c>
      <c r="B10" s="108" t="s">
        <v>86</v>
      </c>
      <c r="C10" s="109" t="s">
        <v>88</v>
      </c>
      <c r="D10" s="110">
        <v>93101</v>
      </c>
      <c r="E10" s="111">
        <f t="shared" ca="1" si="0"/>
        <v>15450.466954022988</v>
      </c>
      <c r="F10" s="71">
        <f ca="1">SUMIFS(F$53:F$318,$A$53:$A$318,"India",$C$53:$C$318,$C10)/'Shared Summary by Dept_US$'!$B$31+SUMIFS(F$53:F$318,$A$53:$A$318,"INDO",$C$53:$C$318,$C10)/'Shared Summary by Dept_US$'!$B$32+SUMIFS(F$53:F$318,$A$53:$A$318,"BD",$C$53:$C$318,$C10)/'Shared Summary by Dept_US$'!$B$33+SUMIFS(F$53:F$318,$A$53:$A$318,"Nepal",$C$53:$C$318,$C10)/'Shared Summary by Dept_US$'!$B$34+SUMIFS(F$53:F$318,$A$53:$A$318,"US",$C$53:$C$318,$C10)/'Shared Summary by Dept_US$'!$B$35</f>
        <v>325</v>
      </c>
      <c r="G10" s="71">
        <f ca="1">SUMIFS(G$53:G$318,$A$53:$A$318,"India",$C$53:$C$318,$C10)/'Shared Summary by Dept_US$'!$B$31+SUMIFS(G$53:G$318,$A$53:$A$318,"INDO",$C$53:$C$318,$C10)/'Shared Summary by Dept_US$'!$B$32+SUMIFS(G$53:G$318,$A$53:$A$318,"BD",$C$53:$C$318,$C10)/'Shared Summary by Dept_US$'!$B$33+SUMIFS(G$53:G$318,$A$53:$A$318,"Nepal",$C$53:$C$318,$C10)/'Shared Summary by Dept_US$'!$B$34+SUMIFS(G$53:G$318,$A$53:$A$318,"US",$C$53:$C$318,$C10)/'Shared Summary by Dept_US$'!$B$35</f>
        <v>700.75431034482756</v>
      </c>
      <c r="H10" s="71">
        <f ca="1">SUMIFS(H$53:H$318,$A$53:$A$318,"India",$C$53:$C$318,$C10)/'Shared Summary by Dept_US$'!$B$31+SUMIFS(H$53:H$318,$A$53:$A$318,"INDO",$C$53:$C$318,$C10)/'Shared Summary by Dept_US$'!$B$32+SUMIFS(H$53:H$318,$A$53:$A$318,"BD",$C$53:$C$318,$C10)/'Shared Summary by Dept_US$'!$B$33+SUMIFS(H$53:H$318,$A$53:$A$318,"Nepal",$C$53:$C$318,$C10)/'Shared Summary by Dept_US$'!$B$34+SUMIFS(H$53:H$318,$A$53:$A$318,"US",$C$53:$C$318,$C10)/'Shared Summary by Dept_US$'!$B$35</f>
        <v>1733.405172413793</v>
      </c>
      <c r="I10" s="71">
        <f ca="1">SUMIFS(I$53:I$318,$A$53:$A$318,"India",$C$53:$C$318,$C10)/'Shared Summary by Dept_US$'!$B$31+SUMIFS(I$53:I$318,$A$53:$A$318,"INDO",$C$53:$C$318,$C10)/'Shared Summary by Dept_US$'!$B$32+SUMIFS(I$53:I$318,$A$53:$A$318,"BD",$C$53:$C$318,$C10)/'Shared Summary by Dept_US$'!$B$33+SUMIFS(I$53:I$318,$A$53:$A$318,"Nepal",$C$53:$C$318,$C10)/'Shared Summary by Dept_US$'!$B$34+SUMIFS(I$53:I$318,$A$53:$A$318,"US",$C$53:$C$318,$C10)/'Shared Summary by Dept_US$'!$B$35</f>
        <v>2432.9022988505749</v>
      </c>
      <c r="J10" s="71">
        <f ca="1">SUMIFS(J$53:J$318,$A$53:$A$318,"India",$C$53:$C$318,$C10)/'Shared Summary by Dept_US$'!$B$31+SUMIFS(J$53:J$318,$A$53:$A$318,"INDO",$C$53:$C$318,$C10)/'Shared Summary by Dept_US$'!$B$32+SUMIFS(J$53:J$318,$A$53:$A$318,"BD",$C$53:$C$318,$C10)/'Shared Summary by Dept_US$'!$B$33+SUMIFS(J$53:J$318,$A$53:$A$318,"Nepal",$C$53:$C$318,$C10)/'Shared Summary by Dept_US$'!$B$34+SUMIFS(J$53:J$318,$A$53:$A$318,"US",$C$53:$C$318,$C10)/'Shared Summary by Dept_US$'!$B$35</f>
        <v>2699.5689655172414</v>
      </c>
      <c r="K10" s="71">
        <f ca="1">SUMIFS(K$53:K$318,$A$53:$A$318,"India",$C$53:$C$318,$C10)/'Shared Summary by Dept_US$'!$B$31+SUMIFS(K$53:K$318,$A$53:$A$318,"INDO",$C$53:$C$318,$C10)/'Shared Summary by Dept_US$'!$B$32+SUMIFS(K$53:K$318,$A$53:$A$318,"BD",$C$53:$C$318,$C10)/'Shared Summary by Dept_US$'!$B$33+SUMIFS(K$53:K$318,$A$53:$A$318,"Nepal",$C$53:$C$318,$C10)/'Shared Summary by Dept_US$'!$B$34+SUMIFS(K$53:K$318,$A$53:$A$318,"US",$C$53:$C$318,$C10)/'Shared Summary by Dept_US$'!$B$35</f>
        <v>1425</v>
      </c>
      <c r="L10" s="71">
        <f ca="1">SUMIFS(L$53:L$318,$A$53:$A$318,"India",$C$53:$C$318,$C10)/'Shared Summary by Dept_US$'!$B$31+SUMIFS(L$53:L$318,$A$53:$A$318,"INDO",$C$53:$C$318,$C10)/'Shared Summary by Dept_US$'!$B$32+SUMIFS(L$53:L$318,$A$53:$A$318,"BD",$C$53:$C$318,$C10)/'Shared Summary by Dept_US$'!$B$33+SUMIFS(L$53:L$318,$A$53:$A$318,"Nepal",$C$53:$C$318,$C10)/'Shared Summary by Dept_US$'!$B$34+SUMIFS(L$53:L$318,$A$53:$A$318,"US",$C$53:$C$318,$C10)/'Shared Summary by Dept_US$'!$B$35</f>
        <v>1580.6752873563219</v>
      </c>
      <c r="M10" s="71">
        <f ca="1">SUMIFS(M$53:M$318,$A$53:$A$318,"India",$C$53:$C$318,$C10)/'Shared Summary by Dept_US$'!$B$31+SUMIFS(M$53:M$318,$A$53:$A$318,"INDO",$C$53:$C$318,$C10)/'Shared Summary by Dept_US$'!$B$32+SUMIFS(M$53:M$318,$A$53:$A$318,"BD",$C$53:$C$318,$C10)/'Shared Summary by Dept_US$'!$B$33+SUMIFS(M$53:M$318,$A$53:$A$318,"Nepal",$C$53:$C$318,$C10)/'Shared Summary by Dept_US$'!$B$34+SUMIFS(M$53:M$318,$A$53:$A$318,"US",$C$53:$C$318,$C10)/'Shared Summary by Dept_US$'!$B$35</f>
        <v>1033.7643678160919</v>
      </c>
      <c r="N10" s="71">
        <f ca="1">SUMIFS(N$53:N$318,$A$53:$A$318,"India",$C$53:$C$318,$C10)/'Shared Summary by Dept_US$'!$B$31+SUMIFS(N$53:N$318,$A$53:$A$318,"INDO",$C$53:$C$318,$C10)/'Shared Summary by Dept_US$'!$B$32+SUMIFS(N$53:N$318,$A$53:$A$318,"BD",$C$53:$C$318,$C10)/'Shared Summary by Dept_US$'!$B$33+SUMIFS(N$53:N$318,$A$53:$A$318,"Nepal",$C$53:$C$318,$C10)/'Shared Summary by Dept_US$'!$B$34+SUMIFS(N$53:N$318,$A$53:$A$318,"US",$C$53:$C$318,$C10)/'Shared Summary by Dept_US$'!$B$35</f>
        <v>2056.8965517241377</v>
      </c>
      <c r="O10" s="71">
        <f ca="1">SUMIFS(O$53:O$318,$A$53:$A$318,"India",$C$53:$C$318,$C10)/'Shared Summary by Dept_US$'!$B$31+SUMIFS(O$53:O$318,$A$53:$A$318,"INDO",$C$53:$C$318,$C10)/'Shared Summary by Dept_US$'!$B$32+SUMIFS(O$53:O$318,$A$53:$A$318,"BD",$C$53:$C$318,$C10)/'Shared Summary by Dept_US$'!$B$33+SUMIFS(O$53:O$318,$A$53:$A$318,"Nepal",$C$53:$C$318,$C10)/'Shared Summary by Dept_US$'!$B$34+SUMIFS(O$53:O$318,$A$53:$A$318,"US",$C$53:$C$318,$C10)/'Shared Summary by Dept_US$'!$B$35</f>
        <v>487.5</v>
      </c>
      <c r="P10" s="71">
        <f ca="1">SUMIFS(P$53:P$318,$A$53:$A$318,"India",$C$53:$C$318,$C10)/'Shared Summary by Dept_US$'!$B$31+SUMIFS(P$53:P$318,$A$53:$A$318,"INDO",$C$53:$C$318,$C10)/'Shared Summary by Dept_US$'!$B$32+SUMIFS(P$53:P$318,$A$53:$A$318,"BD",$C$53:$C$318,$C10)/'Shared Summary by Dept_US$'!$B$33+SUMIFS(P$53:P$318,$A$53:$A$318,"Nepal",$C$53:$C$318,$C10)/'Shared Summary by Dept_US$'!$B$34+SUMIFS(P$53:P$318,$A$53:$A$318,"US",$C$53:$C$318,$C10)/'Shared Summary by Dept_US$'!$B$35</f>
        <v>487.5</v>
      </c>
      <c r="Q10" s="71">
        <f ca="1">SUMIFS(Q$53:Q$318,$A$53:$A$318,"India",$C$53:$C$318,$C10)/'Shared Summary by Dept_US$'!$B$31+SUMIFS(Q$53:Q$318,$A$53:$A$318,"INDO",$C$53:$C$318,$C10)/'Shared Summary by Dept_US$'!$B$32+SUMIFS(Q$53:Q$318,$A$53:$A$318,"BD",$C$53:$C$318,$C10)/'Shared Summary by Dept_US$'!$B$33+SUMIFS(Q$53:Q$318,$A$53:$A$318,"Nepal",$C$53:$C$318,$C10)/'Shared Summary by Dept_US$'!$B$34+SUMIFS(Q$53:Q$318,$A$53:$A$318,"US",$C$53:$C$318,$C10)/'Shared Summary by Dept_US$'!$B$35</f>
        <v>487.5</v>
      </c>
      <c r="S10" s="106"/>
      <c r="T10" s="107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 spans="1:34" ht="15.75" customHeight="1" x14ac:dyDescent="0.85">
      <c r="A11" s="32" t="s">
        <v>35</v>
      </c>
      <c r="B11" s="108" t="s">
        <v>86</v>
      </c>
      <c r="C11" s="109" t="s">
        <v>89</v>
      </c>
      <c r="D11" s="110">
        <v>93102</v>
      </c>
      <c r="E11" s="111">
        <f t="shared" ca="1" si="0"/>
        <v>8600.7327586206884</v>
      </c>
      <c r="F11" s="71">
        <f ca="1">SUMIFS(F$53:F$318,$A$53:$A$318,"India",$C$53:$C$318,$C11)/'Shared Summary by Dept_US$'!$B$31+SUMIFS(F$53:F$318,$A$53:$A$318,"INDO",$C$53:$C$318,$C11)/'Shared Summary by Dept_US$'!$B$32+SUMIFS(F$53:F$318,$A$53:$A$318,"BD",$C$53:$C$318,$C11)/'Shared Summary by Dept_US$'!$B$33+SUMIFS(F$53:F$318,$A$53:$A$318,"Nepal",$C$53:$C$318,$C11)/'Shared Summary by Dept_US$'!$B$34+SUMIFS(F$53:F$318,$A$53:$A$318,"US",$C$53:$C$318,$C11)/'Shared Summary by Dept_US$'!$B$35</f>
        <v>267.5</v>
      </c>
      <c r="G11" s="71">
        <f ca="1">SUMIFS(G$53:G$318,$A$53:$A$318,"India",$C$53:$C$318,$C11)/'Shared Summary by Dept_US$'!$B$31+SUMIFS(G$53:G$318,$A$53:$A$318,"INDO",$C$53:$C$318,$C11)/'Shared Summary by Dept_US$'!$B$32+SUMIFS(G$53:G$318,$A$53:$A$318,"BD",$C$53:$C$318,$C11)/'Shared Summary by Dept_US$'!$B$33+SUMIFS(G$53:G$318,$A$53:$A$318,"Nepal",$C$53:$C$318,$C11)/'Shared Summary by Dept_US$'!$B$34+SUMIFS(G$53:G$318,$A$53:$A$318,"US",$C$53:$C$318,$C11)/'Shared Summary by Dept_US$'!$B$35</f>
        <v>374.69827586206895</v>
      </c>
      <c r="H11" s="71">
        <f ca="1">SUMIFS(H$53:H$318,$A$53:$A$318,"India",$C$53:$C$318,$C11)/'Shared Summary by Dept_US$'!$B$31+SUMIFS(H$53:H$318,$A$53:$A$318,"INDO",$C$53:$C$318,$C11)/'Shared Summary by Dept_US$'!$B$32+SUMIFS(H$53:H$318,$A$53:$A$318,"BD",$C$53:$C$318,$C11)/'Shared Summary by Dept_US$'!$B$33+SUMIFS(H$53:H$318,$A$53:$A$318,"Nepal",$C$53:$C$318,$C11)/'Shared Summary by Dept_US$'!$B$34+SUMIFS(H$53:H$318,$A$53:$A$318,"US",$C$53:$C$318,$C11)/'Shared Summary by Dept_US$'!$B$35</f>
        <v>2502.0402298850577</v>
      </c>
      <c r="I11" s="71">
        <f ca="1">SUMIFS(I$53:I$318,$A$53:$A$318,"India",$C$53:$C$318,$C11)/'Shared Summary by Dept_US$'!$B$31+SUMIFS(I$53:I$318,$A$53:$A$318,"INDO",$C$53:$C$318,$C11)/'Shared Summary by Dept_US$'!$B$32+SUMIFS(I$53:I$318,$A$53:$A$318,"BD",$C$53:$C$318,$C11)/'Shared Summary by Dept_US$'!$B$33+SUMIFS(I$53:I$318,$A$53:$A$318,"Nepal",$C$53:$C$318,$C11)/'Shared Summary by Dept_US$'!$B$34+SUMIFS(I$53:I$318,$A$53:$A$318,"US",$C$53:$C$318,$C11)/'Shared Summary by Dept_US$'!$B$35</f>
        <v>850.919540229885</v>
      </c>
      <c r="J11" s="71">
        <f ca="1">SUMIFS(J$53:J$318,$A$53:$A$318,"India",$C$53:$C$318,$C11)/'Shared Summary by Dept_US$'!$B$31+SUMIFS(J$53:J$318,$A$53:$A$318,"INDO",$C$53:$C$318,$C11)/'Shared Summary by Dept_US$'!$B$32+SUMIFS(J$53:J$318,$A$53:$A$318,"BD",$C$53:$C$318,$C11)/'Shared Summary by Dept_US$'!$B$33+SUMIFS(J$53:J$318,$A$53:$A$318,"Nepal",$C$53:$C$318,$C11)/'Shared Summary by Dept_US$'!$B$34+SUMIFS(J$53:J$318,$A$53:$A$318,"US",$C$53:$C$318,$C11)/'Shared Summary by Dept_US$'!$B$35</f>
        <v>1057.0977011494251</v>
      </c>
      <c r="K11" s="71">
        <f ca="1">SUMIFS(K$53:K$318,$A$53:$A$318,"India",$C$53:$C$318,$C11)/'Shared Summary by Dept_US$'!$B$31+SUMIFS(K$53:K$318,$A$53:$A$318,"INDO",$C$53:$C$318,$C11)/'Shared Summary by Dept_US$'!$B$32+SUMIFS(K$53:K$318,$A$53:$A$318,"BD",$C$53:$C$318,$C11)/'Shared Summary by Dept_US$'!$B$33+SUMIFS(K$53:K$318,$A$53:$A$318,"Nepal",$C$53:$C$318,$C11)/'Shared Summary by Dept_US$'!$B$34+SUMIFS(K$53:K$318,$A$53:$A$318,"US",$C$53:$C$318,$C11)/'Shared Summary by Dept_US$'!$B$35</f>
        <v>566.83908045977012</v>
      </c>
      <c r="L11" s="71">
        <f ca="1">SUMIFS(L$53:L$318,$A$53:$A$318,"India",$C$53:$C$318,$C11)/'Shared Summary by Dept_US$'!$B$31+SUMIFS(L$53:L$318,$A$53:$A$318,"INDO",$C$53:$C$318,$C11)/'Shared Summary by Dept_US$'!$B$32+SUMIFS(L$53:L$318,$A$53:$A$318,"BD",$C$53:$C$318,$C11)/'Shared Summary by Dept_US$'!$B$33+SUMIFS(L$53:L$318,$A$53:$A$318,"Nepal",$C$53:$C$318,$C11)/'Shared Summary by Dept_US$'!$B$34+SUMIFS(L$53:L$318,$A$53:$A$318,"US",$C$53:$C$318,$C11)/'Shared Summary by Dept_US$'!$B$35</f>
        <v>995.43103448275861</v>
      </c>
      <c r="M11" s="71">
        <f ca="1">SUMIFS(M$53:M$318,$A$53:$A$318,"India",$C$53:$C$318,$C11)/'Shared Summary by Dept_US$'!$B$31+SUMIFS(M$53:M$318,$A$53:$A$318,"INDO",$C$53:$C$318,$C11)/'Shared Summary by Dept_US$'!$B$32+SUMIFS(M$53:M$318,$A$53:$A$318,"BD",$C$53:$C$318,$C11)/'Shared Summary by Dept_US$'!$B$33+SUMIFS(M$53:M$318,$A$53:$A$318,"Nepal",$C$53:$C$318,$C11)/'Shared Summary by Dept_US$'!$B$34+SUMIFS(M$53:M$318,$A$53:$A$318,"US",$C$53:$C$318,$C11)/'Shared Summary by Dept_US$'!$B$35</f>
        <v>441.89655172413791</v>
      </c>
      <c r="N11" s="71">
        <f ca="1">SUMIFS(N$53:N$318,$A$53:$A$318,"India",$C$53:$C$318,$C11)/'Shared Summary by Dept_US$'!$B$31+SUMIFS(N$53:N$318,$A$53:$A$318,"INDO",$C$53:$C$318,$C11)/'Shared Summary by Dept_US$'!$B$32+SUMIFS(N$53:N$318,$A$53:$A$318,"BD",$C$53:$C$318,$C11)/'Shared Summary by Dept_US$'!$B$33+SUMIFS(N$53:N$318,$A$53:$A$318,"Nepal",$C$53:$C$318,$C11)/'Shared Summary by Dept_US$'!$B$34+SUMIFS(N$53:N$318,$A$53:$A$318,"US",$C$53:$C$318,$C11)/'Shared Summary by Dept_US$'!$B$35</f>
        <v>789.31034482758628</v>
      </c>
      <c r="O11" s="71">
        <f ca="1">SUMIFS(O$53:O$318,$A$53:$A$318,"India",$C$53:$C$318,$C11)/'Shared Summary by Dept_US$'!$B$31+SUMIFS(O$53:O$318,$A$53:$A$318,"INDO",$C$53:$C$318,$C11)/'Shared Summary by Dept_US$'!$B$32+SUMIFS(O$53:O$318,$A$53:$A$318,"BD",$C$53:$C$318,$C11)/'Shared Summary by Dept_US$'!$B$33+SUMIFS(O$53:O$318,$A$53:$A$318,"Nepal",$C$53:$C$318,$C11)/'Shared Summary by Dept_US$'!$B$34+SUMIFS(O$53:O$318,$A$53:$A$318,"US",$C$53:$C$318,$C11)/'Shared Summary by Dept_US$'!$B$35</f>
        <v>305</v>
      </c>
      <c r="P11" s="71">
        <f ca="1">SUMIFS(P$53:P$318,$A$53:$A$318,"India",$C$53:$C$318,$C11)/'Shared Summary by Dept_US$'!$B$31+SUMIFS(P$53:P$318,$A$53:$A$318,"INDO",$C$53:$C$318,$C11)/'Shared Summary by Dept_US$'!$B$32+SUMIFS(P$53:P$318,$A$53:$A$318,"BD",$C$53:$C$318,$C11)/'Shared Summary by Dept_US$'!$B$33+SUMIFS(P$53:P$318,$A$53:$A$318,"Nepal",$C$53:$C$318,$C11)/'Shared Summary by Dept_US$'!$B$34+SUMIFS(P$53:P$318,$A$53:$A$318,"US",$C$53:$C$318,$C11)/'Shared Summary by Dept_US$'!$B$35</f>
        <v>225</v>
      </c>
      <c r="Q11" s="71">
        <f ca="1">SUMIFS(Q$53:Q$318,$A$53:$A$318,"India",$C$53:$C$318,$C11)/'Shared Summary by Dept_US$'!$B$31+SUMIFS(Q$53:Q$318,$A$53:$A$318,"INDO",$C$53:$C$318,$C11)/'Shared Summary by Dept_US$'!$B$32+SUMIFS(Q$53:Q$318,$A$53:$A$318,"BD",$C$53:$C$318,$C11)/'Shared Summary by Dept_US$'!$B$33+SUMIFS(Q$53:Q$318,$A$53:$A$318,"Nepal",$C$53:$C$318,$C11)/'Shared Summary by Dept_US$'!$B$34+SUMIFS(Q$53:Q$318,$A$53:$A$318,"US",$C$53:$C$318,$C11)/'Shared Summary by Dept_US$'!$B$35</f>
        <v>225</v>
      </c>
      <c r="S11" s="106"/>
      <c r="T11" s="107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 spans="1:34" ht="15.75" customHeight="1" x14ac:dyDescent="0.85">
      <c r="A12" s="32" t="s">
        <v>35</v>
      </c>
      <c r="B12" s="108" t="s">
        <v>86</v>
      </c>
      <c r="C12" s="109" t="s">
        <v>90</v>
      </c>
      <c r="D12" s="110">
        <v>93103</v>
      </c>
      <c r="E12" s="111">
        <f t="shared" ca="1" si="0"/>
        <v>22907.006711925282</v>
      </c>
      <c r="F12" s="71">
        <f ca="1">SUMIFS(F$53:F$318,$A$53:$A$318,"India",$C$53:$C$318,$C12)/'Shared Summary by Dept_US$'!$B$31+SUMIFS(F$53:F$318,$A$53:$A$318,"INDO",$C$53:$C$318,$C12)/'Shared Summary by Dept_US$'!$B$32+SUMIFS(F$53:F$318,$A$53:$A$318,"BD",$C$53:$C$318,$C12)/'Shared Summary by Dept_US$'!$B$33+SUMIFS(F$53:F$318,$A$53:$A$318,"Nepal",$C$53:$C$318,$C12)/'Shared Summary by Dept_US$'!$B$34+SUMIFS(F$53:F$318,$A$53:$A$318,"US",$C$53:$C$318,$C12)/'Shared Summary by Dept_US$'!$B$35</f>
        <v>433.41787499999998</v>
      </c>
      <c r="G12" s="71">
        <f ca="1">SUMIFS(G$53:G$318,$A$53:$A$318,"India",$C$53:$C$318,$C12)/'Shared Summary by Dept_US$'!$B$31+SUMIFS(G$53:G$318,$A$53:$A$318,"INDO",$C$53:$C$318,$C12)/'Shared Summary by Dept_US$'!$B$32+SUMIFS(G$53:G$318,$A$53:$A$318,"BD",$C$53:$C$318,$C12)/'Shared Summary by Dept_US$'!$B$33+SUMIFS(G$53:G$318,$A$53:$A$318,"Nepal",$C$53:$C$318,$C12)/'Shared Summary by Dept_US$'!$B$34+SUMIFS(G$53:G$318,$A$53:$A$318,"US",$C$53:$C$318,$C12)/'Shared Summary by Dept_US$'!$B$35</f>
        <v>1122.2109784482759</v>
      </c>
      <c r="H12" s="71">
        <f ca="1">SUMIFS(H$53:H$318,$A$53:$A$318,"India",$C$53:$C$318,$C12)/'Shared Summary by Dept_US$'!$B$31+SUMIFS(H$53:H$318,$A$53:$A$318,"INDO",$C$53:$C$318,$C12)/'Shared Summary by Dept_US$'!$B$32+SUMIFS(H$53:H$318,$A$53:$A$318,"BD",$C$53:$C$318,$C12)/'Shared Summary by Dept_US$'!$B$33+SUMIFS(H$53:H$318,$A$53:$A$318,"Nepal",$C$53:$C$318,$C12)/'Shared Summary by Dept_US$'!$B$34+SUMIFS(H$53:H$318,$A$53:$A$318,"US",$C$53:$C$318,$C12)/'Shared Summary by Dept_US$'!$B$35</f>
        <v>2320.977011494253</v>
      </c>
      <c r="I12" s="71">
        <f ca="1">SUMIFS(I$53:I$318,$A$53:$A$318,"India",$C$53:$C$318,$C12)/'Shared Summary by Dept_US$'!$B$31+SUMIFS(I$53:I$318,$A$53:$A$318,"INDO",$C$53:$C$318,$C12)/'Shared Summary by Dept_US$'!$B$32+SUMIFS(I$53:I$318,$A$53:$A$318,"BD",$C$53:$C$318,$C12)/'Shared Summary by Dept_US$'!$B$33+SUMIFS(I$53:I$318,$A$53:$A$318,"Nepal",$C$53:$C$318,$C12)/'Shared Summary by Dept_US$'!$B$34+SUMIFS(I$53:I$318,$A$53:$A$318,"US",$C$53:$C$318,$C12)/'Shared Summary by Dept_US$'!$B$35</f>
        <v>4550.5747126436781</v>
      </c>
      <c r="J12" s="71">
        <f ca="1">SUMIFS(J$53:J$318,$A$53:$A$318,"India",$C$53:$C$318,$C12)/'Shared Summary by Dept_US$'!$B$31+SUMIFS(J$53:J$318,$A$53:$A$318,"INDO",$C$53:$C$318,$C12)/'Shared Summary by Dept_US$'!$B$32+SUMIFS(J$53:J$318,$A$53:$A$318,"BD",$C$53:$C$318,$C12)/'Shared Summary by Dept_US$'!$B$33+SUMIFS(J$53:J$318,$A$53:$A$318,"Nepal",$C$53:$C$318,$C12)/'Shared Summary by Dept_US$'!$B$34+SUMIFS(J$53:J$318,$A$53:$A$318,"US",$C$53:$C$318,$C12)/'Shared Summary by Dept_US$'!$B$35</f>
        <v>3939.9847995689656</v>
      </c>
      <c r="K12" s="71">
        <f ca="1">SUMIFS(K$53:K$318,$A$53:$A$318,"India",$C$53:$C$318,$C12)/'Shared Summary by Dept_US$'!$B$31+SUMIFS(K$53:K$318,$A$53:$A$318,"INDO",$C$53:$C$318,$C12)/'Shared Summary by Dept_US$'!$B$32+SUMIFS(K$53:K$318,$A$53:$A$318,"BD",$C$53:$C$318,$C12)/'Shared Summary by Dept_US$'!$B$33+SUMIFS(K$53:K$318,$A$53:$A$318,"Nepal",$C$53:$C$318,$C12)/'Shared Summary by Dept_US$'!$B$34+SUMIFS(K$53:K$318,$A$53:$A$318,"US",$C$53:$C$318,$C12)/'Shared Summary by Dept_US$'!$B$35</f>
        <v>2330.7893972701149</v>
      </c>
      <c r="L12" s="71">
        <f ca="1">SUMIFS(L$53:L$318,$A$53:$A$318,"India",$C$53:$C$318,$C12)/'Shared Summary by Dept_US$'!$B$31+SUMIFS(L$53:L$318,$A$53:$A$318,"INDO",$C$53:$C$318,$C12)/'Shared Summary by Dept_US$'!$B$32+SUMIFS(L$53:L$318,$A$53:$A$318,"BD",$C$53:$C$318,$C12)/'Shared Summary by Dept_US$'!$B$33+SUMIFS(L$53:L$318,$A$53:$A$318,"Nepal",$C$53:$C$318,$C12)/'Shared Summary by Dept_US$'!$B$34+SUMIFS(L$53:L$318,$A$53:$A$318,"US",$C$53:$C$318,$C12)/'Shared Summary by Dept_US$'!$B$35</f>
        <v>1122.2109784482759</v>
      </c>
      <c r="M12" s="71">
        <f ca="1">SUMIFS(M$53:M$318,$A$53:$A$318,"India",$C$53:$C$318,$C12)/'Shared Summary by Dept_US$'!$B$31+SUMIFS(M$53:M$318,$A$53:$A$318,"INDO",$C$53:$C$318,$C12)/'Shared Summary by Dept_US$'!$B$32+SUMIFS(M$53:M$318,$A$53:$A$318,"BD",$C$53:$C$318,$C12)/'Shared Summary by Dept_US$'!$B$33+SUMIFS(M$53:M$318,$A$53:$A$318,"Nepal",$C$53:$C$318,$C12)/'Shared Summary by Dept_US$'!$B$34+SUMIFS(M$53:M$318,$A$53:$A$318,"US",$C$53:$C$318,$C12)/'Shared Summary by Dept_US$'!$B$35</f>
        <v>1617.8583627873566</v>
      </c>
      <c r="N12" s="71">
        <f ca="1">SUMIFS(N$53:N$318,$A$53:$A$318,"India",$C$53:$C$318,$C12)/'Shared Summary by Dept_US$'!$B$31+SUMIFS(N$53:N$318,$A$53:$A$318,"INDO",$C$53:$C$318,$C12)/'Shared Summary by Dept_US$'!$B$32+SUMIFS(N$53:N$318,$A$53:$A$318,"BD",$C$53:$C$318,$C12)/'Shared Summary by Dept_US$'!$B$33+SUMIFS(N$53:N$318,$A$53:$A$318,"Nepal",$C$53:$C$318,$C12)/'Shared Summary by Dept_US$'!$B$34+SUMIFS(N$53:N$318,$A$53:$A$318,"US",$C$53:$C$318,$C12)/'Shared Summary by Dept_US$'!$B$35</f>
        <v>2868.475346264368</v>
      </c>
      <c r="O12" s="71">
        <f ca="1">SUMIFS(O$53:O$318,$A$53:$A$318,"India",$C$53:$C$318,$C12)/'Shared Summary by Dept_US$'!$B$31+SUMIFS(O$53:O$318,$A$53:$A$318,"INDO",$C$53:$C$318,$C12)/'Shared Summary by Dept_US$'!$B$32+SUMIFS(O$53:O$318,$A$53:$A$318,"BD",$C$53:$C$318,$C12)/'Shared Summary by Dept_US$'!$B$33+SUMIFS(O$53:O$318,$A$53:$A$318,"Nepal",$C$53:$C$318,$C12)/'Shared Summary by Dept_US$'!$B$34+SUMIFS(O$53:O$318,$A$53:$A$318,"US",$C$53:$C$318,$C12)/'Shared Summary by Dept_US$'!$B$35</f>
        <v>866.83574999999996</v>
      </c>
      <c r="P12" s="71">
        <f ca="1">SUMIFS(P$53:P$318,$A$53:$A$318,"India",$C$53:$C$318,$C12)/'Shared Summary by Dept_US$'!$B$31+SUMIFS(P$53:P$318,$A$53:$A$318,"INDO",$C$53:$C$318,$C12)/'Shared Summary by Dept_US$'!$B$32+SUMIFS(P$53:P$318,$A$53:$A$318,"BD",$C$53:$C$318,$C12)/'Shared Summary by Dept_US$'!$B$33+SUMIFS(P$53:P$318,$A$53:$A$318,"Nepal",$C$53:$C$318,$C12)/'Shared Summary by Dept_US$'!$B$34+SUMIFS(P$53:P$318,$A$53:$A$318,"US",$C$53:$C$318,$C12)/'Shared Summary by Dept_US$'!$B$35</f>
        <v>866.83574999999996</v>
      </c>
      <c r="Q12" s="71">
        <f ca="1">SUMIFS(Q$53:Q$318,$A$53:$A$318,"India",$C$53:$C$318,$C12)/'Shared Summary by Dept_US$'!$B$31+SUMIFS(Q$53:Q$318,$A$53:$A$318,"INDO",$C$53:$C$318,$C12)/'Shared Summary by Dept_US$'!$B$32+SUMIFS(Q$53:Q$318,$A$53:$A$318,"BD",$C$53:$C$318,$C12)/'Shared Summary by Dept_US$'!$B$33+SUMIFS(Q$53:Q$318,$A$53:$A$318,"Nepal",$C$53:$C$318,$C12)/'Shared Summary by Dept_US$'!$B$34+SUMIFS(Q$53:Q$318,$A$53:$A$318,"US",$C$53:$C$318,$C12)/'Shared Summary by Dept_US$'!$B$35</f>
        <v>866.83574999999996</v>
      </c>
      <c r="S12" s="106"/>
      <c r="T12" s="107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1:34" ht="15.75" customHeight="1" x14ac:dyDescent="0.85">
      <c r="A13" s="32" t="s">
        <v>35</v>
      </c>
      <c r="B13" s="108" t="s">
        <v>86</v>
      </c>
      <c r="C13" s="109" t="s">
        <v>91</v>
      </c>
      <c r="D13" s="110">
        <v>93104</v>
      </c>
      <c r="E13" s="111">
        <f t="shared" ca="1" si="0"/>
        <v>13490.035919540232</v>
      </c>
      <c r="F13" s="71">
        <f ca="1">SUMIFS(F$53:F$318,$A$53:$A$318,"India",$C$53:$C$318,$C13)/'Shared Summary by Dept_US$'!$B$31+SUMIFS(F$53:F$318,$A$53:$A$318,"INDO",$C$53:$C$318,$C13)/'Shared Summary by Dept_US$'!$B$32+SUMIFS(F$53:F$318,$A$53:$A$318,"BD",$C$53:$C$318,$C13)/'Shared Summary by Dept_US$'!$B$33+SUMIFS(F$53:F$318,$A$53:$A$318,"Nepal",$C$53:$C$318,$C13)/'Shared Summary by Dept_US$'!$B$34+SUMIFS(F$53:F$318,$A$53:$A$318,"US",$C$53:$C$318,$C13)/'Shared Summary by Dept_US$'!$B$35</f>
        <v>281.25</v>
      </c>
      <c r="G13" s="71">
        <f ca="1">SUMIFS(G$53:G$318,$A$53:$A$318,"India",$C$53:$C$318,$C13)/'Shared Summary by Dept_US$'!$B$31+SUMIFS(G$53:G$318,$A$53:$A$318,"INDO",$C$53:$C$318,$C13)/'Shared Summary by Dept_US$'!$B$32+SUMIFS(G$53:G$318,$A$53:$A$318,"BD",$C$53:$C$318,$C13)/'Shared Summary by Dept_US$'!$B$33+SUMIFS(G$53:G$318,$A$53:$A$318,"Nepal",$C$53:$C$318,$C13)/'Shared Summary by Dept_US$'!$B$34+SUMIFS(G$53:G$318,$A$53:$A$318,"US",$C$53:$C$318,$C13)/'Shared Summary by Dept_US$'!$B$35</f>
        <v>784.86350574712651</v>
      </c>
      <c r="H13" s="71">
        <f ca="1">SUMIFS(H$53:H$318,$A$53:$A$318,"India",$C$53:$C$318,$C13)/'Shared Summary by Dept_US$'!$B$31+SUMIFS(H$53:H$318,$A$53:$A$318,"INDO",$C$53:$C$318,$C13)/'Shared Summary by Dept_US$'!$B$32+SUMIFS(H$53:H$318,$A$53:$A$318,"BD",$C$53:$C$318,$C13)/'Shared Summary by Dept_US$'!$B$33+SUMIFS(H$53:H$318,$A$53:$A$318,"Nepal",$C$53:$C$318,$C13)/'Shared Summary by Dept_US$'!$B$34+SUMIFS(H$53:H$318,$A$53:$A$318,"US",$C$53:$C$318,$C13)/'Shared Summary by Dept_US$'!$B$35</f>
        <v>2549.295977011494</v>
      </c>
      <c r="I13" s="71">
        <f ca="1">SUMIFS(I$53:I$318,$A$53:$A$318,"India",$C$53:$C$318,$C13)/'Shared Summary by Dept_US$'!$B$31+SUMIFS(I$53:I$318,$A$53:$A$318,"INDO",$C$53:$C$318,$C13)/'Shared Summary by Dept_US$'!$B$32+SUMIFS(I$53:I$318,$A$53:$A$318,"BD",$C$53:$C$318,$C13)/'Shared Summary by Dept_US$'!$B$33+SUMIFS(I$53:I$318,$A$53:$A$318,"Nepal",$C$53:$C$318,$C13)/'Shared Summary by Dept_US$'!$B$34+SUMIFS(I$53:I$318,$A$53:$A$318,"US",$C$53:$C$318,$C13)/'Shared Summary by Dept_US$'!$B$35</f>
        <v>2169.166666666667</v>
      </c>
      <c r="J13" s="71">
        <f ca="1">SUMIFS(J$53:J$318,$A$53:$A$318,"India",$C$53:$C$318,$C13)/'Shared Summary by Dept_US$'!$B$31+SUMIFS(J$53:J$318,$A$53:$A$318,"INDO",$C$53:$C$318,$C13)/'Shared Summary by Dept_US$'!$B$32+SUMIFS(J$53:J$318,$A$53:$A$318,"BD",$C$53:$C$318,$C13)/'Shared Summary by Dept_US$'!$B$33+SUMIFS(J$53:J$318,$A$53:$A$318,"Nepal",$C$53:$C$318,$C13)/'Shared Summary by Dept_US$'!$B$34+SUMIFS(J$53:J$318,$A$53:$A$318,"US",$C$53:$C$318,$C13)/'Shared Summary by Dept_US$'!$B$35</f>
        <v>1600.4166666666667</v>
      </c>
      <c r="K13" s="71">
        <f ca="1">SUMIFS(K$53:K$318,$A$53:$A$318,"India",$C$53:$C$318,$C13)/'Shared Summary by Dept_US$'!$B$31+SUMIFS(K$53:K$318,$A$53:$A$318,"INDO",$C$53:$C$318,$C13)/'Shared Summary by Dept_US$'!$B$32+SUMIFS(K$53:K$318,$A$53:$A$318,"BD",$C$53:$C$318,$C13)/'Shared Summary by Dept_US$'!$B$33+SUMIFS(K$53:K$318,$A$53:$A$318,"Nepal",$C$53:$C$318,$C13)/'Shared Summary by Dept_US$'!$B$34+SUMIFS(K$53:K$318,$A$53:$A$318,"US",$C$53:$C$318,$C13)/'Shared Summary by Dept_US$'!$B$35</f>
        <v>1169.1954022988507</v>
      </c>
      <c r="L13" s="71">
        <f ca="1">SUMIFS(L$53:L$318,$A$53:$A$318,"India",$C$53:$C$318,$C13)/'Shared Summary by Dept_US$'!$B$31+SUMIFS(L$53:L$318,$A$53:$A$318,"INDO",$C$53:$C$318,$C13)/'Shared Summary by Dept_US$'!$B$32+SUMIFS(L$53:L$318,$A$53:$A$318,"BD",$C$53:$C$318,$C13)/'Shared Summary by Dept_US$'!$B$33+SUMIFS(L$53:L$318,$A$53:$A$318,"Nepal",$C$53:$C$318,$C13)/'Shared Summary by Dept_US$'!$B$34+SUMIFS(L$53:L$318,$A$53:$A$318,"US",$C$53:$C$318,$C13)/'Shared Summary by Dept_US$'!$B$35</f>
        <v>1052.4568965517242</v>
      </c>
      <c r="M13" s="71">
        <f ca="1">SUMIFS(M$53:M$318,$A$53:$A$318,"India",$C$53:$C$318,$C13)/'Shared Summary by Dept_US$'!$B$31+SUMIFS(M$53:M$318,$A$53:$A$318,"INDO",$C$53:$C$318,$C13)/'Shared Summary by Dept_US$'!$B$32+SUMIFS(M$53:M$318,$A$53:$A$318,"BD",$C$53:$C$318,$C13)/'Shared Summary by Dept_US$'!$B$33+SUMIFS(M$53:M$318,$A$53:$A$318,"Nepal",$C$53:$C$318,$C13)/'Shared Summary by Dept_US$'!$B$34+SUMIFS(M$53:M$318,$A$53:$A$318,"US",$C$53:$C$318,$C13)/'Shared Summary by Dept_US$'!$B$35</f>
        <v>921.00574712643675</v>
      </c>
      <c r="N13" s="71">
        <f ca="1">SUMIFS(N$53:N$318,$A$53:$A$318,"India",$C$53:$C$318,$C13)/'Shared Summary by Dept_US$'!$B$31+SUMIFS(N$53:N$318,$A$53:$A$318,"INDO",$C$53:$C$318,$C13)/'Shared Summary by Dept_US$'!$B$32+SUMIFS(N$53:N$318,$A$53:$A$318,"BD",$C$53:$C$318,$C13)/'Shared Summary by Dept_US$'!$B$33+SUMIFS(N$53:N$318,$A$53:$A$318,"Nepal",$C$53:$C$318,$C13)/'Shared Summary by Dept_US$'!$B$34+SUMIFS(N$53:N$318,$A$53:$A$318,"US",$C$53:$C$318,$C13)/'Shared Summary by Dept_US$'!$B$35</f>
        <v>1949.8850574712644</v>
      </c>
      <c r="O13" s="71">
        <f ca="1">SUMIFS(O$53:O$318,$A$53:$A$318,"India",$C$53:$C$318,$C13)/'Shared Summary by Dept_US$'!$B$31+SUMIFS(O$53:O$318,$A$53:$A$318,"INDO",$C$53:$C$318,$C13)/'Shared Summary by Dept_US$'!$B$32+SUMIFS(O$53:O$318,$A$53:$A$318,"BD",$C$53:$C$318,$C13)/'Shared Summary by Dept_US$'!$B$33+SUMIFS(O$53:O$318,$A$53:$A$318,"Nepal",$C$53:$C$318,$C13)/'Shared Summary by Dept_US$'!$B$34+SUMIFS(O$53:O$318,$A$53:$A$318,"US",$C$53:$C$318,$C13)/'Shared Summary by Dept_US$'!$B$35</f>
        <v>337.5</v>
      </c>
      <c r="P13" s="71">
        <f ca="1">SUMIFS(P$53:P$318,$A$53:$A$318,"India",$C$53:$C$318,$C13)/'Shared Summary by Dept_US$'!$B$31+SUMIFS(P$53:P$318,$A$53:$A$318,"INDO",$C$53:$C$318,$C13)/'Shared Summary by Dept_US$'!$B$32+SUMIFS(P$53:P$318,$A$53:$A$318,"BD",$C$53:$C$318,$C13)/'Shared Summary by Dept_US$'!$B$33+SUMIFS(P$53:P$318,$A$53:$A$318,"Nepal",$C$53:$C$318,$C13)/'Shared Summary by Dept_US$'!$B$34+SUMIFS(P$53:P$318,$A$53:$A$318,"US",$C$53:$C$318,$C13)/'Shared Summary by Dept_US$'!$B$35</f>
        <v>337.5</v>
      </c>
      <c r="Q13" s="71">
        <f ca="1">SUMIFS(Q$53:Q$318,$A$53:$A$318,"India",$C$53:$C$318,$C13)/'Shared Summary by Dept_US$'!$B$31+SUMIFS(Q$53:Q$318,$A$53:$A$318,"INDO",$C$53:$C$318,$C13)/'Shared Summary by Dept_US$'!$B$32+SUMIFS(Q$53:Q$318,$A$53:$A$318,"BD",$C$53:$C$318,$C13)/'Shared Summary by Dept_US$'!$B$33+SUMIFS(Q$53:Q$318,$A$53:$A$318,"Nepal",$C$53:$C$318,$C13)/'Shared Summary by Dept_US$'!$B$34+SUMIFS(Q$53:Q$318,$A$53:$A$318,"US",$C$53:$C$318,$C13)/'Shared Summary by Dept_US$'!$B$35</f>
        <v>337.5</v>
      </c>
      <c r="S13" s="106"/>
      <c r="T13" s="107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1:34" ht="15.75" customHeight="1" x14ac:dyDescent="0.85">
      <c r="A14" s="32" t="s">
        <v>35</v>
      </c>
      <c r="B14" s="108" t="s">
        <v>86</v>
      </c>
      <c r="C14" s="109" t="s">
        <v>92</v>
      </c>
      <c r="D14" s="110">
        <v>93105</v>
      </c>
      <c r="E14" s="111">
        <f t="shared" ca="1" si="0"/>
        <v>842.75862068965512</v>
      </c>
      <c r="F14" s="71">
        <f ca="1">SUMIFS(F$53:F$318,$A$53:$A$318,"India",$C$53:$C$318,$C14)/'Shared Summary by Dept_US$'!$B$31+SUMIFS(F$53:F$318,$A$53:$A$318,"INDO",$C$53:$C$318,$C14)/'Shared Summary by Dept_US$'!$B$32+SUMIFS(F$53:F$318,$A$53:$A$318,"BD",$C$53:$C$318,$C14)/'Shared Summary by Dept_US$'!$B$33+SUMIFS(F$53:F$318,$A$53:$A$318,"Nepal",$C$53:$C$318,$C14)/'Shared Summary by Dept_US$'!$B$34+SUMIFS(F$53:F$318,$A$53:$A$318,"US",$C$53:$C$318,$C14)/'Shared Summary by Dept_US$'!$B$35</f>
        <v>0</v>
      </c>
      <c r="G14" s="71">
        <f ca="1">SUMIFS(G$53:G$318,$A$53:$A$318,"India",$C$53:$C$318,$C14)/'Shared Summary by Dept_US$'!$B$31+SUMIFS(G$53:G$318,$A$53:$A$318,"INDO",$C$53:$C$318,$C14)/'Shared Summary by Dept_US$'!$B$32+SUMIFS(G$53:G$318,$A$53:$A$318,"BD",$C$53:$C$318,$C14)/'Shared Summary by Dept_US$'!$B$33+SUMIFS(G$53:G$318,$A$53:$A$318,"Nepal",$C$53:$C$318,$C14)/'Shared Summary by Dept_US$'!$B$34+SUMIFS(G$53:G$318,$A$53:$A$318,"US",$C$53:$C$318,$C14)/'Shared Summary by Dept_US$'!$B$35</f>
        <v>54.482758620689658</v>
      </c>
      <c r="H14" s="71">
        <f ca="1">SUMIFS(H$53:H$318,$A$53:$A$318,"India",$C$53:$C$318,$C14)/'Shared Summary by Dept_US$'!$B$31+SUMIFS(H$53:H$318,$A$53:$A$318,"INDO",$C$53:$C$318,$C14)/'Shared Summary by Dept_US$'!$B$32+SUMIFS(H$53:H$318,$A$53:$A$318,"BD",$C$53:$C$318,$C14)/'Shared Summary by Dept_US$'!$B$33+SUMIFS(H$53:H$318,$A$53:$A$318,"Nepal",$C$53:$C$318,$C14)/'Shared Summary by Dept_US$'!$B$34+SUMIFS(H$53:H$318,$A$53:$A$318,"US",$C$53:$C$318,$C14)/'Shared Summary by Dept_US$'!$B$35</f>
        <v>106.20689655172414</v>
      </c>
      <c r="I14" s="71">
        <f ca="1">SUMIFS(I$53:I$318,$A$53:$A$318,"India",$C$53:$C$318,$C14)/'Shared Summary by Dept_US$'!$B$31+SUMIFS(I$53:I$318,$A$53:$A$318,"INDO",$C$53:$C$318,$C14)/'Shared Summary by Dept_US$'!$B$32+SUMIFS(I$53:I$318,$A$53:$A$318,"BD",$C$53:$C$318,$C14)/'Shared Summary by Dept_US$'!$B$33+SUMIFS(I$53:I$318,$A$53:$A$318,"Nepal",$C$53:$C$318,$C14)/'Shared Summary by Dept_US$'!$B$34+SUMIFS(I$53:I$318,$A$53:$A$318,"US",$C$53:$C$318,$C14)/'Shared Summary by Dept_US$'!$B$35</f>
        <v>78.390804597701148</v>
      </c>
      <c r="J14" s="71">
        <f ca="1">SUMIFS(J$53:J$318,$A$53:$A$318,"India",$C$53:$C$318,$C14)/'Shared Summary by Dept_US$'!$B$31+SUMIFS(J$53:J$318,$A$53:$A$318,"INDO",$C$53:$C$318,$C14)/'Shared Summary by Dept_US$'!$B$32+SUMIFS(J$53:J$318,$A$53:$A$318,"BD",$C$53:$C$318,$C14)/'Shared Summary by Dept_US$'!$B$33+SUMIFS(J$53:J$318,$A$53:$A$318,"Nepal",$C$53:$C$318,$C14)/'Shared Summary by Dept_US$'!$B$34+SUMIFS(J$53:J$318,$A$53:$A$318,"US",$C$53:$C$318,$C14)/'Shared Summary by Dept_US$'!$B$35</f>
        <v>71.724137931034477</v>
      </c>
      <c r="K14" s="71">
        <f ca="1">SUMIFS(K$53:K$318,$A$53:$A$318,"India",$C$53:$C$318,$C14)/'Shared Summary by Dept_US$'!$B$31+SUMIFS(K$53:K$318,$A$53:$A$318,"INDO",$C$53:$C$318,$C14)/'Shared Summary by Dept_US$'!$B$32+SUMIFS(K$53:K$318,$A$53:$A$318,"BD",$C$53:$C$318,$C14)/'Shared Summary by Dept_US$'!$B$33+SUMIFS(K$53:K$318,$A$53:$A$318,"Nepal",$C$53:$C$318,$C14)/'Shared Summary by Dept_US$'!$B$34+SUMIFS(K$53:K$318,$A$53:$A$318,"US",$C$53:$C$318,$C14)/'Shared Summary by Dept_US$'!$B$35</f>
        <v>88.965517241379317</v>
      </c>
      <c r="L14" s="71">
        <f ca="1">SUMIFS(L$53:L$318,$A$53:$A$318,"India",$C$53:$C$318,$C14)/'Shared Summary by Dept_US$'!$B$31+SUMIFS(L$53:L$318,$A$53:$A$318,"INDO",$C$53:$C$318,$C14)/'Shared Summary by Dept_US$'!$B$32+SUMIFS(L$53:L$318,$A$53:$A$318,"BD",$C$53:$C$318,$C14)/'Shared Summary by Dept_US$'!$B$33+SUMIFS(L$53:L$318,$A$53:$A$318,"Nepal",$C$53:$C$318,$C14)/'Shared Summary by Dept_US$'!$B$34+SUMIFS(L$53:L$318,$A$53:$A$318,"US",$C$53:$C$318,$C14)/'Shared Summary by Dept_US$'!$B$35</f>
        <v>221.14942528735631</v>
      </c>
      <c r="M14" s="71">
        <f ca="1">SUMIFS(M$53:M$318,$A$53:$A$318,"India",$C$53:$C$318,$C14)/'Shared Summary by Dept_US$'!$B$31+SUMIFS(M$53:M$318,$A$53:$A$318,"INDO",$C$53:$C$318,$C14)/'Shared Summary by Dept_US$'!$B$32+SUMIFS(M$53:M$318,$A$53:$A$318,"BD",$C$53:$C$318,$C14)/'Shared Summary by Dept_US$'!$B$33+SUMIFS(M$53:M$318,$A$53:$A$318,"Nepal",$C$53:$C$318,$C14)/'Shared Summary by Dept_US$'!$B$34+SUMIFS(M$53:M$318,$A$53:$A$318,"US",$C$53:$C$318,$C14)/'Shared Summary by Dept_US$'!$B$35</f>
        <v>78.390804597701148</v>
      </c>
      <c r="N14" s="71">
        <f ca="1">SUMIFS(N$53:N$318,$A$53:$A$318,"India",$C$53:$C$318,$C14)/'Shared Summary by Dept_US$'!$B$31+SUMIFS(N$53:N$318,$A$53:$A$318,"INDO",$C$53:$C$318,$C14)/'Shared Summary by Dept_US$'!$B$32+SUMIFS(N$53:N$318,$A$53:$A$318,"BD",$C$53:$C$318,$C14)/'Shared Summary by Dept_US$'!$B$33+SUMIFS(N$53:N$318,$A$53:$A$318,"Nepal",$C$53:$C$318,$C14)/'Shared Summary by Dept_US$'!$B$34+SUMIFS(N$53:N$318,$A$53:$A$318,"US",$C$53:$C$318,$C14)/'Shared Summary by Dept_US$'!$B$35</f>
        <v>143.44827586206895</v>
      </c>
      <c r="O14" s="71">
        <f ca="1">SUMIFS(O$53:O$318,$A$53:$A$318,"India",$C$53:$C$318,$C14)/'Shared Summary by Dept_US$'!$B$31+SUMIFS(O$53:O$318,$A$53:$A$318,"INDO",$C$53:$C$318,$C14)/'Shared Summary by Dept_US$'!$B$32+SUMIFS(O$53:O$318,$A$53:$A$318,"BD",$C$53:$C$318,$C14)/'Shared Summary by Dept_US$'!$B$33+SUMIFS(O$53:O$318,$A$53:$A$318,"Nepal",$C$53:$C$318,$C14)/'Shared Summary by Dept_US$'!$B$34+SUMIFS(O$53:O$318,$A$53:$A$318,"US",$C$53:$C$318,$C14)/'Shared Summary by Dept_US$'!$B$35</f>
        <v>0</v>
      </c>
      <c r="P14" s="71">
        <f ca="1">SUMIFS(P$53:P$318,$A$53:$A$318,"India",$C$53:$C$318,$C14)/'Shared Summary by Dept_US$'!$B$31+SUMIFS(P$53:P$318,$A$53:$A$318,"INDO",$C$53:$C$318,$C14)/'Shared Summary by Dept_US$'!$B$32+SUMIFS(P$53:P$318,$A$53:$A$318,"BD",$C$53:$C$318,$C14)/'Shared Summary by Dept_US$'!$B$33+SUMIFS(P$53:P$318,$A$53:$A$318,"Nepal",$C$53:$C$318,$C14)/'Shared Summary by Dept_US$'!$B$34+SUMIFS(P$53:P$318,$A$53:$A$318,"US",$C$53:$C$318,$C14)/'Shared Summary by Dept_US$'!$B$35</f>
        <v>0</v>
      </c>
      <c r="Q14" s="71">
        <f ca="1">SUMIFS(Q$53:Q$318,$A$53:$A$318,"India",$C$53:$C$318,$C14)/'Shared Summary by Dept_US$'!$B$31+SUMIFS(Q$53:Q$318,$A$53:$A$318,"INDO",$C$53:$C$318,$C14)/'Shared Summary by Dept_US$'!$B$32+SUMIFS(Q$53:Q$318,$A$53:$A$318,"BD",$C$53:$C$318,$C14)/'Shared Summary by Dept_US$'!$B$33+SUMIFS(Q$53:Q$318,$A$53:$A$318,"Nepal",$C$53:$C$318,$C14)/'Shared Summary by Dept_US$'!$B$34+SUMIFS(Q$53:Q$318,$A$53:$A$318,"US",$C$53:$C$318,$C14)/'Shared Summary by Dept_US$'!$B$35</f>
        <v>0</v>
      </c>
      <c r="S14" s="106"/>
      <c r="T14" s="107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 spans="1:34" ht="15.75" customHeight="1" x14ac:dyDescent="0.85">
      <c r="A15" s="32" t="s">
        <v>35</v>
      </c>
      <c r="B15" s="108" t="s">
        <v>86</v>
      </c>
      <c r="C15" s="109" t="s">
        <v>93</v>
      </c>
      <c r="D15" s="110">
        <v>93106</v>
      </c>
      <c r="E15" s="111">
        <f t="shared" ca="1" si="0"/>
        <v>3859.5035919540228</v>
      </c>
      <c r="F15" s="71">
        <f ca="1">SUMIFS(F$53:F$318,$A$53:$A$318,"India",$C$53:$C$318,$C15)/'Shared Summary by Dept_US$'!$B$31+SUMIFS(F$53:F$318,$A$53:$A$318,"INDO",$C$53:$C$318,$C15)/'Shared Summary by Dept_US$'!$B$32+SUMIFS(F$53:F$318,$A$53:$A$318,"BD",$C$53:$C$318,$C15)/'Shared Summary by Dept_US$'!$B$33+SUMIFS(F$53:F$318,$A$53:$A$318,"Nepal",$C$53:$C$318,$C15)/'Shared Summary by Dept_US$'!$B$34+SUMIFS(F$53:F$318,$A$53:$A$318,"US",$C$53:$C$318,$C15)/'Shared Summary by Dept_US$'!$B$35</f>
        <v>12.5</v>
      </c>
      <c r="G15" s="71">
        <f ca="1">SUMIFS(G$53:G$318,$A$53:$A$318,"India",$C$53:$C$318,$C15)/'Shared Summary by Dept_US$'!$B$31+SUMIFS(G$53:G$318,$A$53:$A$318,"INDO",$C$53:$C$318,$C15)/'Shared Summary by Dept_US$'!$B$32+SUMIFS(G$53:G$318,$A$53:$A$318,"BD",$C$53:$C$318,$C15)/'Shared Summary by Dept_US$'!$B$33+SUMIFS(G$53:G$318,$A$53:$A$318,"Nepal",$C$53:$C$318,$C15)/'Shared Summary by Dept_US$'!$B$34+SUMIFS(G$53:G$318,$A$53:$A$318,"US",$C$53:$C$318,$C15)/'Shared Summary by Dept_US$'!$B$35</f>
        <v>22.341954022988507</v>
      </c>
      <c r="H15" s="71">
        <f ca="1">SUMIFS(H$53:H$318,$A$53:$A$318,"India",$C$53:$C$318,$C15)/'Shared Summary by Dept_US$'!$B$31+SUMIFS(H$53:H$318,$A$53:$A$318,"INDO",$C$53:$C$318,$C15)/'Shared Summary by Dept_US$'!$B$32+SUMIFS(H$53:H$318,$A$53:$A$318,"BD",$C$53:$C$318,$C15)/'Shared Summary by Dept_US$'!$B$33+SUMIFS(H$53:H$318,$A$53:$A$318,"Nepal",$C$53:$C$318,$C15)/'Shared Summary by Dept_US$'!$B$34+SUMIFS(H$53:H$318,$A$53:$A$318,"US",$C$53:$C$318,$C15)/'Shared Summary by Dept_US$'!$B$35</f>
        <v>1474.7126436781609</v>
      </c>
      <c r="I15" s="71">
        <f ca="1">SUMIFS(I$53:I$318,$A$53:$A$318,"India",$C$53:$C$318,$C15)/'Shared Summary by Dept_US$'!$B$31+SUMIFS(I$53:I$318,$A$53:$A$318,"INDO",$C$53:$C$318,$C15)/'Shared Summary by Dept_US$'!$B$32+SUMIFS(I$53:I$318,$A$53:$A$318,"BD",$C$53:$C$318,$C15)/'Shared Summary by Dept_US$'!$B$33+SUMIFS(I$53:I$318,$A$53:$A$318,"Nepal",$C$53:$C$318,$C15)/'Shared Summary by Dept_US$'!$B$34+SUMIFS(I$53:I$318,$A$53:$A$318,"US",$C$53:$C$318,$C15)/'Shared Summary by Dept_US$'!$B$35</f>
        <v>261.43678160919541</v>
      </c>
      <c r="J15" s="71">
        <f ca="1">SUMIFS(J$53:J$318,$A$53:$A$318,"India",$C$53:$C$318,$C15)/'Shared Summary by Dept_US$'!$B$31+SUMIFS(J$53:J$318,$A$53:$A$318,"INDO",$C$53:$C$318,$C15)/'Shared Summary by Dept_US$'!$B$32+SUMIFS(J$53:J$318,$A$53:$A$318,"BD",$C$53:$C$318,$C15)/'Shared Summary by Dept_US$'!$B$33+SUMIFS(J$53:J$318,$A$53:$A$318,"Nepal",$C$53:$C$318,$C15)/'Shared Summary by Dept_US$'!$B$34+SUMIFS(J$53:J$318,$A$53:$A$318,"US",$C$53:$C$318,$C15)/'Shared Summary by Dept_US$'!$B$35</f>
        <v>553.05316091954023</v>
      </c>
      <c r="K15" s="71">
        <f ca="1">SUMIFS(K$53:K$318,$A$53:$A$318,"India",$C$53:$C$318,$C15)/'Shared Summary by Dept_US$'!$B$31+SUMIFS(K$53:K$318,$A$53:$A$318,"INDO",$C$53:$C$318,$C15)/'Shared Summary by Dept_US$'!$B$32+SUMIFS(K$53:K$318,$A$53:$A$318,"BD",$C$53:$C$318,$C15)/'Shared Summary by Dept_US$'!$B$33+SUMIFS(K$53:K$318,$A$53:$A$318,"Nepal",$C$53:$C$318,$C15)/'Shared Summary by Dept_US$'!$B$34+SUMIFS(K$53:K$318,$A$53:$A$318,"US",$C$53:$C$318,$C15)/'Shared Summary by Dept_US$'!$B$35</f>
        <v>69.791666666666671</v>
      </c>
      <c r="L15" s="71">
        <f ca="1">SUMIFS(L$53:L$318,$A$53:$A$318,"India",$C$53:$C$318,$C15)/'Shared Summary by Dept_US$'!$B$31+SUMIFS(L$53:L$318,$A$53:$A$318,"INDO",$C$53:$C$318,$C15)/'Shared Summary by Dept_US$'!$B$32+SUMIFS(L$53:L$318,$A$53:$A$318,"BD",$C$53:$C$318,$C15)/'Shared Summary by Dept_US$'!$B$33+SUMIFS(L$53:L$318,$A$53:$A$318,"Nepal",$C$53:$C$318,$C15)/'Shared Summary by Dept_US$'!$B$34+SUMIFS(L$53:L$318,$A$53:$A$318,"US",$C$53:$C$318,$C15)/'Shared Summary by Dept_US$'!$B$35</f>
        <v>28.591954022988507</v>
      </c>
      <c r="M15" s="71">
        <f ca="1">SUMIFS(M$53:M$318,$A$53:$A$318,"India",$C$53:$C$318,$C15)/'Shared Summary by Dept_US$'!$B$31+SUMIFS(M$53:M$318,$A$53:$A$318,"INDO",$C$53:$C$318,$C15)/'Shared Summary by Dept_US$'!$B$32+SUMIFS(M$53:M$318,$A$53:$A$318,"BD",$C$53:$C$318,$C15)/'Shared Summary by Dept_US$'!$B$33+SUMIFS(M$53:M$318,$A$53:$A$318,"Nepal",$C$53:$C$318,$C15)/'Shared Summary by Dept_US$'!$B$34+SUMIFS(M$53:M$318,$A$53:$A$318,"US",$C$53:$C$318,$C15)/'Shared Summary by Dept_US$'!$B$35</f>
        <v>295.5962643678161</v>
      </c>
      <c r="N15" s="71">
        <f ca="1">SUMIFS(N$53:N$318,$A$53:$A$318,"India",$C$53:$C$318,$C15)/'Shared Summary by Dept_US$'!$B$31+SUMIFS(N$53:N$318,$A$53:$A$318,"INDO",$C$53:$C$318,$C15)/'Shared Summary by Dept_US$'!$B$32+SUMIFS(N$53:N$318,$A$53:$A$318,"BD",$C$53:$C$318,$C15)/'Shared Summary by Dept_US$'!$B$33+SUMIFS(N$53:N$318,$A$53:$A$318,"Nepal",$C$53:$C$318,$C15)/'Shared Summary by Dept_US$'!$B$34+SUMIFS(N$53:N$318,$A$53:$A$318,"US",$C$53:$C$318,$C15)/'Shared Summary by Dept_US$'!$B$35</f>
        <v>353.97916666666669</v>
      </c>
      <c r="O15" s="71">
        <f ca="1">SUMIFS(O$53:O$318,$A$53:$A$318,"India",$C$53:$C$318,$C15)/'Shared Summary by Dept_US$'!$B$31+SUMIFS(O$53:O$318,$A$53:$A$318,"INDO",$C$53:$C$318,$C15)/'Shared Summary by Dept_US$'!$B$32+SUMIFS(O$53:O$318,$A$53:$A$318,"BD",$C$53:$C$318,$C15)/'Shared Summary by Dept_US$'!$B$33+SUMIFS(O$53:O$318,$A$53:$A$318,"Nepal",$C$53:$C$318,$C15)/'Shared Summary by Dept_US$'!$B$34+SUMIFS(O$53:O$318,$A$53:$A$318,"US",$C$53:$C$318,$C15)/'Shared Summary by Dept_US$'!$B$35</f>
        <v>262.5</v>
      </c>
      <c r="P15" s="71">
        <f ca="1">SUMIFS(P$53:P$318,$A$53:$A$318,"India",$C$53:$C$318,$C15)/'Shared Summary by Dept_US$'!$B$31+SUMIFS(P$53:P$318,$A$53:$A$318,"INDO",$C$53:$C$318,$C15)/'Shared Summary by Dept_US$'!$B$32+SUMIFS(P$53:P$318,$A$53:$A$318,"BD",$C$53:$C$318,$C15)/'Shared Summary by Dept_US$'!$B$33+SUMIFS(P$53:P$318,$A$53:$A$318,"Nepal",$C$53:$C$318,$C15)/'Shared Summary by Dept_US$'!$B$34+SUMIFS(P$53:P$318,$A$53:$A$318,"US",$C$53:$C$318,$C15)/'Shared Summary by Dept_US$'!$B$35</f>
        <v>262.5</v>
      </c>
      <c r="Q15" s="71">
        <f ca="1">SUMIFS(Q$53:Q$318,$A$53:$A$318,"India",$C$53:$C$318,$C15)/'Shared Summary by Dept_US$'!$B$31+SUMIFS(Q$53:Q$318,$A$53:$A$318,"INDO",$C$53:$C$318,$C15)/'Shared Summary by Dept_US$'!$B$32+SUMIFS(Q$53:Q$318,$A$53:$A$318,"BD",$C$53:$C$318,$C15)/'Shared Summary by Dept_US$'!$B$33+SUMIFS(Q$53:Q$318,$A$53:$A$318,"Nepal",$C$53:$C$318,$C15)/'Shared Summary by Dept_US$'!$B$34+SUMIFS(Q$53:Q$318,$A$53:$A$318,"US",$C$53:$C$318,$C15)/'Shared Summary by Dept_US$'!$B$35</f>
        <v>262.5</v>
      </c>
      <c r="S15" s="106"/>
      <c r="T15" s="107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spans="1:34" ht="15.75" customHeight="1" x14ac:dyDescent="0.85">
      <c r="A16" s="32" t="s">
        <v>35</v>
      </c>
      <c r="B16" s="108" t="s">
        <v>94</v>
      </c>
      <c r="C16" s="109" t="s">
        <v>95</v>
      </c>
      <c r="D16" s="110">
        <v>93201</v>
      </c>
      <c r="E16" s="111">
        <f t="shared" ca="1" si="0"/>
        <v>5747.1264367816093</v>
      </c>
      <c r="F16" s="71">
        <f ca="1">SUMIFS(F$53:F$318,$A$53:$A$318,"India",$C$53:$C$318,$C16)/'Shared Summary by Dept_US$'!$B$31+SUMIFS(F$53:F$318,$A$53:$A$318,"INDO",$C$53:$C$318,$C16)/'Shared Summary by Dept_US$'!$B$32+SUMIFS(F$53:F$318,$A$53:$A$318,"BD",$C$53:$C$318,$C16)/'Shared Summary by Dept_US$'!$B$33+SUMIFS(F$53:F$318,$A$53:$A$318,"Nepal",$C$53:$C$318,$C16)/'Shared Summary by Dept_US$'!$B$34+SUMIFS(F$53:F$318,$A$53:$A$318,"US",$C$53:$C$318,$C16)/'Shared Summary by Dept_US$'!$B$35</f>
        <v>0</v>
      </c>
      <c r="G16" s="71">
        <f ca="1">SUMIFS(G$53:G$318,$A$53:$A$318,"India",$C$53:$C$318,$C16)/'Shared Summary by Dept_US$'!$B$31+SUMIFS(G$53:G$318,$A$53:$A$318,"INDO",$C$53:$C$318,$C16)/'Shared Summary by Dept_US$'!$B$32+SUMIFS(G$53:G$318,$A$53:$A$318,"BD",$C$53:$C$318,$C16)/'Shared Summary by Dept_US$'!$B$33+SUMIFS(G$53:G$318,$A$53:$A$318,"Nepal",$C$53:$C$318,$C16)/'Shared Summary by Dept_US$'!$B$34+SUMIFS(G$53:G$318,$A$53:$A$318,"US",$C$53:$C$318,$C16)/'Shared Summary by Dept_US$'!$B$35</f>
        <v>0</v>
      </c>
      <c r="H16" s="71">
        <f ca="1">SUMIFS(H$53:H$318,$A$53:$A$318,"India",$C$53:$C$318,$C16)/'Shared Summary by Dept_US$'!$B$31+SUMIFS(H$53:H$318,$A$53:$A$318,"INDO",$C$53:$C$318,$C16)/'Shared Summary by Dept_US$'!$B$32+SUMIFS(H$53:H$318,$A$53:$A$318,"BD",$C$53:$C$318,$C16)/'Shared Summary by Dept_US$'!$B$33+SUMIFS(H$53:H$318,$A$53:$A$318,"Nepal",$C$53:$C$318,$C16)/'Shared Summary by Dept_US$'!$B$34+SUMIFS(H$53:H$318,$A$53:$A$318,"US",$C$53:$C$318,$C16)/'Shared Summary by Dept_US$'!$B$35</f>
        <v>2298.8505747126437</v>
      </c>
      <c r="I16" s="71">
        <f ca="1">SUMIFS(I$53:I$318,$A$53:$A$318,"India",$C$53:$C$318,$C16)/'Shared Summary by Dept_US$'!$B$31+SUMIFS(I$53:I$318,$A$53:$A$318,"INDO",$C$53:$C$318,$C16)/'Shared Summary by Dept_US$'!$B$32+SUMIFS(I$53:I$318,$A$53:$A$318,"BD",$C$53:$C$318,$C16)/'Shared Summary by Dept_US$'!$B$33+SUMIFS(I$53:I$318,$A$53:$A$318,"Nepal",$C$53:$C$318,$C16)/'Shared Summary by Dept_US$'!$B$34+SUMIFS(I$53:I$318,$A$53:$A$318,"US",$C$53:$C$318,$C16)/'Shared Summary by Dept_US$'!$B$35</f>
        <v>0</v>
      </c>
      <c r="J16" s="71">
        <f ca="1">SUMIFS(J$53:J$318,$A$53:$A$318,"India",$C$53:$C$318,$C16)/'Shared Summary by Dept_US$'!$B$31+SUMIFS(J$53:J$318,$A$53:$A$318,"INDO",$C$53:$C$318,$C16)/'Shared Summary by Dept_US$'!$B$32+SUMIFS(J$53:J$318,$A$53:$A$318,"BD",$C$53:$C$318,$C16)/'Shared Summary by Dept_US$'!$B$33+SUMIFS(J$53:J$318,$A$53:$A$318,"Nepal",$C$53:$C$318,$C16)/'Shared Summary by Dept_US$'!$B$34+SUMIFS(J$53:J$318,$A$53:$A$318,"US",$C$53:$C$318,$C16)/'Shared Summary by Dept_US$'!$B$35</f>
        <v>1149.4252873563219</v>
      </c>
      <c r="K16" s="71">
        <f ca="1">SUMIFS(K$53:K$318,$A$53:$A$318,"India",$C$53:$C$318,$C16)/'Shared Summary by Dept_US$'!$B$31+SUMIFS(K$53:K$318,$A$53:$A$318,"INDO",$C$53:$C$318,$C16)/'Shared Summary by Dept_US$'!$B$32+SUMIFS(K$53:K$318,$A$53:$A$318,"BD",$C$53:$C$318,$C16)/'Shared Summary by Dept_US$'!$B$33+SUMIFS(K$53:K$318,$A$53:$A$318,"Nepal",$C$53:$C$318,$C16)/'Shared Summary by Dept_US$'!$B$34+SUMIFS(K$53:K$318,$A$53:$A$318,"US",$C$53:$C$318,$C16)/'Shared Summary by Dept_US$'!$B$35</f>
        <v>0</v>
      </c>
      <c r="L16" s="71">
        <f ca="1">SUMIFS(L$53:L$318,$A$53:$A$318,"India",$C$53:$C$318,$C16)/'Shared Summary by Dept_US$'!$B$31+SUMIFS(L$53:L$318,$A$53:$A$318,"INDO",$C$53:$C$318,$C16)/'Shared Summary by Dept_US$'!$B$32+SUMIFS(L$53:L$318,$A$53:$A$318,"BD",$C$53:$C$318,$C16)/'Shared Summary by Dept_US$'!$B$33+SUMIFS(L$53:L$318,$A$53:$A$318,"Nepal",$C$53:$C$318,$C16)/'Shared Summary by Dept_US$'!$B$34+SUMIFS(L$53:L$318,$A$53:$A$318,"US",$C$53:$C$318,$C16)/'Shared Summary by Dept_US$'!$B$35</f>
        <v>1149.4252873563219</v>
      </c>
      <c r="M16" s="71">
        <f ca="1">SUMIFS(M$53:M$318,$A$53:$A$318,"India",$C$53:$C$318,$C16)/'Shared Summary by Dept_US$'!$B$31+SUMIFS(M$53:M$318,$A$53:$A$318,"INDO",$C$53:$C$318,$C16)/'Shared Summary by Dept_US$'!$B$32+SUMIFS(M$53:M$318,$A$53:$A$318,"BD",$C$53:$C$318,$C16)/'Shared Summary by Dept_US$'!$B$33+SUMIFS(M$53:M$318,$A$53:$A$318,"Nepal",$C$53:$C$318,$C16)/'Shared Summary by Dept_US$'!$B$34+SUMIFS(M$53:M$318,$A$53:$A$318,"US",$C$53:$C$318,$C16)/'Shared Summary by Dept_US$'!$B$35</f>
        <v>0</v>
      </c>
      <c r="N16" s="71">
        <f ca="1">SUMIFS(N$53:N$318,$A$53:$A$318,"India",$C$53:$C$318,$C16)/'Shared Summary by Dept_US$'!$B$31+SUMIFS(N$53:N$318,$A$53:$A$318,"INDO",$C$53:$C$318,$C16)/'Shared Summary by Dept_US$'!$B$32+SUMIFS(N$53:N$318,$A$53:$A$318,"BD",$C$53:$C$318,$C16)/'Shared Summary by Dept_US$'!$B$33+SUMIFS(N$53:N$318,$A$53:$A$318,"Nepal",$C$53:$C$318,$C16)/'Shared Summary by Dept_US$'!$B$34+SUMIFS(N$53:N$318,$A$53:$A$318,"US",$C$53:$C$318,$C16)/'Shared Summary by Dept_US$'!$B$35</f>
        <v>1149.4252873563219</v>
      </c>
      <c r="O16" s="71">
        <f ca="1">SUMIFS(O$53:O$318,$A$53:$A$318,"India",$C$53:$C$318,$C16)/'Shared Summary by Dept_US$'!$B$31+SUMIFS(O$53:O$318,$A$53:$A$318,"INDO",$C$53:$C$318,$C16)/'Shared Summary by Dept_US$'!$B$32+SUMIFS(O$53:O$318,$A$53:$A$318,"BD",$C$53:$C$318,$C16)/'Shared Summary by Dept_US$'!$B$33+SUMIFS(O$53:O$318,$A$53:$A$318,"Nepal",$C$53:$C$318,$C16)/'Shared Summary by Dept_US$'!$B$34+SUMIFS(O$53:O$318,$A$53:$A$318,"US",$C$53:$C$318,$C16)/'Shared Summary by Dept_US$'!$B$35</f>
        <v>0</v>
      </c>
      <c r="P16" s="71">
        <f ca="1">SUMIFS(P$53:P$318,$A$53:$A$318,"India",$C$53:$C$318,$C16)/'Shared Summary by Dept_US$'!$B$31+SUMIFS(P$53:P$318,$A$53:$A$318,"INDO",$C$53:$C$318,$C16)/'Shared Summary by Dept_US$'!$B$32+SUMIFS(P$53:P$318,$A$53:$A$318,"BD",$C$53:$C$318,$C16)/'Shared Summary by Dept_US$'!$B$33+SUMIFS(P$53:P$318,$A$53:$A$318,"Nepal",$C$53:$C$318,$C16)/'Shared Summary by Dept_US$'!$B$34+SUMIFS(P$53:P$318,$A$53:$A$318,"US",$C$53:$C$318,$C16)/'Shared Summary by Dept_US$'!$B$35</f>
        <v>0</v>
      </c>
      <c r="Q16" s="71">
        <f ca="1">SUMIFS(Q$53:Q$318,$A$53:$A$318,"India",$C$53:$C$318,$C16)/'Shared Summary by Dept_US$'!$B$31+SUMIFS(Q$53:Q$318,$A$53:$A$318,"INDO",$C$53:$C$318,$C16)/'Shared Summary by Dept_US$'!$B$32+SUMIFS(Q$53:Q$318,$A$53:$A$318,"BD",$C$53:$C$318,$C16)/'Shared Summary by Dept_US$'!$B$33+SUMIFS(Q$53:Q$318,$A$53:$A$318,"Nepal",$C$53:$C$318,$C16)/'Shared Summary by Dept_US$'!$B$34+SUMIFS(Q$53:Q$318,$A$53:$A$318,"US",$C$53:$C$318,$C16)/'Shared Summary by Dept_US$'!$B$35</f>
        <v>0</v>
      </c>
      <c r="S16" s="106"/>
      <c r="T16" s="107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spans="1:34" ht="15.75" customHeight="1" x14ac:dyDescent="0.85">
      <c r="A17" s="32" t="s">
        <v>35</v>
      </c>
      <c r="B17" s="108" t="s">
        <v>94</v>
      </c>
      <c r="C17" s="109" t="s">
        <v>96</v>
      </c>
      <c r="D17" s="110">
        <v>93201</v>
      </c>
      <c r="E17" s="111">
        <f t="shared" ca="1" si="0"/>
        <v>0</v>
      </c>
      <c r="F17" s="71">
        <f ca="1">SUMIFS(F$53:F$318,$A$53:$A$318,"India",$C$53:$C$318,$C17)/'Shared Summary by Dept_US$'!$B$31+SUMIFS(F$53:F$318,$A$53:$A$318,"INDO",$C$53:$C$318,$C17)/'Shared Summary by Dept_US$'!$B$32+SUMIFS(F$53:F$318,$A$53:$A$318,"BD",$C$53:$C$318,$C17)/'Shared Summary by Dept_US$'!$B$33+SUMIFS(F$53:F$318,$A$53:$A$318,"Nepal",$C$53:$C$318,$C17)/'Shared Summary by Dept_US$'!$B$34+SUMIFS(F$53:F$318,$A$53:$A$318,"US",$C$53:$C$318,$C17)/'Shared Summary by Dept_US$'!$B$35</f>
        <v>0</v>
      </c>
      <c r="G17" s="71">
        <f ca="1">SUMIFS(G$53:G$318,$A$53:$A$318,"India",$C$53:$C$318,$C17)/'Shared Summary by Dept_US$'!$B$31+SUMIFS(G$53:G$318,$A$53:$A$318,"INDO",$C$53:$C$318,$C17)/'Shared Summary by Dept_US$'!$B$32+SUMIFS(G$53:G$318,$A$53:$A$318,"BD",$C$53:$C$318,$C17)/'Shared Summary by Dept_US$'!$B$33+SUMIFS(G$53:G$318,$A$53:$A$318,"Nepal",$C$53:$C$318,$C17)/'Shared Summary by Dept_US$'!$B$34+SUMIFS(G$53:G$318,$A$53:$A$318,"US",$C$53:$C$318,$C17)/'Shared Summary by Dept_US$'!$B$35</f>
        <v>0</v>
      </c>
      <c r="H17" s="71">
        <f ca="1">SUMIFS(H$53:H$318,$A$53:$A$318,"India",$C$53:$C$318,$C17)/'Shared Summary by Dept_US$'!$B$31+SUMIFS(H$53:H$318,$A$53:$A$318,"INDO",$C$53:$C$318,$C17)/'Shared Summary by Dept_US$'!$B$32+SUMIFS(H$53:H$318,$A$53:$A$318,"BD",$C$53:$C$318,$C17)/'Shared Summary by Dept_US$'!$B$33+SUMIFS(H$53:H$318,$A$53:$A$318,"Nepal",$C$53:$C$318,$C17)/'Shared Summary by Dept_US$'!$B$34+SUMIFS(H$53:H$318,$A$53:$A$318,"US",$C$53:$C$318,$C17)/'Shared Summary by Dept_US$'!$B$35</f>
        <v>0</v>
      </c>
      <c r="I17" s="71">
        <f ca="1">SUMIFS(I$53:I$318,$A$53:$A$318,"India",$C$53:$C$318,$C17)/'Shared Summary by Dept_US$'!$B$31+SUMIFS(I$53:I$318,$A$53:$A$318,"INDO",$C$53:$C$318,$C17)/'Shared Summary by Dept_US$'!$B$32+SUMIFS(I$53:I$318,$A$53:$A$318,"BD",$C$53:$C$318,$C17)/'Shared Summary by Dept_US$'!$B$33+SUMIFS(I$53:I$318,$A$53:$A$318,"Nepal",$C$53:$C$318,$C17)/'Shared Summary by Dept_US$'!$B$34+SUMIFS(I$53:I$318,$A$53:$A$318,"US",$C$53:$C$318,$C17)/'Shared Summary by Dept_US$'!$B$35</f>
        <v>0</v>
      </c>
      <c r="J17" s="71">
        <f ca="1">SUMIFS(J$53:J$318,$A$53:$A$318,"India",$C$53:$C$318,$C17)/'Shared Summary by Dept_US$'!$B$31+SUMIFS(J$53:J$318,$A$53:$A$318,"INDO",$C$53:$C$318,$C17)/'Shared Summary by Dept_US$'!$B$32+SUMIFS(J$53:J$318,$A$53:$A$318,"BD",$C$53:$C$318,$C17)/'Shared Summary by Dept_US$'!$B$33+SUMIFS(J$53:J$318,$A$53:$A$318,"Nepal",$C$53:$C$318,$C17)/'Shared Summary by Dept_US$'!$B$34+SUMIFS(J$53:J$318,$A$53:$A$318,"US",$C$53:$C$318,$C17)/'Shared Summary by Dept_US$'!$B$35</f>
        <v>0</v>
      </c>
      <c r="K17" s="71">
        <f ca="1">SUMIFS(K$53:K$318,$A$53:$A$318,"India",$C$53:$C$318,$C17)/'Shared Summary by Dept_US$'!$B$31+SUMIFS(K$53:K$318,$A$53:$A$318,"INDO",$C$53:$C$318,$C17)/'Shared Summary by Dept_US$'!$B$32+SUMIFS(K$53:K$318,$A$53:$A$318,"BD",$C$53:$C$318,$C17)/'Shared Summary by Dept_US$'!$B$33+SUMIFS(K$53:K$318,$A$53:$A$318,"Nepal",$C$53:$C$318,$C17)/'Shared Summary by Dept_US$'!$B$34+SUMIFS(K$53:K$318,$A$53:$A$318,"US",$C$53:$C$318,$C17)/'Shared Summary by Dept_US$'!$B$35</f>
        <v>0</v>
      </c>
      <c r="L17" s="71">
        <f ca="1">SUMIFS(L$53:L$318,$A$53:$A$318,"India",$C$53:$C$318,$C17)/'Shared Summary by Dept_US$'!$B$31+SUMIFS(L$53:L$318,$A$53:$A$318,"INDO",$C$53:$C$318,$C17)/'Shared Summary by Dept_US$'!$B$32+SUMIFS(L$53:L$318,$A$53:$A$318,"BD",$C$53:$C$318,$C17)/'Shared Summary by Dept_US$'!$B$33+SUMIFS(L$53:L$318,$A$53:$A$318,"Nepal",$C$53:$C$318,$C17)/'Shared Summary by Dept_US$'!$B$34+SUMIFS(L$53:L$318,$A$53:$A$318,"US",$C$53:$C$318,$C17)/'Shared Summary by Dept_US$'!$B$35</f>
        <v>0</v>
      </c>
      <c r="M17" s="71">
        <f ca="1">SUMIFS(M$53:M$318,$A$53:$A$318,"India",$C$53:$C$318,$C17)/'Shared Summary by Dept_US$'!$B$31+SUMIFS(M$53:M$318,$A$53:$A$318,"INDO",$C$53:$C$318,$C17)/'Shared Summary by Dept_US$'!$B$32+SUMIFS(M$53:M$318,$A$53:$A$318,"BD",$C$53:$C$318,$C17)/'Shared Summary by Dept_US$'!$B$33+SUMIFS(M$53:M$318,$A$53:$A$318,"Nepal",$C$53:$C$318,$C17)/'Shared Summary by Dept_US$'!$B$34+SUMIFS(M$53:M$318,$A$53:$A$318,"US",$C$53:$C$318,$C17)/'Shared Summary by Dept_US$'!$B$35</f>
        <v>0</v>
      </c>
      <c r="N17" s="71">
        <f ca="1">SUMIFS(N$53:N$318,$A$53:$A$318,"India",$C$53:$C$318,$C17)/'Shared Summary by Dept_US$'!$B$31+SUMIFS(N$53:N$318,$A$53:$A$318,"INDO",$C$53:$C$318,$C17)/'Shared Summary by Dept_US$'!$B$32+SUMIFS(N$53:N$318,$A$53:$A$318,"BD",$C$53:$C$318,$C17)/'Shared Summary by Dept_US$'!$B$33+SUMIFS(N$53:N$318,$A$53:$A$318,"Nepal",$C$53:$C$318,$C17)/'Shared Summary by Dept_US$'!$B$34+SUMIFS(N$53:N$318,$A$53:$A$318,"US",$C$53:$C$318,$C17)/'Shared Summary by Dept_US$'!$B$35</f>
        <v>0</v>
      </c>
      <c r="O17" s="71">
        <f ca="1">SUMIFS(O$53:O$318,$A$53:$A$318,"India",$C$53:$C$318,$C17)/'Shared Summary by Dept_US$'!$B$31+SUMIFS(O$53:O$318,$A$53:$A$318,"INDO",$C$53:$C$318,$C17)/'Shared Summary by Dept_US$'!$B$32+SUMIFS(O$53:O$318,$A$53:$A$318,"BD",$C$53:$C$318,$C17)/'Shared Summary by Dept_US$'!$B$33+SUMIFS(O$53:O$318,$A$53:$A$318,"Nepal",$C$53:$C$318,$C17)/'Shared Summary by Dept_US$'!$B$34+SUMIFS(O$53:O$318,$A$53:$A$318,"US",$C$53:$C$318,$C17)/'Shared Summary by Dept_US$'!$B$35</f>
        <v>0</v>
      </c>
      <c r="P17" s="71">
        <f ca="1">SUMIFS(P$53:P$318,$A$53:$A$318,"India",$C$53:$C$318,$C17)/'Shared Summary by Dept_US$'!$B$31+SUMIFS(P$53:P$318,$A$53:$A$318,"INDO",$C$53:$C$318,$C17)/'Shared Summary by Dept_US$'!$B$32+SUMIFS(P$53:P$318,$A$53:$A$318,"BD",$C$53:$C$318,$C17)/'Shared Summary by Dept_US$'!$B$33+SUMIFS(P$53:P$318,$A$53:$A$318,"Nepal",$C$53:$C$318,$C17)/'Shared Summary by Dept_US$'!$B$34+SUMIFS(P$53:P$318,$A$53:$A$318,"US",$C$53:$C$318,$C17)/'Shared Summary by Dept_US$'!$B$35</f>
        <v>0</v>
      </c>
      <c r="Q17" s="71">
        <f ca="1">SUMIFS(Q$53:Q$318,$A$53:$A$318,"India",$C$53:$C$318,$C17)/'Shared Summary by Dept_US$'!$B$31+SUMIFS(Q$53:Q$318,$A$53:$A$318,"INDO",$C$53:$C$318,$C17)/'Shared Summary by Dept_US$'!$B$32+SUMIFS(Q$53:Q$318,$A$53:$A$318,"BD",$C$53:$C$318,$C17)/'Shared Summary by Dept_US$'!$B$33+SUMIFS(Q$53:Q$318,$A$53:$A$318,"Nepal",$C$53:$C$318,$C17)/'Shared Summary by Dept_US$'!$B$34+SUMIFS(Q$53:Q$318,$A$53:$A$318,"US",$C$53:$C$318,$C17)/'Shared Summary by Dept_US$'!$B$35</f>
        <v>0</v>
      </c>
      <c r="S17" s="106"/>
      <c r="T17" s="107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34" ht="15.75" customHeight="1" x14ac:dyDescent="0.85">
      <c r="A18" s="32" t="s">
        <v>35</v>
      </c>
      <c r="B18" s="108" t="s">
        <v>94</v>
      </c>
      <c r="C18" s="109" t="s">
        <v>97</v>
      </c>
      <c r="D18" s="110">
        <v>93201</v>
      </c>
      <c r="E18" s="111">
        <f t="shared" ca="1" si="0"/>
        <v>0</v>
      </c>
      <c r="F18" s="71">
        <f ca="1">SUMIFS(F$53:F$318,$A$53:$A$318,"India",$C$53:$C$318,$C18)/'Shared Summary by Dept_US$'!$B$31+SUMIFS(F$53:F$318,$A$53:$A$318,"INDO",$C$53:$C$318,$C18)/'Shared Summary by Dept_US$'!$B$32+SUMIFS(F$53:F$318,$A$53:$A$318,"BD",$C$53:$C$318,$C18)/'Shared Summary by Dept_US$'!$B$33+SUMIFS(F$53:F$318,$A$53:$A$318,"Nepal",$C$53:$C$318,$C18)/'Shared Summary by Dept_US$'!$B$34+SUMIFS(F$53:F$318,$A$53:$A$318,"US",$C$53:$C$318,$C18)/'Shared Summary by Dept_US$'!$B$35</f>
        <v>0</v>
      </c>
      <c r="G18" s="71">
        <f ca="1">SUMIFS(G$53:G$318,$A$53:$A$318,"India",$C$53:$C$318,$C18)/'Shared Summary by Dept_US$'!$B$31+SUMIFS(G$53:G$318,$A$53:$A$318,"INDO",$C$53:$C$318,$C18)/'Shared Summary by Dept_US$'!$B$32+SUMIFS(G$53:G$318,$A$53:$A$318,"BD",$C$53:$C$318,$C18)/'Shared Summary by Dept_US$'!$B$33+SUMIFS(G$53:G$318,$A$53:$A$318,"Nepal",$C$53:$C$318,$C18)/'Shared Summary by Dept_US$'!$B$34+SUMIFS(G$53:G$318,$A$53:$A$318,"US",$C$53:$C$318,$C18)/'Shared Summary by Dept_US$'!$B$35</f>
        <v>0</v>
      </c>
      <c r="H18" s="71">
        <f ca="1">SUMIFS(H$53:H$318,$A$53:$A$318,"India",$C$53:$C$318,$C18)/'Shared Summary by Dept_US$'!$B$31+SUMIFS(H$53:H$318,$A$53:$A$318,"INDO",$C$53:$C$318,$C18)/'Shared Summary by Dept_US$'!$B$32+SUMIFS(H$53:H$318,$A$53:$A$318,"BD",$C$53:$C$318,$C18)/'Shared Summary by Dept_US$'!$B$33+SUMIFS(H$53:H$318,$A$53:$A$318,"Nepal",$C$53:$C$318,$C18)/'Shared Summary by Dept_US$'!$B$34+SUMIFS(H$53:H$318,$A$53:$A$318,"US",$C$53:$C$318,$C18)/'Shared Summary by Dept_US$'!$B$35</f>
        <v>0</v>
      </c>
      <c r="I18" s="71">
        <f ca="1">SUMIFS(I$53:I$318,$A$53:$A$318,"India",$C$53:$C$318,$C18)/'Shared Summary by Dept_US$'!$B$31+SUMIFS(I$53:I$318,$A$53:$A$318,"INDO",$C$53:$C$318,$C18)/'Shared Summary by Dept_US$'!$B$32+SUMIFS(I$53:I$318,$A$53:$A$318,"BD",$C$53:$C$318,$C18)/'Shared Summary by Dept_US$'!$B$33+SUMIFS(I$53:I$318,$A$53:$A$318,"Nepal",$C$53:$C$318,$C18)/'Shared Summary by Dept_US$'!$B$34+SUMIFS(I$53:I$318,$A$53:$A$318,"US",$C$53:$C$318,$C18)/'Shared Summary by Dept_US$'!$B$35</f>
        <v>0</v>
      </c>
      <c r="J18" s="71">
        <f ca="1">SUMIFS(J$53:J$318,$A$53:$A$318,"India",$C$53:$C$318,$C18)/'Shared Summary by Dept_US$'!$B$31+SUMIFS(J$53:J$318,$A$53:$A$318,"INDO",$C$53:$C$318,$C18)/'Shared Summary by Dept_US$'!$B$32+SUMIFS(J$53:J$318,$A$53:$A$318,"BD",$C$53:$C$318,$C18)/'Shared Summary by Dept_US$'!$B$33+SUMIFS(J$53:J$318,$A$53:$A$318,"Nepal",$C$53:$C$318,$C18)/'Shared Summary by Dept_US$'!$B$34+SUMIFS(J$53:J$318,$A$53:$A$318,"US",$C$53:$C$318,$C18)/'Shared Summary by Dept_US$'!$B$35</f>
        <v>0</v>
      </c>
      <c r="K18" s="71">
        <f ca="1">SUMIFS(K$53:K$318,$A$53:$A$318,"India",$C$53:$C$318,$C18)/'Shared Summary by Dept_US$'!$B$31+SUMIFS(K$53:K$318,$A$53:$A$318,"INDO",$C$53:$C$318,$C18)/'Shared Summary by Dept_US$'!$B$32+SUMIFS(K$53:K$318,$A$53:$A$318,"BD",$C$53:$C$318,$C18)/'Shared Summary by Dept_US$'!$B$33+SUMIFS(K$53:K$318,$A$53:$A$318,"Nepal",$C$53:$C$318,$C18)/'Shared Summary by Dept_US$'!$B$34+SUMIFS(K$53:K$318,$A$53:$A$318,"US",$C$53:$C$318,$C18)/'Shared Summary by Dept_US$'!$B$35</f>
        <v>0</v>
      </c>
      <c r="L18" s="71">
        <f ca="1">SUMIFS(L$53:L$318,$A$53:$A$318,"India",$C$53:$C$318,$C18)/'Shared Summary by Dept_US$'!$B$31+SUMIFS(L$53:L$318,$A$53:$A$318,"INDO",$C$53:$C$318,$C18)/'Shared Summary by Dept_US$'!$B$32+SUMIFS(L$53:L$318,$A$53:$A$318,"BD",$C$53:$C$318,$C18)/'Shared Summary by Dept_US$'!$B$33+SUMIFS(L$53:L$318,$A$53:$A$318,"Nepal",$C$53:$C$318,$C18)/'Shared Summary by Dept_US$'!$B$34+SUMIFS(L$53:L$318,$A$53:$A$318,"US",$C$53:$C$318,$C18)/'Shared Summary by Dept_US$'!$B$35</f>
        <v>0</v>
      </c>
      <c r="M18" s="71">
        <f ca="1">SUMIFS(M$53:M$318,$A$53:$A$318,"India",$C$53:$C$318,$C18)/'Shared Summary by Dept_US$'!$B$31+SUMIFS(M$53:M$318,$A$53:$A$318,"INDO",$C$53:$C$318,$C18)/'Shared Summary by Dept_US$'!$B$32+SUMIFS(M$53:M$318,$A$53:$A$318,"BD",$C$53:$C$318,$C18)/'Shared Summary by Dept_US$'!$B$33+SUMIFS(M$53:M$318,$A$53:$A$318,"Nepal",$C$53:$C$318,$C18)/'Shared Summary by Dept_US$'!$B$34+SUMIFS(M$53:M$318,$A$53:$A$318,"US",$C$53:$C$318,$C18)/'Shared Summary by Dept_US$'!$B$35</f>
        <v>0</v>
      </c>
      <c r="N18" s="71">
        <f ca="1">SUMIFS(N$53:N$318,$A$53:$A$318,"India",$C$53:$C$318,$C18)/'Shared Summary by Dept_US$'!$B$31+SUMIFS(N$53:N$318,$A$53:$A$318,"INDO",$C$53:$C$318,$C18)/'Shared Summary by Dept_US$'!$B$32+SUMIFS(N$53:N$318,$A$53:$A$318,"BD",$C$53:$C$318,$C18)/'Shared Summary by Dept_US$'!$B$33+SUMIFS(N$53:N$318,$A$53:$A$318,"Nepal",$C$53:$C$318,$C18)/'Shared Summary by Dept_US$'!$B$34+SUMIFS(N$53:N$318,$A$53:$A$318,"US",$C$53:$C$318,$C18)/'Shared Summary by Dept_US$'!$B$35</f>
        <v>0</v>
      </c>
      <c r="O18" s="71">
        <f ca="1">SUMIFS(O$53:O$318,$A$53:$A$318,"India",$C$53:$C$318,$C18)/'Shared Summary by Dept_US$'!$B$31+SUMIFS(O$53:O$318,$A$53:$A$318,"INDO",$C$53:$C$318,$C18)/'Shared Summary by Dept_US$'!$B$32+SUMIFS(O$53:O$318,$A$53:$A$318,"BD",$C$53:$C$318,$C18)/'Shared Summary by Dept_US$'!$B$33+SUMIFS(O$53:O$318,$A$53:$A$318,"Nepal",$C$53:$C$318,$C18)/'Shared Summary by Dept_US$'!$B$34+SUMIFS(O$53:O$318,$A$53:$A$318,"US",$C$53:$C$318,$C18)/'Shared Summary by Dept_US$'!$B$35</f>
        <v>0</v>
      </c>
      <c r="P18" s="71">
        <f ca="1">SUMIFS(P$53:P$318,$A$53:$A$318,"India",$C$53:$C$318,$C18)/'Shared Summary by Dept_US$'!$B$31+SUMIFS(P$53:P$318,$A$53:$A$318,"INDO",$C$53:$C$318,$C18)/'Shared Summary by Dept_US$'!$B$32+SUMIFS(P$53:P$318,$A$53:$A$318,"BD",$C$53:$C$318,$C18)/'Shared Summary by Dept_US$'!$B$33+SUMIFS(P$53:P$318,$A$53:$A$318,"Nepal",$C$53:$C$318,$C18)/'Shared Summary by Dept_US$'!$B$34+SUMIFS(P$53:P$318,$A$53:$A$318,"US",$C$53:$C$318,$C18)/'Shared Summary by Dept_US$'!$B$35</f>
        <v>0</v>
      </c>
      <c r="Q18" s="71">
        <f ca="1">SUMIFS(Q$53:Q$318,$A$53:$A$318,"India",$C$53:$C$318,$C18)/'Shared Summary by Dept_US$'!$B$31+SUMIFS(Q$53:Q$318,$A$53:$A$318,"INDO",$C$53:$C$318,$C18)/'Shared Summary by Dept_US$'!$B$32+SUMIFS(Q$53:Q$318,$A$53:$A$318,"BD",$C$53:$C$318,$C18)/'Shared Summary by Dept_US$'!$B$33+SUMIFS(Q$53:Q$318,$A$53:$A$318,"Nepal",$C$53:$C$318,$C18)/'Shared Summary by Dept_US$'!$B$34+SUMIFS(Q$53:Q$318,$A$53:$A$318,"US",$C$53:$C$318,$C18)/'Shared Summary by Dept_US$'!$B$35</f>
        <v>0</v>
      </c>
      <c r="S18" s="106"/>
      <c r="T18" s="107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spans="1:34" ht="15.75" customHeight="1" x14ac:dyDescent="0.85">
      <c r="A19" s="32" t="s">
        <v>35</v>
      </c>
      <c r="B19" s="108" t="s">
        <v>94</v>
      </c>
      <c r="C19" s="109" t="s">
        <v>98</v>
      </c>
      <c r="D19" s="110">
        <v>93202</v>
      </c>
      <c r="E19" s="111">
        <f t="shared" ca="1" si="0"/>
        <v>34482.758620689659</v>
      </c>
      <c r="F19" s="71">
        <f ca="1">SUMIFS(F$53:F$318,$A$53:$A$318,"India",$C$53:$C$318,$C19)/'Shared Summary by Dept_US$'!$B$31+SUMIFS(F$53:F$318,$A$53:$A$318,"INDO",$C$53:$C$318,$C19)/'Shared Summary by Dept_US$'!$B$32+SUMIFS(F$53:F$318,$A$53:$A$318,"BD",$C$53:$C$318,$C19)/'Shared Summary by Dept_US$'!$B$33+SUMIFS(F$53:F$318,$A$53:$A$318,"Nepal",$C$53:$C$318,$C19)/'Shared Summary by Dept_US$'!$B$34+SUMIFS(F$53:F$318,$A$53:$A$318,"US",$C$53:$C$318,$C19)/'Shared Summary by Dept_US$'!$B$35</f>
        <v>2873.5632183908046</v>
      </c>
      <c r="G19" s="71">
        <f ca="1">SUMIFS(G$53:G$318,$A$53:$A$318,"India",$C$53:$C$318,$C19)/'Shared Summary by Dept_US$'!$B$31+SUMIFS(G$53:G$318,$A$53:$A$318,"INDO",$C$53:$C$318,$C19)/'Shared Summary by Dept_US$'!$B$32+SUMIFS(G$53:G$318,$A$53:$A$318,"BD",$C$53:$C$318,$C19)/'Shared Summary by Dept_US$'!$B$33+SUMIFS(G$53:G$318,$A$53:$A$318,"Nepal",$C$53:$C$318,$C19)/'Shared Summary by Dept_US$'!$B$34+SUMIFS(G$53:G$318,$A$53:$A$318,"US",$C$53:$C$318,$C19)/'Shared Summary by Dept_US$'!$B$35</f>
        <v>2873.5632183908046</v>
      </c>
      <c r="H19" s="71">
        <f ca="1">SUMIFS(H$53:H$318,$A$53:$A$318,"India",$C$53:$C$318,$C19)/'Shared Summary by Dept_US$'!$B$31+SUMIFS(H$53:H$318,$A$53:$A$318,"INDO",$C$53:$C$318,$C19)/'Shared Summary by Dept_US$'!$B$32+SUMIFS(H$53:H$318,$A$53:$A$318,"BD",$C$53:$C$318,$C19)/'Shared Summary by Dept_US$'!$B$33+SUMIFS(H$53:H$318,$A$53:$A$318,"Nepal",$C$53:$C$318,$C19)/'Shared Summary by Dept_US$'!$B$34+SUMIFS(H$53:H$318,$A$53:$A$318,"US",$C$53:$C$318,$C19)/'Shared Summary by Dept_US$'!$B$35</f>
        <v>2873.5632183908046</v>
      </c>
      <c r="I19" s="71">
        <f ca="1">SUMIFS(I$53:I$318,$A$53:$A$318,"India",$C$53:$C$318,$C19)/'Shared Summary by Dept_US$'!$B$31+SUMIFS(I$53:I$318,$A$53:$A$318,"INDO",$C$53:$C$318,$C19)/'Shared Summary by Dept_US$'!$B$32+SUMIFS(I$53:I$318,$A$53:$A$318,"BD",$C$53:$C$318,$C19)/'Shared Summary by Dept_US$'!$B$33+SUMIFS(I$53:I$318,$A$53:$A$318,"Nepal",$C$53:$C$318,$C19)/'Shared Summary by Dept_US$'!$B$34+SUMIFS(I$53:I$318,$A$53:$A$318,"US",$C$53:$C$318,$C19)/'Shared Summary by Dept_US$'!$B$35</f>
        <v>2873.5632183908046</v>
      </c>
      <c r="J19" s="71">
        <f ca="1">SUMIFS(J$53:J$318,$A$53:$A$318,"India",$C$53:$C$318,$C19)/'Shared Summary by Dept_US$'!$B$31+SUMIFS(J$53:J$318,$A$53:$A$318,"INDO",$C$53:$C$318,$C19)/'Shared Summary by Dept_US$'!$B$32+SUMIFS(J$53:J$318,$A$53:$A$318,"BD",$C$53:$C$318,$C19)/'Shared Summary by Dept_US$'!$B$33+SUMIFS(J$53:J$318,$A$53:$A$318,"Nepal",$C$53:$C$318,$C19)/'Shared Summary by Dept_US$'!$B$34+SUMIFS(J$53:J$318,$A$53:$A$318,"US",$C$53:$C$318,$C19)/'Shared Summary by Dept_US$'!$B$35</f>
        <v>2873.5632183908046</v>
      </c>
      <c r="K19" s="71">
        <f ca="1">SUMIFS(K$53:K$318,$A$53:$A$318,"India",$C$53:$C$318,$C19)/'Shared Summary by Dept_US$'!$B$31+SUMIFS(K$53:K$318,$A$53:$A$318,"INDO",$C$53:$C$318,$C19)/'Shared Summary by Dept_US$'!$B$32+SUMIFS(K$53:K$318,$A$53:$A$318,"BD",$C$53:$C$318,$C19)/'Shared Summary by Dept_US$'!$B$33+SUMIFS(K$53:K$318,$A$53:$A$318,"Nepal",$C$53:$C$318,$C19)/'Shared Summary by Dept_US$'!$B$34+SUMIFS(K$53:K$318,$A$53:$A$318,"US",$C$53:$C$318,$C19)/'Shared Summary by Dept_US$'!$B$35</f>
        <v>2873.5632183908046</v>
      </c>
      <c r="L19" s="71">
        <f ca="1">SUMIFS(L$53:L$318,$A$53:$A$318,"India",$C$53:$C$318,$C19)/'Shared Summary by Dept_US$'!$B$31+SUMIFS(L$53:L$318,$A$53:$A$318,"INDO",$C$53:$C$318,$C19)/'Shared Summary by Dept_US$'!$B$32+SUMIFS(L$53:L$318,$A$53:$A$318,"BD",$C$53:$C$318,$C19)/'Shared Summary by Dept_US$'!$B$33+SUMIFS(L$53:L$318,$A$53:$A$318,"Nepal",$C$53:$C$318,$C19)/'Shared Summary by Dept_US$'!$B$34+SUMIFS(L$53:L$318,$A$53:$A$318,"US",$C$53:$C$318,$C19)/'Shared Summary by Dept_US$'!$B$35</f>
        <v>2873.5632183908046</v>
      </c>
      <c r="M19" s="71">
        <f ca="1">SUMIFS(M$53:M$318,$A$53:$A$318,"India",$C$53:$C$318,$C19)/'Shared Summary by Dept_US$'!$B$31+SUMIFS(M$53:M$318,$A$53:$A$318,"INDO",$C$53:$C$318,$C19)/'Shared Summary by Dept_US$'!$B$32+SUMIFS(M$53:M$318,$A$53:$A$318,"BD",$C$53:$C$318,$C19)/'Shared Summary by Dept_US$'!$B$33+SUMIFS(M$53:M$318,$A$53:$A$318,"Nepal",$C$53:$C$318,$C19)/'Shared Summary by Dept_US$'!$B$34+SUMIFS(M$53:M$318,$A$53:$A$318,"US",$C$53:$C$318,$C19)/'Shared Summary by Dept_US$'!$B$35</f>
        <v>2873.5632183908046</v>
      </c>
      <c r="N19" s="71">
        <f ca="1">SUMIFS(N$53:N$318,$A$53:$A$318,"India",$C$53:$C$318,$C19)/'Shared Summary by Dept_US$'!$B$31+SUMIFS(N$53:N$318,$A$53:$A$318,"INDO",$C$53:$C$318,$C19)/'Shared Summary by Dept_US$'!$B$32+SUMIFS(N$53:N$318,$A$53:$A$318,"BD",$C$53:$C$318,$C19)/'Shared Summary by Dept_US$'!$B$33+SUMIFS(N$53:N$318,$A$53:$A$318,"Nepal",$C$53:$C$318,$C19)/'Shared Summary by Dept_US$'!$B$34+SUMIFS(N$53:N$318,$A$53:$A$318,"US",$C$53:$C$318,$C19)/'Shared Summary by Dept_US$'!$B$35</f>
        <v>2873.5632183908046</v>
      </c>
      <c r="O19" s="71">
        <f ca="1">SUMIFS(O$53:O$318,$A$53:$A$318,"India",$C$53:$C$318,$C19)/'Shared Summary by Dept_US$'!$B$31+SUMIFS(O$53:O$318,$A$53:$A$318,"INDO",$C$53:$C$318,$C19)/'Shared Summary by Dept_US$'!$B$32+SUMIFS(O$53:O$318,$A$53:$A$318,"BD",$C$53:$C$318,$C19)/'Shared Summary by Dept_US$'!$B$33+SUMIFS(O$53:O$318,$A$53:$A$318,"Nepal",$C$53:$C$318,$C19)/'Shared Summary by Dept_US$'!$B$34+SUMIFS(O$53:O$318,$A$53:$A$318,"US",$C$53:$C$318,$C19)/'Shared Summary by Dept_US$'!$B$35</f>
        <v>2873.5632183908046</v>
      </c>
      <c r="P19" s="71">
        <f ca="1">SUMIFS(P$53:P$318,$A$53:$A$318,"India",$C$53:$C$318,$C19)/'Shared Summary by Dept_US$'!$B$31+SUMIFS(P$53:P$318,$A$53:$A$318,"INDO",$C$53:$C$318,$C19)/'Shared Summary by Dept_US$'!$B$32+SUMIFS(P$53:P$318,$A$53:$A$318,"BD",$C$53:$C$318,$C19)/'Shared Summary by Dept_US$'!$B$33+SUMIFS(P$53:P$318,$A$53:$A$318,"Nepal",$C$53:$C$318,$C19)/'Shared Summary by Dept_US$'!$B$34+SUMIFS(P$53:P$318,$A$53:$A$318,"US",$C$53:$C$318,$C19)/'Shared Summary by Dept_US$'!$B$35</f>
        <v>2873.5632183908046</v>
      </c>
      <c r="Q19" s="71">
        <f ca="1">SUMIFS(Q$53:Q$318,$A$53:$A$318,"India",$C$53:$C$318,$C19)/'Shared Summary by Dept_US$'!$B$31+SUMIFS(Q$53:Q$318,$A$53:$A$318,"INDO",$C$53:$C$318,$C19)/'Shared Summary by Dept_US$'!$B$32+SUMIFS(Q$53:Q$318,$A$53:$A$318,"BD",$C$53:$C$318,$C19)/'Shared Summary by Dept_US$'!$B$33+SUMIFS(Q$53:Q$318,$A$53:$A$318,"Nepal",$C$53:$C$318,$C19)/'Shared Summary by Dept_US$'!$B$34+SUMIFS(Q$53:Q$318,$A$53:$A$318,"US",$C$53:$C$318,$C19)/'Shared Summary by Dept_US$'!$B$35</f>
        <v>2873.5632183908046</v>
      </c>
      <c r="S19" s="106"/>
      <c r="T19" s="107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spans="1:34" ht="15.75" customHeight="1" x14ac:dyDescent="0.85">
      <c r="A20" s="32" t="s">
        <v>35</v>
      </c>
      <c r="B20" s="108" t="s">
        <v>94</v>
      </c>
      <c r="C20" s="109" t="s">
        <v>99</v>
      </c>
      <c r="D20" s="110">
        <v>93204</v>
      </c>
      <c r="E20" s="111">
        <f t="shared" ca="1" si="0"/>
        <v>4062.5</v>
      </c>
      <c r="F20" s="71">
        <f ca="1">SUMIFS(F$53:F$318,$A$53:$A$318,"India",$C$53:$C$318,$C20)/'Shared Summary by Dept_US$'!$B$31+SUMIFS(F$53:F$318,$A$53:$A$318,"INDO",$C$53:$C$318,$C20)/'Shared Summary by Dept_US$'!$B$32+SUMIFS(F$53:F$318,$A$53:$A$318,"BD",$C$53:$C$318,$C20)/'Shared Summary by Dept_US$'!$B$33+SUMIFS(F$53:F$318,$A$53:$A$318,"Nepal",$C$53:$C$318,$C20)/'Shared Summary by Dept_US$'!$B$34+SUMIFS(F$53:F$318,$A$53:$A$318,"US",$C$53:$C$318,$C20)/'Shared Summary by Dept_US$'!$B$35</f>
        <v>0</v>
      </c>
      <c r="G20" s="71">
        <f ca="1">SUMIFS(G$53:G$318,$A$53:$A$318,"India",$C$53:$C$318,$C20)/'Shared Summary by Dept_US$'!$B$31+SUMIFS(G$53:G$318,$A$53:$A$318,"INDO",$C$53:$C$318,$C20)/'Shared Summary by Dept_US$'!$B$32+SUMIFS(G$53:G$318,$A$53:$A$318,"BD",$C$53:$C$318,$C20)/'Shared Summary by Dept_US$'!$B$33+SUMIFS(G$53:G$318,$A$53:$A$318,"Nepal",$C$53:$C$318,$C20)/'Shared Summary by Dept_US$'!$B$34+SUMIFS(G$53:G$318,$A$53:$A$318,"US",$C$53:$C$318,$C20)/'Shared Summary by Dept_US$'!$B$35</f>
        <v>0</v>
      </c>
      <c r="H20" s="71">
        <f ca="1">SUMIFS(H$53:H$318,$A$53:$A$318,"India",$C$53:$C$318,$C20)/'Shared Summary by Dept_US$'!$B$31+SUMIFS(H$53:H$318,$A$53:$A$318,"INDO",$C$53:$C$318,$C20)/'Shared Summary by Dept_US$'!$B$32+SUMIFS(H$53:H$318,$A$53:$A$318,"BD",$C$53:$C$318,$C20)/'Shared Summary by Dept_US$'!$B$33+SUMIFS(H$53:H$318,$A$53:$A$318,"Nepal",$C$53:$C$318,$C20)/'Shared Summary by Dept_US$'!$B$34+SUMIFS(H$53:H$318,$A$53:$A$318,"US",$C$53:$C$318,$C20)/'Shared Summary by Dept_US$'!$B$35</f>
        <v>0</v>
      </c>
      <c r="I20" s="71">
        <f ca="1">SUMIFS(I$53:I$318,$A$53:$A$318,"India",$C$53:$C$318,$C20)/'Shared Summary by Dept_US$'!$B$31+SUMIFS(I$53:I$318,$A$53:$A$318,"INDO",$C$53:$C$318,$C20)/'Shared Summary by Dept_US$'!$B$32+SUMIFS(I$53:I$318,$A$53:$A$318,"BD",$C$53:$C$318,$C20)/'Shared Summary by Dept_US$'!$B$33+SUMIFS(I$53:I$318,$A$53:$A$318,"Nepal",$C$53:$C$318,$C20)/'Shared Summary by Dept_US$'!$B$34+SUMIFS(I$53:I$318,$A$53:$A$318,"US",$C$53:$C$318,$C20)/'Shared Summary by Dept_US$'!$B$35</f>
        <v>3125</v>
      </c>
      <c r="J20" s="71">
        <f ca="1">SUMIFS(J$53:J$318,$A$53:$A$318,"India",$C$53:$C$318,$C20)/'Shared Summary by Dept_US$'!$B$31+SUMIFS(J$53:J$318,$A$53:$A$318,"INDO",$C$53:$C$318,$C20)/'Shared Summary by Dept_US$'!$B$32+SUMIFS(J$53:J$318,$A$53:$A$318,"BD",$C$53:$C$318,$C20)/'Shared Summary by Dept_US$'!$B$33+SUMIFS(J$53:J$318,$A$53:$A$318,"Nepal",$C$53:$C$318,$C20)/'Shared Summary by Dept_US$'!$B$34+SUMIFS(J$53:J$318,$A$53:$A$318,"US",$C$53:$C$318,$C20)/'Shared Summary by Dept_US$'!$B$35</f>
        <v>0</v>
      </c>
      <c r="K20" s="71">
        <f ca="1">SUMIFS(K$53:K$318,$A$53:$A$318,"India",$C$53:$C$318,$C20)/'Shared Summary by Dept_US$'!$B$31+SUMIFS(K$53:K$318,$A$53:$A$318,"INDO",$C$53:$C$318,$C20)/'Shared Summary by Dept_US$'!$B$32+SUMIFS(K$53:K$318,$A$53:$A$318,"BD",$C$53:$C$318,$C20)/'Shared Summary by Dept_US$'!$B$33+SUMIFS(K$53:K$318,$A$53:$A$318,"Nepal",$C$53:$C$318,$C20)/'Shared Summary by Dept_US$'!$B$34+SUMIFS(K$53:K$318,$A$53:$A$318,"US",$C$53:$C$318,$C20)/'Shared Summary by Dept_US$'!$B$35</f>
        <v>0</v>
      </c>
      <c r="L20" s="71">
        <f ca="1">SUMIFS(L$53:L$318,$A$53:$A$318,"India",$C$53:$C$318,$C20)/'Shared Summary by Dept_US$'!$B$31+SUMIFS(L$53:L$318,$A$53:$A$318,"INDO",$C$53:$C$318,$C20)/'Shared Summary by Dept_US$'!$B$32+SUMIFS(L$53:L$318,$A$53:$A$318,"BD",$C$53:$C$318,$C20)/'Shared Summary by Dept_US$'!$B$33+SUMIFS(L$53:L$318,$A$53:$A$318,"Nepal",$C$53:$C$318,$C20)/'Shared Summary by Dept_US$'!$B$34+SUMIFS(L$53:L$318,$A$53:$A$318,"US",$C$53:$C$318,$C20)/'Shared Summary by Dept_US$'!$B$35</f>
        <v>0</v>
      </c>
      <c r="M20" s="71">
        <f ca="1">SUMIFS(M$53:M$318,$A$53:$A$318,"India",$C$53:$C$318,$C20)/'Shared Summary by Dept_US$'!$B$31+SUMIFS(M$53:M$318,$A$53:$A$318,"INDO",$C$53:$C$318,$C20)/'Shared Summary by Dept_US$'!$B$32+SUMIFS(M$53:M$318,$A$53:$A$318,"BD",$C$53:$C$318,$C20)/'Shared Summary by Dept_US$'!$B$33+SUMIFS(M$53:M$318,$A$53:$A$318,"Nepal",$C$53:$C$318,$C20)/'Shared Summary by Dept_US$'!$B$34+SUMIFS(M$53:M$318,$A$53:$A$318,"US",$C$53:$C$318,$C20)/'Shared Summary by Dept_US$'!$B$35</f>
        <v>0</v>
      </c>
      <c r="N20" s="71">
        <f ca="1">SUMIFS(N$53:N$318,$A$53:$A$318,"India",$C$53:$C$318,$C20)/'Shared Summary by Dept_US$'!$B$31+SUMIFS(N$53:N$318,$A$53:$A$318,"INDO",$C$53:$C$318,$C20)/'Shared Summary by Dept_US$'!$B$32+SUMIFS(N$53:N$318,$A$53:$A$318,"BD",$C$53:$C$318,$C20)/'Shared Summary by Dept_US$'!$B$33+SUMIFS(N$53:N$318,$A$53:$A$318,"Nepal",$C$53:$C$318,$C20)/'Shared Summary by Dept_US$'!$B$34+SUMIFS(N$53:N$318,$A$53:$A$318,"US",$C$53:$C$318,$C20)/'Shared Summary by Dept_US$'!$B$35</f>
        <v>0</v>
      </c>
      <c r="O20" s="71">
        <f ca="1">SUMIFS(O$53:O$318,$A$53:$A$318,"India",$C$53:$C$318,$C20)/'Shared Summary by Dept_US$'!$B$31+SUMIFS(O$53:O$318,$A$53:$A$318,"INDO",$C$53:$C$318,$C20)/'Shared Summary by Dept_US$'!$B$32+SUMIFS(O$53:O$318,$A$53:$A$318,"BD",$C$53:$C$318,$C20)/'Shared Summary by Dept_US$'!$B$33+SUMIFS(O$53:O$318,$A$53:$A$318,"Nepal",$C$53:$C$318,$C20)/'Shared Summary by Dept_US$'!$B$34+SUMIFS(O$53:O$318,$A$53:$A$318,"US",$C$53:$C$318,$C20)/'Shared Summary by Dept_US$'!$B$35</f>
        <v>312.5</v>
      </c>
      <c r="P20" s="71">
        <f ca="1">SUMIFS(P$53:P$318,$A$53:$A$318,"India",$C$53:$C$318,$C20)/'Shared Summary by Dept_US$'!$B$31+SUMIFS(P$53:P$318,$A$53:$A$318,"INDO",$C$53:$C$318,$C20)/'Shared Summary by Dept_US$'!$B$32+SUMIFS(P$53:P$318,$A$53:$A$318,"BD",$C$53:$C$318,$C20)/'Shared Summary by Dept_US$'!$B$33+SUMIFS(P$53:P$318,$A$53:$A$318,"Nepal",$C$53:$C$318,$C20)/'Shared Summary by Dept_US$'!$B$34+SUMIFS(P$53:P$318,$A$53:$A$318,"US",$C$53:$C$318,$C20)/'Shared Summary by Dept_US$'!$B$35</f>
        <v>312.5</v>
      </c>
      <c r="Q20" s="71">
        <f ca="1">SUMIFS(Q$53:Q$318,$A$53:$A$318,"India",$C$53:$C$318,$C20)/'Shared Summary by Dept_US$'!$B$31+SUMIFS(Q$53:Q$318,$A$53:$A$318,"INDO",$C$53:$C$318,$C20)/'Shared Summary by Dept_US$'!$B$32+SUMIFS(Q$53:Q$318,$A$53:$A$318,"BD",$C$53:$C$318,$C20)/'Shared Summary by Dept_US$'!$B$33+SUMIFS(Q$53:Q$318,$A$53:$A$318,"Nepal",$C$53:$C$318,$C20)/'Shared Summary by Dept_US$'!$B$34+SUMIFS(Q$53:Q$318,$A$53:$A$318,"US",$C$53:$C$318,$C20)/'Shared Summary by Dept_US$'!$B$35</f>
        <v>312.5</v>
      </c>
      <c r="S20" s="106"/>
      <c r="T20" s="107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 spans="1:34" ht="15.75" customHeight="1" x14ac:dyDescent="0.85">
      <c r="A21" s="32" t="s">
        <v>35</v>
      </c>
      <c r="B21" s="108" t="s">
        <v>100</v>
      </c>
      <c r="C21" s="109" t="s">
        <v>101</v>
      </c>
      <c r="D21" s="110">
        <v>93301</v>
      </c>
      <c r="E21" s="111">
        <f t="shared" ca="1" si="0"/>
        <v>0</v>
      </c>
      <c r="F21" s="71">
        <f ca="1">SUMIFS(F$53:F$318,$A$53:$A$318,"India",$C$53:$C$318,$C21)/'Shared Summary by Dept_US$'!$B$31+SUMIFS(F$53:F$318,$A$53:$A$318,"INDO",$C$53:$C$318,$C21)/'Shared Summary by Dept_US$'!$B$32+SUMIFS(F$53:F$318,$A$53:$A$318,"BD",$C$53:$C$318,$C21)/'Shared Summary by Dept_US$'!$B$33+SUMIFS(F$53:F$318,$A$53:$A$318,"Nepal",$C$53:$C$318,$C21)/'Shared Summary by Dept_US$'!$B$34+SUMIFS(F$53:F$318,$A$53:$A$318,"US",$C$53:$C$318,$C21)/'Shared Summary by Dept_US$'!$B$35</f>
        <v>0</v>
      </c>
      <c r="G21" s="71">
        <f ca="1">SUMIFS(G$53:G$318,$A$53:$A$318,"India",$C$53:$C$318,$C21)/'Shared Summary by Dept_US$'!$B$31+SUMIFS(G$53:G$318,$A$53:$A$318,"INDO",$C$53:$C$318,$C21)/'Shared Summary by Dept_US$'!$B$32+SUMIFS(G$53:G$318,$A$53:$A$318,"BD",$C$53:$C$318,$C21)/'Shared Summary by Dept_US$'!$B$33+SUMIFS(G$53:G$318,$A$53:$A$318,"Nepal",$C$53:$C$318,$C21)/'Shared Summary by Dept_US$'!$B$34+SUMIFS(G$53:G$318,$A$53:$A$318,"US",$C$53:$C$318,$C21)/'Shared Summary by Dept_US$'!$B$35</f>
        <v>0</v>
      </c>
      <c r="H21" s="71">
        <f ca="1">SUMIFS(H$53:H$318,$A$53:$A$318,"India",$C$53:$C$318,$C21)/'Shared Summary by Dept_US$'!$B$31+SUMIFS(H$53:H$318,$A$53:$A$318,"INDO",$C$53:$C$318,$C21)/'Shared Summary by Dept_US$'!$B$32+SUMIFS(H$53:H$318,$A$53:$A$318,"BD",$C$53:$C$318,$C21)/'Shared Summary by Dept_US$'!$B$33+SUMIFS(H$53:H$318,$A$53:$A$318,"Nepal",$C$53:$C$318,$C21)/'Shared Summary by Dept_US$'!$B$34+SUMIFS(H$53:H$318,$A$53:$A$318,"US",$C$53:$C$318,$C21)/'Shared Summary by Dept_US$'!$B$35</f>
        <v>0</v>
      </c>
      <c r="I21" s="71">
        <f ca="1">SUMIFS(I$53:I$318,$A$53:$A$318,"India",$C$53:$C$318,$C21)/'Shared Summary by Dept_US$'!$B$31+SUMIFS(I$53:I$318,$A$53:$A$318,"INDO",$C$53:$C$318,$C21)/'Shared Summary by Dept_US$'!$B$32+SUMIFS(I$53:I$318,$A$53:$A$318,"BD",$C$53:$C$318,$C21)/'Shared Summary by Dept_US$'!$B$33+SUMIFS(I$53:I$318,$A$53:$A$318,"Nepal",$C$53:$C$318,$C21)/'Shared Summary by Dept_US$'!$B$34+SUMIFS(I$53:I$318,$A$53:$A$318,"US",$C$53:$C$318,$C21)/'Shared Summary by Dept_US$'!$B$35</f>
        <v>0</v>
      </c>
      <c r="J21" s="71">
        <f ca="1">SUMIFS(J$53:J$318,$A$53:$A$318,"India",$C$53:$C$318,$C21)/'Shared Summary by Dept_US$'!$B$31+SUMIFS(J$53:J$318,$A$53:$A$318,"INDO",$C$53:$C$318,$C21)/'Shared Summary by Dept_US$'!$B$32+SUMIFS(J$53:J$318,$A$53:$A$318,"BD",$C$53:$C$318,$C21)/'Shared Summary by Dept_US$'!$B$33+SUMIFS(J$53:J$318,$A$53:$A$318,"Nepal",$C$53:$C$318,$C21)/'Shared Summary by Dept_US$'!$B$34+SUMIFS(J$53:J$318,$A$53:$A$318,"US",$C$53:$C$318,$C21)/'Shared Summary by Dept_US$'!$B$35</f>
        <v>0</v>
      </c>
      <c r="K21" s="71">
        <f ca="1">SUMIFS(K$53:K$318,$A$53:$A$318,"India",$C$53:$C$318,$C21)/'Shared Summary by Dept_US$'!$B$31+SUMIFS(K$53:K$318,$A$53:$A$318,"INDO",$C$53:$C$318,$C21)/'Shared Summary by Dept_US$'!$B$32+SUMIFS(K$53:K$318,$A$53:$A$318,"BD",$C$53:$C$318,$C21)/'Shared Summary by Dept_US$'!$B$33+SUMIFS(K$53:K$318,$A$53:$A$318,"Nepal",$C$53:$C$318,$C21)/'Shared Summary by Dept_US$'!$B$34+SUMIFS(K$53:K$318,$A$53:$A$318,"US",$C$53:$C$318,$C21)/'Shared Summary by Dept_US$'!$B$35</f>
        <v>0</v>
      </c>
      <c r="L21" s="71">
        <f ca="1">SUMIFS(L$53:L$318,$A$53:$A$318,"India",$C$53:$C$318,$C21)/'Shared Summary by Dept_US$'!$B$31+SUMIFS(L$53:L$318,$A$53:$A$318,"INDO",$C$53:$C$318,$C21)/'Shared Summary by Dept_US$'!$B$32+SUMIFS(L$53:L$318,$A$53:$A$318,"BD",$C$53:$C$318,$C21)/'Shared Summary by Dept_US$'!$B$33+SUMIFS(L$53:L$318,$A$53:$A$318,"Nepal",$C$53:$C$318,$C21)/'Shared Summary by Dept_US$'!$B$34+SUMIFS(L$53:L$318,$A$53:$A$318,"US",$C$53:$C$318,$C21)/'Shared Summary by Dept_US$'!$B$35</f>
        <v>0</v>
      </c>
      <c r="M21" s="71">
        <f ca="1">SUMIFS(M$53:M$318,$A$53:$A$318,"India",$C$53:$C$318,$C21)/'Shared Summary by Dept_US$'!$B$31+SUMIFS(M$53:M$318,$A$53:$A$318,"INDO",$C$53:$C$318,$C21)/'Shared Summary by Dept_US$'!$B$32+SUMIFS(M$53:M$318,$A$53:$A$318,"BD",$C$53:$C$318,$C21)/'Shared Summary by Dept_US$'!$B$33+SUMIFS(M$53:M$318,$A$53:$A$318,"Nepal",$C$53:$C$318,$C21)/'Shared Summary by Dept_US$'!$B$34+SUMIFS(M$53:M$318,$A$53:$A$318,"US",$C$53:$C$318,$C21)/'Shared Summary by Dept_US$'!$B$35</f>
        <v>0</v>
      </c>
      <c r="N21" s="71">
        <f ca="1">SUMIFS(N$53:N$318,$A$53:$A$318,"India",$C$53:$C$318,$C21)/'Shared Summary by Dept_US$'!$B$31+SUMIFS(N$53:N$318,$A$53:$A$318,"INDO",$C$53:$C$318,$C21)/'Shared Summary by Dept_US$'!$B$32+SUMIFS(N$53:N$318,$A$53:$A$318,"BD",$C$53:$C$318,$C21)/'Shared Summary by Dept_US$'!$B$33+SUMIFS(N$53:N$318,$A$53:$A$318,"Nepal",$C$53:$C$318,$C21)/'Shared Summary by Dept_US$'!$B$34+SUMIFS(N$53:N$318,$A$53:$A$318,"US",$C$53:$C$318,$C21)/'Shared Summary by Dept_US$'!$B$35</f>
        <v>0</v>
      </c>
      <c r="O21" s="71">
        <f ca="1">SUMIFS(O$53:O$318,$A$53:$A$318,"India",$C$53:$C$318,$C21)/'Shared Summary by Dept_US$'!$B$31+SUMIFS(O$53:O$318,$A$53:$A$318,"INDO",$C$53:$C$318,$C21)/'Shared Summary by Dept_US$'!$B$32+SUMIFS(O$53:O$318,$A$53:$A$318,"BD",$C$53:$C$318,$C21)/'Shared Summary by Dept_US$'!$B$33+SUMIFS(O$53:O$318,$A$53:$A$318,"Nepal",$C$53:$C$318,$C21)/'Shared Summary by Dept_US$'!$B$34+SUMIFS(O$53:O$318,$A$53:$A$318,"US",$C$53:$C$318,$C21)/'Shared Summary by Dept_US$'!$B$35</f>
        <v>0</v>
      </c>
      <c r="P21" s="71">
        <f ca="1">SUMIFS(P$53:P$318,$A$53:$A$318,"India",$C$53:$C$318,$C21)/'Shared Summary by Dept_US$'!$B$31+SUMIFS(P$53:P$318,$A$53:$A$318,"INDO",$C$53:$C$318,$C21)/'Shared Summary by Dept_US$'!$B$32+SUMIFS(P$53:P$318,$A$53:$A$318,"BD",$C$53:$C$318,$C21)/'Shared Summary by Dept_US$'!$B$33+SUMIFS(P$53:P$318,$A$53:$A$318,"Nepal",$C$53:$C$318,$C21)/'Shared Summary by Dept_US$'!$B$34+SUMIFS(P$53:P$318,$A$53:$A$318,"US",$C$53:$C$318,$C21)/'Shared Summary by Dept_US$'!$B$35</f>
        <v>0</v>
      </c>
      <c r="Q21" s="71">
        <f ca="1">SUMIFS(Q$53:Q$318,$A$53:$A$318,"India",$C$53:$C$318,$C21)/'Shared Summary by Dept_US$'!$B$31+SUMIFS(Q$53:Q$318,$A$53:$A$318,"INDO",$C$53:$C$318,$C21)/'Shared Summary by Dept_US$'!$B$32+SUMIFS(Q$53:Q$318,$A$53:$A$318,"BD",$C$53:$C$318,$C21)/'Shared Summary by Dept_US$'!$B$33+SUMIFS(Q$53:Q$318,$A$53:$A$318,"Nepal",$C$53:$C$318,$C21)/'Shared Summary by Dept_US$'!$B$34+SUMIFS(Q$53:Q$318,$A$53:$A$318,"US",$C$53:$C$318,$C21)/'Shared Summary by Dept_US$'!$B$35</f>
        <v>0</v>
      </c>
      <c r="S21" s="106"/>
      <c r="T21" s="107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ht="15.75" customHeight="1" x14ac:dyDescent="0.85">
      <c r="A22" s="32" t="s">
        <v>35</v>
      </c>
      <c r="B22" s="108" t="s">
        <v>100</v>
      </c>
      <c r="C22" s="109" t="s">
        <v>103</v>
      </c>
      <c r="D22" s="110">
        <v>93302</v>
      </c>
      <c r="E22" s="111">
        <f t="shared" ca="1" si="0"/>
        <v>0</v>
      </c>
      <c r="F22" s="71">
        <f ca="1">SUMIFS(F$53:F$318,$A$53:$A$318,"India",$C$53:$C$318,$C22)/'Shared Summary by Dept_US$'!$B$31+SUMIFS(F$53:F$318,$A$53:$A$318,"INDO",$C$53:$C$318,$C22)/'Shared Summary by Dept_US$'!$B$32+SUMIFS(F$53:F$318,$A$53:$A$318,"BD",$C$53:$C$318,$C22)/'Shared Summary by Dept_US$'!$B$33+SUMIFS(F$53:F$318,$A$53:$A$318,"Nepal",$C$53:$C$318,$C22)/'Shared Summary by Dept_US$'!$B$34+SUMIFS(F$53:F$318,$A$53:$A$318,"US",$C$53:$C$318,$C22)/'Shared Summary by Dept_US$'!$B$35</f>
        <v>0</v>
      </c>
      <c r="G22" s="71">
        <f ca="1">SUMIFS(G$53:G$318,$A$53:$A$318,"India",$C$53:$C$318,$C22)/'Shared Summary by Dept_US$'!$B$31+SUMIFS(G$53:G$318,$A$53:$A$318,"INDO",$C$53:$C$318,$C22)/'Shared Summary by Dept_US$'!$B$32+SUMIFS(G$53:G$318,$A$53:$A$318,"BD",$C$53:$C$318,$C22)/'Shared Summary by Dept_US$'!$B$33+SUMIFS(G$53:G$318,$A$53:$A$318,"Nepal",$C$53:$C$318,$C22)/'Shared Summary by Dept_US$'!$B$34+SUMIFS(G$53:G$318,$A$53:$A$318,"US",$C$53:$C$318,$C22)/'Shared Summary by Dept_US$'!$B$35</f>
        <v>0</v>
      </c>
      <c r="H22" s="71">
        <f ca="1">SUMIFS(H$53:H$318,$A$53:$A$318,"India",$C$53:$C$318,$C22)/'Shared Summary by Dept_US$'!$B$31+SUMIFS(H$53:H$318,$A$53:$A$318,"INDO",$C$53:$C$318,$C22)/'Shared Summary by Dept_US$'!$B$32+SUMIFS(H$53:H$318,$A$53:$A$318,"BD",$C$53:$C$318,$C22)/'Shared Summary by Dept_US$'!$B$33+SUMIFS(H$53:H$318,$A$53:$A$318,"Nepal",$C$53:$C$318,$C22)/'Shared Summary by Dept_US$'!$B$34+SUMIFS(H$53:H$318,$A$53:$A$318,"US",$C$53:$C$318,$C22)/'Shared Summary by Dept_US$'!$B$35</f>
        <v>0</v>
      </c>
      <c r="I22" s="71">
        <f ca="1">SUMIFS(I$53:I$318,$A$53:$A$318,"India",$C$53:$C$318,$C22)/'Shared Summary by Dept_US$'!$B$31+SUMIFS(I$53:I$318,$A$53:$A$318,"INDO",$C$53:$C$318,$C22)/'Shared Summary by Dept_US$'!$B$32+SUMIFS(I$53:I$318,$A$53:$A$318,"BD",$C$53:$C$318,$C22)/'Shared Summary by Dept_US$'!$B$33+SUMIFS(I$53:I$318,$A$53:$A$318,"Nepal",$C$53:$C$318,$C22)/'Shared Summary by Dept_US$'!$B$34+SUMIFS(I$53:I$318,$A$53:$A$318,"US",$C$53:$C$318,$C22)/'Shared Summary by Dept_US$'!$B$35</f>
        <v>0</v>
      </c>
      <c r="J22" s="71">
        <f ca="1">SUMIFS(J$53:J$318,$A$53:$A$318,"India",$C$53:$C$318,$C22)/'Shared Summary by Dept_US$'!$B$31+SUMIFS(J$53:J$318,$A$53:$A$318,"INDO",$C$53:$C$318,$C22)/'Shared Summary by Dept_US$'!$B$32+SUMIFS(J$53:J$318,$A$53:$A$318,"BD",$C$53:$C$318,$C22)/'Shared Summary by Dept_US$'!$B$33+SUMIFS(J$53:J$318,$A$53:$A$318,"Nepal",$C$53:$C$318,$C22)/'Shared Summary by Dept_US$'!$B$34+SUMIFS(J$53:J$318,$A$53:$A$318,"US",$C$53:$C$318,$C22)/'Shared Summary by Dept_US$'!$B$35</f>
        <v>0</v>
      </c>
      <c r="K22" s="71">
        <f ca="1">SUMIFS(K$53:K$318,$A$53:$A$318,"India",$C$53:$C$318,$C22)/'Shared Summary by Dept_US$'!$B$31+SUMIFS(K$53:K$318,$A$53:$A$318,"INDO",$C$53:$C$318,$C22)/'Shared Summary by Dept_US$'!$B$32+SUMIFS(K$53:K$318,$A$53:$A$318,"BD",$C$53:$C$318,$C22)/'Shared Summary by Dept_US$'!$B$33+SUMIFS(K$53:K$318,$A$53:$A$318,"Nepal",$C$53:$C$318,$C22)/'Shared Summary by Dept_US$'!$B$34+SUMIFS(K$53:K$318,$A$53:$A$318,"US",$C$53:$C$318,$C22)/'Shared Summary by Dept_US$'!$B$35</f>
        <v>0</v>
      </c>
      <c r="L22" s="71">
        <f ca="1">SUMIFS(L$53:L$318,$A$53:$A$318,"India",$C$53:$C$318,$C22)/'Shared Summary by Dept_US$'!$B$31+SUMIFS(L$53:L$318,$A$53:$A$318,"INDO",$C$53:$C$318,$C22)/'Shared Summary by Dept_US$'!$B$32+SUMIFS(L$53:L$318,$A$53:$A$318,"BD",$C$53:$C$318,$C22)/'Shared Summary by Dept_US$'!$B$33+SUMIFS(L$53:L$318,$A$53:$A$318,"Nepal",$C$53:$C$318,$C22)/'Shared Summary by Dept_US$'!$B$34+SUMIFS(L$53:L$318,$A$53:$A$318,"US",$C$53:$C$318,$C22)/'Shared Summary by Dept_US$'!$B$35</f>
        <v>0</v>
      </c>
      <c r="M22" s="71">
        <f ca="1">SUMIFS(M$53:M$318,$A$53:$A$318,"India",$C$53:$C$318,$C22)/'Shared Summary by Dept_US$'!$B$31+SUMIFS(M$53:M$318,$A$53:$A$318,"INDO",$C$53:$C$318,$C22)/'Shared Summary by Dept_US$'!$B$32+SUMIFS(M$53:M$318,$A$53:$A$318,"BD",$C$53:$C$318,$C22)/'Shared Summary by Dept_US$'!$B$33+SUMIFS(M$53:M$318,$A$53:$A$318,"Nepal",$C$53:$C$318,$C22)/'Shared Summary by Dept_US$'!$B$34+SUMIFS(M$53:M$318,$A$53:$A$318,"US",$C$53:$C$318,$C22)/'Shared Summary by Dept_US$'!$B$35</f>
        <v>0</v>
      </c>
      <c r="N22" s="71">
        <f ca="1">SUMIFS(N$53:N$318,$A$53:$A$318,"India",$C$53:$C$318,$C22)/'Shared Summary by Dept_US$'!$B$31+SUMIFS(N$53:N$318,$A$53:$A$318,"INDO",$C$53:$C$318,$C22)/'Shared Summary by Dept_US$'!$B$32+SUMIFS(N$53:N$318,$A$53:$A$318,"BD",$C$53:$C$318,$C22)/'Shared Summary by Dept_US$'!$B$33+SUMIFS(N$53:N$318,$A$53:$A$318,"Nepal",$C$53:$C$318,$C22)/'Shared Summary by Dept_US$'!$B$34+SUMIFS(N$53:N$318,$A$53:$A$318,"US",$C$53:$C$318,$C22)/'Shared Summary by Dept_US$'!$B$35</f>
        <v>0</v>
      </c>
      <c r="O22" s="71">
        <f ca="1">SUMIFS(O$53:O$318,$A$53:$A$318,"India",$C$53:$C$318,$C22)/'Shared Summary by Dept_US$'!$B$31+SUMIFS(O$53:O$318,$A$53:$A$318,"INDO",$C$53:$C$318,$C22)/'Shared Summary by Dept_US$'!$B$32+SUMIFS(O$53:O$318,$A$53:$A$318,"BD",$C$53:$C$318,$C22)/'Shared Summary by Dept_US$'!$B$33+SUMIFS(O$53:O$318,$A$53:$A$318,"Nepal",$C$53:$C$318,$C22)/'Shared Summary by Dept_US$'!$B$34+SUMIFS(O$53:O$318,$A$53:$A$318,"US",$C$53:$C$318,$C22)/'Shared Summary by Dept_US$'!$B$35</f>
        <v>0</v>
      </c>
      <c r="P22" s="71">
        <f ca="1">SUMIFS(P$53:P$318,$A$53:$A$318,"India",$C$53:$C$318,$C22)/'Shared Summary by Dept_US$'!$B$31+SUMIFS(P$53:P$318,$A$53:$A$318,"INDO",$C$53:$C$318,$C22)/'Shared Summary by Dept_US$'!$B$32+SUMIFS(P$53:P$318,$A$53:$A$318,"BD",$C$53:$C$318,$C22)/'Shared Summary by Dept_US$'!$B$33+SUMIFS(P$53:P$318,$A$53:$A$318,"Nepal",$C$53:$C$318,$C22)/'Shared Summary by Dept_US$'!$B$34+SUMIFS(P$53:P$318,$A$53:$A$318,"US",$C$53:$C$318,$C22)/'Shared Summary by Dept_US$'!$B$35</f>
        <v>0</v>
      </c>
      <c r="Q22" s="71">
        <f ca="1">SUMIFS(Q$53:Q$318,$A$53:$A$318,"India",$C$53:$C$318,$C22)/'Shared Summary by Dept_US$'!$B$31+SUMIFS(Q$53:Q$318,$A$53:$A$318,"INDO",$C$53:$C$318,$C22)/'Shared Summary by Dept_US$'!$B$32+SUMIFS(Q$53:Q$318,$A$53:$A$318,"BD",$C$53:$C$318,$C22)/'Shared Summary by Dept_US$'!$B$33+SUMIFS(Q$53:Q$318,$A$53:$A$318,"Nepal",$C$53:$C$318,$C22)/'Shared Summary by Dept_US$'!$B$34+SUMIFS(Q$53:Q$318,$A$53:$A$318,"US",$C$53:$C$318,$C22)/'Shared Summary by Dept_US$'!$B$35</f>
        <v>0</v>
      </c>
      <c r="S22" s="106"/>
      <c r="T22" s="107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34" ht="15.75" customHeight="1" x14ac:dyDescent="0.85">
      <c r="A23" s="32" t="s">
        <v>35</v>
      </c>
      <c r="B23" s="108" t="s">
        <v>100</v>
      </c>
      <c r="C23" s="109" t="s">
        <v>104</v>
      </c>
      <c r="D23" s="110">
        <v>93303</v>
      </c>
      <c r="E23" s="111">
        <f t="shared" ca="1" si="0"/>
        <v>0</v>
      </c>
      <c r="F23" s="71">
        <f ca="1">SUMIFS(F$53:F$318,$A$53:$A$318,"India",$C$53:$C$318,$C23)/'Shared Summary by Dept_US$'!$B$31+SUMIFS(F$53:F$318,$A$53:$A$318,"INDO",$C$53:$C$318,$C23)/'Shared Summary by Dept_US$'!$B$32+SUMIFS(F$53:F$318,$A$53:$A$318,"BD",$C$53:$C$318,$C23)/'Shared Summary by Dept_US$'!$B$33+SUMIFS(F$53:F$318,$A$53:$A$318,"Nepal",$C$53:$C$318,$C23)/'Shared Summary by Dept_US$'!$B$34+SUMIFS(F$53:F$318,$A$53:$A$318,"US",$C$53:$C$318,$C23)/'Shared Summary by Dept_US$'!$B$35</f>
        <v>0</v>
      </c>
      <c r="G23" s="71">
        <f ca="1">SUMIFS(G$53:G$318,$A$53:$A$318,"India",$C$53:$C$318,$C23)/'Shared Summary by Dept_US$'!$B$31+SUMIFS(G$53:G$318,$A$53:$A$318,"INDO",$C$53:$C$318,$C23)/'Shared Summary by Dept_US$'!$B$32+SUMIFS(G$53:G$318,$A$53:$A$318,"BD",$C$53:$C$318,$C23)/'Shared Summary by Dept_US$'!$B$33+SUMIFS(G$53:G$318,$A$53:$A$318,"Nepal",$C$53:$C$318,$C23)/'Shared Summary by Dept_US$'!$B$34+SUMIFS(G$53:G$318,$A$53:$A$318,"US",$C$53:$C$318,$C23)/'Shared Summary by Dept_US$'!$B$35</f>
        <v>0</v>
      </c>
      <c r="H23" s="71">
        <f ca="1">SUMIFS(H$53:H$318,$A$53:$A$318,"India",$C$53:$C$318,$C23)/'Shared Summary by Dept_US$'!$B$31+SUMIFS(H$53:H$318,$A$53:$A$318,"INDO",$C$53:$C$318,$C23)/'Shared Summary by Dept_US$'!$B$32+SUMIFS(H$53:H$318,$A$53:$A$318,"BD",$C$53:$C$318,$C23)/'Shared Summary by Dept_US$'!$B$33+SUMIFS(H$53:H$318,$A$53:$A$318,"Nepal",$C$53:$C$318,$C23)/'Shared Summary by Dept_US$'!$B$34+SUMIFS(H$53:H$318,$A$53:$A$318,"US",$C$53:$C$318,$C23)/'Shared Summary by Dept_US$'!$B$35</f>
        <v>0</v>
      </c>
      <c r="I23" s="71">
        <f ca="1">SUMIFS(I$53:I$318,$A$53:$A$318,"India",$C$53:$C$318,$C23)/'Shared Summary by Dept_US$'!$B$31+SUMIFS(I$53:I$318,$A$53:$A$318,"INDO",$C$53:$C$318,$C23)/'Shared Summary by Dept_US$'!$B$32+SUMIFS(I$53:I$318,$A$53:$A$318,"BD",$C$53:$C$318,$C23)/'Shared Summary by Dept_US$'!$B$33+SUMIFS(I$53:I$318,$A$53:$A$318,"Nepal",$C$53:$C$318,$C23)/'Shared Summary by Dept_US$'!$B$34+SUMIFS(I$53:I$318,$A$53:$A$318,"US",$C$53:$C$318,$C23)/'Shared Summary by Dept_US$'!$B$35</f>
        <v>0</v>
      </c>
      <c r="J23" s="71">
        <f ca="1">SUMIFS(J$53:J$318,$A$53:$A$318,"India",$C$53:$C$318,$C23)/'Shared Summary by Dept_US$'!$B$31+SUMIFS(J$53:J$318,$A$53:$A$318,"INDO",$C$53:$C$318,$C23)/'Shared Summary by Dept_US$'!$B$32+SUMIFS(J$53:J$318,$A$53:$A$318,"BD",$C$53:$C$318,$C23)/'Shared Summary by Dept_US$'!$B$33+SUMIFS(J$53:J$318,$A$53:$A$318,"Nepal",$C$53:$C$318,$C23)/'Shared Summary by Dept_US$'!$B$34+SUMIFS(J$53:J$318,$A$53:$A$318,"US",$C$53:$C$318,$C23)/'Shared Summary by Dept_US$'!$B$35</f>
        <v>0</v>
      </c>
      <c r="K23" s="71">
        <f ca="1">SUMIFS(K$53:K$318,$A$53:$A$318,"India",$C$53:$C$318,$C23)/'Shared Summary by Dept_US$'!$B$31+SUMIFS(K$53:K$318,$A$53:$A$318,"INDO",$C$53:$C$318,$C23)/'Shared Summary by Dept_US$'!$B$32+SUMIFS(K$53:K$318,$A$53:$A$318,"BD",$C$53:$C$318,$C23)/'Shared Summary by Dept_US$'!$B$33+SUMIFS(K$53:K$318,$A$53:$A$318,"Nepal",$C$53:$C$318,$C23)/'Shared Summary by Dept_US$'!$B$34+SUMIFS(K$53:K$318,$A$53:$A$318,"US",$C$53:$C$318,$C23)/'Shared Summary by Dept_US$'!$B$35</f>
        <v>0</v>
      </c>
      <c r="L23" s="71">
        <f ca="1">SUMIFS(L$53:L$318,$A$53:$A$318,"India",$C$53:$C$318,$C23)/'Shared Summary by Dept_US$'!$B$31+SUMIFS(L$53:L$318,$A$53:$A$318,"INDO",$C$53:$C$318,$C23)/'Shared Summary by Dept_US$'!$B$32+SUMIFS(L$53:L$318,$A$53:$A$318,"BD",$C$53:$C$318,$C23)/'Shared Summary by Dept_US$'!$B$33+SUMIFS(L$53:L$318,$A$53:$A$318,"Nepal",$C$53:$C$318,$C23)/'Shared Summary by Dept_US$'!$B$34+SUMIFS(L$53:L$318,$A$53:$A$318,"US",$C$53:$C$318,$C23)/'Shared Summary by Dept_US$'!$B$35</f>
        <v>0</v>
      </c>
      <c r="M23" s="71">
        <f ca="1">SUMIFS(M$53:M$318,$A$53:$A$318,"India",$C$53:$C$318,$C23)/'Shared Summary by Dept_US$'!$B$31+SUMIFS(M$53:M$318,$A$53:$A$318,"INDO",$C$53:$C$318,$C23)/'Shared Summary by Dept_US$'!$B$32+SUMIFS(M$53:M$318,$A$53:$A$318,"BD",$C$53:$C$318,$C23)/'Shared Summary by Dept_US$'!$B$33+SUMIFS(M$53:M$318,$A$53:$A$318,"Nepal",$C$53:$C$318,$C23)/'Shared Summary by Dept_US$'!$B$34+SUMIFS(M$53:M$318,$A$53:$A$318,"US",$C$53:$C$318,$C23)/'Shared Summary by Dept_US$'!$B$35</f>
        <v>0</v>
      </c>
      <c r="N23" s="71">
        <f ca="1">SUMIFS(N$53:N$318,$A$53:$A$318,"India",$C$53:$C$318,$C23)/'Shared Summary by Dept_US$'!$B$31+SUMIFS(N$53:N$318,$A$53:$A$318,"INDO",$C$53:$C$318,$C23)/'Shared Summary by Dept_US$'!$B$32+SUMIFS(N$53:N$318,$A$53:$A$318,"BD",$C$53:$C$318,$C23)/'Shared Summary by Dept_US$'!$B$33+SUMIFS(N$53:N$318,$A$53:$A$318,"Nepal",$C$53:$C$318,$C23)/'Shared Summary by Dept_US$'!$B$34+SUMIFS(N$53:N$318,$A$53:$A$318,"US",$C$53:$C$318,$C23)/'Shared Summary by Dept_US$'!$B$35</f>
        <v>0</v>
      </c>
      <c r="O23" s="71">
        <f ca="1">SUMIFS(O$53:O$318,$A$53:$A$318,"India",$C$53:$C$318,$C23)/'Shared Summary by Dept_US$'!$B$31+SUMIFS(O$53:O$318,$A$53:$A$318,"INDO",$C$53:$C$318,$C23)/'Shared Summary by Dept_US$'!$B$32+SUMIFS(O$53:O$318,$A$53:$A$318,"BD",$C$53:$C$318,$C23)/'Shared Summary by Dept_US$'!$B$33+SUMIFS(O$53:O$318,$A$53:$A$318,"Nepal",$C$53:$C$318,$C23)/'Shared Summary by Dept_US$'!$B$34+SUMIFS(O$53:O$318,$A$53:$A$318,"US",$C$53:$C$318,$C23)/'Shared Summary by Dept_US$'!$B$35</f>
        <v>0</v>
      </c>
      <c r="P23" s="71">
        <f ca="1">SUMIFS(P$53:P$318,$A$53:$A$318,"India",$C$53:$C$318,$C23)/'Shared Summary by Dept_US$'!$B$31+SUMIFS(P$53:P$318,$A$53:$A$318,"INDO",$C$53:$C$318,$C23)/'Shared Summary by Dept_US$'!$B$32+SUMIFS(P$53:P$318,$A$53:$A$318,"BD",$C$53:$C$318,$C23)/'Shared Summary by Dept_US$'!$B$33+SUMIFS(P$53:P$318,$A$53:$A$318,"Nepal",$C$53:$C$318,$C23)/'Shared Summary by Dept_US$'!$B$34+SUMIFS(P$53:P$318,$A$53:$A$318,"US",$C$53:$C$318,$C23)/'Shared Summary by Dept_US$'!$B$35</f>
        <v>0</v>
      </c>
      <c r="Q23" s="71">
        <f ca="1">SUMIFS(Q$53:Q$318,$A$53:$A$318,"India",$C$53:$C$318,$C23)/'Shared Summary by Dept_US$'!$B$31+SUMIFS(Q$53:Q$318,$A$53:$A$318,"INDO",$C$53:$C$318,$C23)/'Shared Summary by Dept_US$'!$B$32+SUMIFS(Q$53:Q$318,$A$53:$A$318,"BD",$C$53:$C$318,$C23)/'Shared Summary by Dept_US$'!$B$33+SUMIFS(Q$53:Q$318,$A$53:$A$318,"Nepal",$C$53:$C$318,$C23)/'Shared Summary by Dept_US$'!$B$34+SUMIFS(Q$53:Q$318,$A$53:$A$318,"US",$C$53:$C$318,$C23)/'Shared Summary by Dept_US$'!$B$35</f>
        <v>0</v>
      </c>
      <c r="S23" s="106"/>
      <c r="T23" s="107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5.75" customHeight="1" x14ac:dyDescent="0.85">
      <c r="A24" s="32" t="s">
        <v>35</v>
      </c>
      <c r="B24" s="108" t="s">
        <v>105</v>
      </c>
      <c r="C24" s="109" t="s">
        <v>110</v>
      </c>
      <c r="D24" s="110">
        <v>93401</v>
      </c>
      <c r="E24" s="111">
        <f t="shared" ca="1" si="0"/>
        <v>300013.6609195394</v>
      </c>
      <c r="F24" s="71">
        <f ca="1">SUMIFS(F$53:F$318,$A$53:$A$318,"India",$C$53:$C$318,$C24)/'Shared Summary by Dept_US$'!$B$31+SUMIFS(F$53:F$318,$A$53:$A$318,"INDO",$C$53:$C$318,$C24)/'Shared Summary by Dept_US$'!$B$32+SUMIFS(F$53:F$318,$A$53:$A$318,"BD",$C$53:$C$318,$C24)/'Shared Summary by Dept_US$'!$B$33+SUMIFS(F$53:F$318,$A$53:$A$318,"Nepal",$C$53:$C$318,$C24)/'Shared Summary by Dept_US$'!$B$34+SUMIFS(F$53:F$318,$A$53:$A$318,"US",$C$53:$C$318,$C24)/'Shared Summary by Dept_US$'!$B$35</f>
        <v>30792.155172413724</v>
      </c>
      <c r="G24" s="71">
        <f ca="1">SUMIFS(G$53:G$318,$A$53:$A$318,"India",$C$53:$C$318,$C24)/'Shared Summary by Dept_US$'!$B$31+SUMIFS(G$53:G$318,$A$53:$A$318,"INDO",$C$53:$C$318,$C24)/'Shared Summary by Dept_US$'!$B$32+SUMIFS(G$53:G$318,$A$53:$A$318,"BD",$C$53:$C$318,$C24)/'Shared Summary by Dept_US$'!$B$33+SUMIFS(G$53:G$318,$A$53:$A$318,"Nepal",$C$53:$C$318,$C24)/'Shared Summary by Dept_US$'!$B$34+SUMIFS(G$53:G$318,$A$53:$A$318,"US",$C$53:$C$318,$C24)/'Shared Summary by Dept_US$'!$B$35</f>
        <v>23667.879310344761</v>
      </c>
      <c r="H24" s="71">
        <f ca="1">SUMIFS(H$53:H$318,$A$53:$A$318,"India",$C$53:$C$318,$C24)/'Shared Summary by Dept_US$'!$B$31+SUMIFS(H$53:H$318,$A$53:$A$318,"INDO",$C$53:$C$318,$C24)/'Shared Summary by Dept_US$'!$B$32+SUMIFS(H$53:H$318,$A$53:$A$318,"BD",$C$53:$C$318,$C24)/'Shared Summary by Dept_US$'!$B$33+SUMIFS(H$53:H$318,$A$53:$A$318,"Nepal",$C$53:$C$318,$C24)/'Shared Summary by Dept_US$'!$B$34+SUMIFS(H$53:H$318,$A$53:$A$318,"US",$C$53:$C$318,$C24)/'Shared Summary by Dept_US$'!$B$35</f>
        <v>26609.962643678093</v>
      </c>
      <c r="I24" s="71">
        <f ca="1">SUMIFS(I$53:I$318,$A$53:$A$318,"India",$C$53:$C$318,$C24)/'Shared Summary by Dept_US$'!$B$31+SUMIFS(I$53:I$318,$A$53:$A$318,"INDO",$C$53:$C$318,$C24)/'Shared Summary by Dept_US$'!$B$32+SUMIFS(I$53:I$318,$A$53:$A$318,"BD",$C$53:$C$318,$C24)/'Shared Summary by Dept_US$'!$B$33+SUMIFS(I$53:I$318,$A$53:$A$318,"Nepal",$C$53:$C$318,$C24)/'Shared Summary by Dept_US$'!$B$34+SUMIFS(I$53:I$318,$A$53:$A$318,"US",$C$53:$C$318,$C24)/'Shared Summary by Dept_US$'!$B$35</f>
        <v>24088.629310344761</v>
      </c>
      <c r="J24" s="71">
        <f ca="1">SUMIFS(J$53:J$318,$A$53:$A$318,"India",$C$53:$C$318,$C24)/'Shared Summary by Dept_US$'!$B$31+SUMIFS(J$53:J$318,$A$53:$A$318,"INDO",$C$53:$C$318,$C24)/'Shared Summary by Dept_US$'!$B$32+SUMIFS(J$53:J$318,$A$53:$A$318,"BD",$C$53:$C$318,$C24)/'Shared Summary by Dept_US$'!$B$33+SUMIFS(J$53:J$318,$A$53:$A$318,"Nepal",$C$53:$C$318,$C24)/'Shared Summary by Dept_US$'!$B$34+SUMIFS(J$53:J$318,$A$53:$A$318,"US",$C$53:$C$318,$C24)/'Shared Summary by Dept_US$'!$B$35</f>
        <v>24702.129310344761</v>
      </c>
      <c r="K24" s="71">
        <f ca="1">SUMIFS(K$53:K$318,$A$53:$A$318,"India",$C$53:$C$318,$C24)/'Shared Summary by Dept_US$'!$B$31+SUMIFS(K$53:K$318,$A$53:$A$318,"INDO",$C$53:$C$318,$C24)/'Shared Summary by Dept_US$'!$B$32+SUMIFS(K$53:K$318,$A$53:$A$318,"BD",$C$53:$C$318,$C24)/'Shared Summary by Dept_US$'!$B$33+SUMIFS(K$53:K$318,$A$53:$A$318,"Nepal",$C$53:$C$318,$C24)/'Shared Summary by Dept_US$'!$B$34+SUMIFS(K$53:K$318,$A$53:$A$318,"US",$C$53:$C$318,$C24)/'Shared Summary by Dept_US$'!$B$35</f>
        <v>23689.129310344761</v>
      </c>
      <c r="L24" s="71">
        <f ca="1">SUMIFS(L$53:L$318,$A$53:$A$318,"India",$C$53:$C$318,$C24)/'Shared Summary by Dept_US$'!$B$31+SUMIFS(L$53:L$318,$A$53:$A$318,"INDO",$C$53:$C$318,$C24)/'Shared Summary by Dept_US$'!$B$32+SUMIFS(L$53:L$318,$A$53:$A$318,"BD",$C$53:$C$318,$C24)/'Shared Summary by Dept_US$'!$B$33+SUMIFS(L$53:L$318,$A$53:$A$318,"Nepal",$C$53:$C$318,$C24)/'Shared Summary by Dept_US$'!$B$34+SUMIFS(L$53:L$318,$A$53:$A$318,"US",$C$53:$C$318,$C24)/'Shared Summary by Dept_US$'!$B$35</f>
        <v>26277.129310344761</v>
      </c>
      <c r="M24" s="71">
        <f ca="1">SUMIFS(M$53:M$318,$A$53:$A$318,"India",$C$53:$C$318,$C24)/'Shared Summary by Dept_US$'!$B$31+SUMIFS(M$53:M$318,$A$53:$A$318,"INDO",$C$53:$C$318,$C24)/'Shared Summary by Dept_US$'!$B$32+SUMIFS(M$53:M$318,$A$53:$A$318,"BD",$C$53:$C$318,$C24)/'Shared Summary by Dept_US$'!$B$33+SUMIFS(M$53:M$318,$A$53:$A$318,"Nepal",$C$53:$C$318,$C24)/'Shared Summary by Dept_US$'!$B$34+SUMIFS(M$53:M$318,$A$53:$A$318,"US",$C$53:$C$318,$C24)/'Shared Summary by Dept_US$'!$B$35</f>
        <v>23799.129310344761</v>
      </c>
      <c r="N24" s="71">
        <f ca="1">SUMIFS(N$53:N$318,$A$53:$A$318,"India",$C$53:$C$318,$C24)/'Shared Summary by Dept_US$'!$B$31+SUMIFS(N$53:N$318,$A$53:$A$318,"INDO",$C$53:$C$318,$C24)/'Shared Summary by Dept_US$'!$B$32+SUMIFS(N$53:N$318,$A$53:$A$318,"BD",$C$53:$C$318,$C24)/'Shared Summary by Dept_US$'!$B$33+SUMIFS(N$53:N$318,$A$53:$A$318,"Nepal",$C$53:$C$318,$C24)/'Shared Summary by Dept_US$'!$B$34+SUMIFS(N$53:N$318,$A$53:$A$318,"US",$C$53:$C$318,$C24)/'Shared Summary by Dept_US$'!$B$35</f>
        <v>24415.129310344761</v>
      </c>
      <c r="O24" s="71">
        <f ca="1">SUMIFS(O$53:O$318,$A$53:$A$318,"India",$C$53:$C$318,$C24)/'Shared Summary by Dept_US$'!$B$31+SUMIFS(O$53:O$318,$A$53:$A$318,"INDO",$C$53:$C$318,$C24)/'Shared Summary by Dept_US$'!$B$32+SUMIFS(O$53:O$318,$A$53:$A$318,"BD",$C$53:$C$318,$C24)/'Shared Summary by Dept_US$'!$B$33+SUMIFS(O$53:O$318,$A$53:$A$318,"Nepal",$C$53:$C$318,$C24)/'Shared Summary by Dept_US$'!$B$34+SUMIFS(O$53:O$318,$A$53:$A$318,"US",$C$53:$C$318,$C24)/'Shared Summary by Dept_US$'!$B$35</f>
        <v>23818.129310344761</v>
      </c>
      <c r="P24" s="71">
        <f ca="1">SUMIFS(P$53:P$318,$A$53:$A$318,"India",$C$53:$C$318,$C24)/'Shared Summary by Dept_US$'!$B$31+SUMIFS(P$53:P$318,$A$53:$A$318,"INDO",$C$53:$C$318,$C24)/'Shared Summary by Dept_US$'!$B$32+SUMIFS(P$53:P$318,$A$53:$A$318,"BD",$C$53:$C$318,$C24)/'Shared Summary by Dept_US$'!$B$33+SUMIFS(P$53:P$318,$A$53:$A$318,"Nepal",$C$53:$C$318,$C24)/'Shared Summary by Dept_US$'!$B$34+SUMIFS(P$53:P$318,$A$53:$A$318,"US",$C$53:$C$318,$C24)/'Shared Summary by Dept_US$'!$B$35</f>
        <v>24440.129310344761</v>
      </c>
      <c r="Q24" s="71">
        <f ca="1">SUMIFS(Q$53:Q$318,$A$53:$A$318,"India",$C$53:$C$318,$C24)/'Shared Summary by Dept_US$'!$B$31+SUMIFS(Q$53:Q$318,$A$53:$A$318,"INDO",$C$53:$C$318,$C24)/'Shared Summary by Dept_US$'!$B$32+SUMIFS(Q$53:Q$318,$A$53:$A$318,"BD",$C$53:$C$318,$C24)/'Shared Summary by Dept_US$'!$B$33+SUMIFS(Q$53:Q$318,$A$53:$A$318,"Nepal",$C$53:$C$318,$C24)/'Shared Summary by Dept_US$'!$B$34+SUMIFS(Q$53:Q$318,$A$53:$A$318,"US",$C$53:$C$318,$C24)/'Shared Summary by Dept_US$'!$B$35</f>
        <v>23714.129310344761</v>
      </c>
      <c r="S24" s="106"/>
      <c r="T24" s="107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5.75" customHeight="1" x14ac:dyDescent="0.85">
      <c r="A25" s="32" t="s">
        <v>35</v>
      </c>
      <c r="B25" s="108" t="s">
        <v>105</v>
      </c>
      <c r="C25" s="109" t="s">
        <v>111</v>
      </c>
      <c r="D25" s="110">
        <v>93402</v>
      </c>
      <c r="E25" s="111">
        <f t="shared" ca="1" si="0"/>
        <v>0</v>
      </c>
      <c r="F25" s="71">
        <f ca="1">SUMIFS(F$53:F$318,$A$53:$A$318,"India",$C$53:$C$318,$C25)/'Shared Summary by Dept_US$'!$B$31+SUMIFS(F$53:F$318,$A$53:$A$318,"INDO",$C$53:$C$318,$C25)/'Shared Summary by Dept_US$'!$B$32+SUMIFS(F$53:F$318,$A$53:$A$318,"BD",$C$53:$C$318,$C25)/'Shared Summary by Dept_US$'!$B$33+SUMIFS(F$53:F$318,$A$53:$A$318,"Nepal",$C$53:$C$318,$C25)/'Shared Summary by Dept_US$'!$B$34+SUMIFS(F$53:F$318,$A$53:$A$318,"US",$C$53:$C$318,$C25)/'Shared Summary by Dept_US$'!$B$35</f>
        <v>0</v>
      </c>
      <c r="G25" s="71">
        <f ca="1">SUMIFS(G$53:G$318,$A$53:$A$318,"India",$C$53:$C$318,$C25)/'Shared Summary by Dept_US$'!$B$31+SUMIFS(G$53:G$318,$A$53:$A$318,"INDO",$C$53:$C$318,$C25)/'Shared Summary by Dept_US$'!$B$32+SUMIFS(G$53:G$318,$A$53:$A$318,"BD",$C$53:$C$318,$C25)/'Shared Summary by Dept_US$'!$B$33+SUMIFS(G$53:G$318,$A$53:$A$318,"Nepal",$C$53:$C$318,$C25)/'Shared Summary by Dept_US$'!$B$34+SUMIFS(G$53:G$318,$A$53:$A$318,"US",$C$53:$C$318,$C25)/'Shared Summary by Dept_US$'!$B$35</f>
        <v>0</v>
      </c>
      <c r="H25" s="71">
        <f ca="1">SUMIFS(H$53:H$318,$A$53:$A$318,"India",$C$53:$C$318,$C25)/'Shared Summary by Dept_US$'!$B$31+SUMIFS(H$53:H$318,$A$53:$A$318,"INDO",$C$53:$C$318,$C25)/'Shared Summary by Dept_US$'!$B$32+SUMIFS(H$53:H$318,$A$53:$A$318,"BD",$C$53:$C$318,$C25)/'Shared Summary by Dept_US$'!$B$33+SUMIFS(H$53:H$318,$A$53:$A$318,"Nepal",$C$53:$C$318,$C25)/'Shared Summary by Dept_US$'!$B$34+SUMIFS(H$53:H$318,$A$53:$A$318,"US",$C$53:$C$318,$C25)/'Shared Summary by Dept_US$'!$B$35</f>
        <v>0</v>
      </c>
      <c r="I25" s="71">
        <f ca="1">SUMIFS(I$53:I$318,$A$53:$A$318,"India",$C$53:$C$318,$C25)/'Shared Summary by Dept_US$'!$B$31+SUMIFS(I$53:I$318,$A$53:$A$318,"INDO",$C$53:$C$318,$C25)/'Shared Summary by Dept_US$'!$B$32+SUMIFS(I$53:I$318,$A$53:$A$318,"BD",$C$53:$C$318,$C25)/'Shared Summary by Dept_US$'!$B$33+SUMIFS(I$53:I$318,$A$53:$A$318,"Nepal",$C$53:$C$318,$C25)/'Shared Summary by Dept_US$'!$B$34+SUMIFS(I$53:I$318,$A$53:$A$318,"US",$C$53:$C$318,$C25)/'Shared Summary by Dept_US$'!$B$35</f>
        <v>0</v>
      </c>
      <c r="J25" s="71">
        <f ca="1">SUMIFS(J$53:J$318,$A$53:$A$318,"India",$C$53:$C$318,$C25)/'Shared Summary by Dept_US$'!$B$31+SUMIFS(J$53:J$318,$A$53:$A$318,"INDO",$C$53:$C$318,$C25)/'Shared Summary by Dept_US$'!$B$32+SUMIFS(J$53:J$318,$A$53:$A$318,"BD",$C$53:$C$318,$C25)/'Shared Summary by Dept_US$'!$B$33+SUMIFS(J$53:J$318,$A$53:$A$318,"Nepal",$C$53:$C$318,$C25)/'Shared Summary by Dept_US$'!$B$34+SUMIFS(J$53:J$318,$A$53:$A$318,"US",$C$53:$C$318,$C25)/'Shared Summary by Dept_US$'!$B$35</f>
        <v>0</v>
      </c>
      <c r="K25" s="71">
        <f ca="1">SUMIFS(K$53:K$318,$A$53:$A$318,"India",$C$53:$C$318,$C25)/'Shared Summary by Dept_US$'!$B$31+SUMIFS(K$53:K$318,$A$53:$A$318,"INDO",$C$53:$C$318,$C25)/'Shared Summary by Dept_US$'!$B$32+SUMIFS(K$53:K$318,$A$53:$A$318,"BD",$C$53:$C$318,$C25)/'Shared Summary by Dept_US$'!$B$33+SUMIFS(K$53:K$318,$A$53:$A$318,"Nepal",$C$53:$C$318,$C25)/'Shared Summary by Dept_US$'!$B$34+SUMIFS(K$53:K$318,$A$53:$A$318,"US",$C$53:$C$318,$C25)/'Shared Summary by Dept_US$'!$B$35</f>
        <v>0</v>
      </c>
      <c r="L25" s="71">
        <f ca="1">SUMIFS(L$53:L$318,$A$53:$A$318,"India",$C$53:$C$318,$C25)/'Shared Summary by Dept_US$'!$B$31+SUMIFS(L$53:L$318,$A$53:$A$318,"INDO",$C$53:$C$318,$C25)/'Shared Summary by Dept_US$'!$B$32+SUMIFS(L$53:L$318,$A$53:$A$318,"BD",$C$53:$C$318,$C25)/'Shared Summary by Dept_US$'!$B$33+SUMIFS(L$53:L$318,$A$53:$A$318,"Nepal",$C$53:$C$318,$C25)/'Shared Summary by Dept_US$'!$B$34+SUMIFS(L$53:L$318,$A$53:$A$318,"US",$C$53:$C$318,$C25)/'Shared Summary by Dept_US$'!$B$35</f>
        <v>0</v>
      </c>
      <c r="M25" s="71">
        <f ca="1">SUMIFS(M$53:M$318,$A$53:$A$318,"India",$C$53:$C$318,$C25)/'Shared Summary by Dept_US$'!$B$31+SUMIFS(M$53:M$318,$A$53:$A$318,"INDO",$C$53:$C$318,$C25)/'Shared Summary by Dept_US$'!$B$32+SUMIFS(M$53:M$318,$A$53:$A$318,"BD",$C$53:$C$318,$C25)/'Shared Summary by Dept_US$'!$B$33+SUMIFS(M$53:M$318,$A$53:$A$318,"Nepal",$C$53:$C$318,$C25)/'Shared Summary by Dept_US$'!$B$34+SUMIFS(M$53:M$318,$A$53:$A$318,"US",$C$53:$C$318,$C25)/'Shared Summary by Dept_US$'!$B$35</f>
        <v>0</v>
      </c>
      <c r="N25" s="71">
        <f ca="1">SUMIFS(N$53:N$318,$A$53:$A$318,"India",$C$53:$C$318,$C25)/'Shared Summary by Dept_US$'!$B$31+SUMIFS(N$53:N$318,$A$53:$A$318,"INDO",$C$53:$C$318,$C25)/'Shared Summary by Dept_US$'!$B$32+SUMIFS(N$53:N$318,$A$53:$A$318,"BD",$C$53:$C$318,$C25)/'Shared Summary by Dept_US$'!$B$33+SUMIFS(N$53:N$318,$A$53:$A$318,"Nepal",$C$53:$C$318,$C25)/'Shared Summary by Dept_US$'!$B$34+SUMIFS(N$53:N$318,$A$53:$A$318,"US",$C$53:$C$318,$C25)/'Shared Summary by Dept_US$'!$B$35</f>
        <v>0</v>
      </c>
      <c r="O25" s="71">
        <f ca="1">SUMIFS(O$53:O$318,$A$53:$A$318,"India",$C$53:$C$318,$C25)/'Shared Summary by Dept_US$'!$B$31+SUMIFS(O$53:O$318,$A$53:$A$318,"INDO",$C$53:$C$318,$C25)/'Shared Summary by Dept_US$'!$B$32+SUMIFS(O$53:O$318,$A$53:$A$318,"BD",$C$53:$C$318,$C25)/'Shared Summary by Dept_US$'!$B$33+SUMIFS(O$53:O$318,$A$53:$A$318,"Nepal",$C$53:$C$318,$C25)/'Shared Summary by Dept_US$'!$B$34+SUMIFS(O$53:O$318,$A$53:$A$318,"US",$C$53:$C$318,$C25)/'Shared Summary by Dept_US$'!$B$35</f>
        <v>0</v>
      </c>
      <c r="P25" s="71">
        <f ca="1">SUMIFS(P$53:P$318,$A$53:$A$318,"India",$C$53:$C$318,$C25)/'Shared Summary by Dept_US$'!$B$31+SUMIFS(P$53:P$318,$A$53:$A$318,"INDO",$C$53:$C$318,$C25)/'Shared Summary by Dept_US$'!$B$32+SUMIFS(P$53:P$318,$A$53:$A$318,"BD",$C$53:$C$318,$C25)/'Shared Summary by Dept_US$'!$B$33+SUMIFS(P$53:P$318,$A$53:$A$318,"Nepal",$C$53:$C$318,$C25)/'Shared Summary by Dept_US$'!$B$34+SUMIFS(P$53:P$318,$A$53:$A$318,"US",$C$53:$C$318,$C25)/'Shared Summary by Dept_US$'!$B$35</f>
        <v>0</v>
      </c>
      <c r="Q25" s="71">
        <f ca="1">SUMIFS(Q$53:Q$318,$A$53:$A$318,"India",$C$53:$C$318,$C25)/'Shared Summary by Dept_US$'!$B$31+SUMIFS(Q$53:Q$318,$A$53:$A$318,"INDO",$C$53:$C$318,$C25)/'Shared Summary by Dept_US$'!$B$32+SUMIFS(Q$53:Q$318,$A$53:$A$318,"BD",$C$53:$C$318,$C25)/'Shared Summary by Dept_US$'!$B$33+SUMIFS(Q$53:Q$318,$A$53:$A$318,"Nepal",$C$53:$C$318,$C25)/'Shared Summary by Dept_US$'!$B$34+SUMIFS(Q$53:Q$318,$A$53:$A$318,"US",$C$53:$C$318,$C25)/'Shared Summary by Dept_US$'!$B$35</f>
        <v>0</v>
      </c>
      <c r="S25" s="106"/>
      <c r="T25" s="107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spans="1:34" ht="15.75" customHeight="1" x14ac:dyDescent="0.85">
      <c r="A26" s="32" t="s">
        <v>35</v>
      </c>
      <c r="B26" s="108" t="s">
        <v>105</v>
      </c>
      <c r="C26" s="109" t="s">
        <v>112</v>
      </c>
      <c r="D26" s="110">
        <v>93403</v>
      </c>
      <c r="E26" s="111">
        <f t="shared" ca="1" si="0"/>
        <v>0</v>
      </c>
      <c r="F26" s="71">
        <f ca="1">SUMIFS(F$53:F$318,$A$53:$A$318,"India",$C$53:$C$318,$C26)/'Shared Summary by Dept_US$'!$B$31+SUMIFS(F$53:F$318,$A$53:$A$318,"INDO",$C$53:$C$318,$C26)/'Shared Summary by Dept_US$'!$B$32+SUMIFS(F$53:F$318,$A$53:$A$318,"BD",$C$53:$C$318,$C26)/'Shared Summary by Dept_US$'!$B$33+SUMIFS(F$53:F$318,$A$53:$A$318,"Nepal",$C$53:$C$318,$C26)/'Shared Summary by Dept_US$'!$B$34+SUMIFS(F$53:F$318,$A$53:$A$318,"US",$C$53:$C$318,$C26)/'Shared Summary by Dept_US$'!$B$35</f>
        <v>0</v>
      </c>
      <c r="G26" s="71">
        <f ca="1">SUMIFS(G$53:G$318,$A$53:$A$318,"India",$C$53:$C$318,$C26)/'Shared Summary by Dept_US$'!$B$31+SUMIFS(G$53:G$318,$A$53:$A$318,"INDO",$C$53:$C$318,$C26)/'Shared Summary by Dept_US$'!$B$32+SUMIFS(G$53:G$318,$A$53:$A$318,"BD",$C$53:$C$318,$C26)/'Shared Summary by Dept_US$'!$B$33+SUMIFS(G$53:G$318,$A$53:$A$318,"Nepal",$C$53:$C$318,$C26)/'Shared Summary by Dept_US$'!$B$34+SUMIFS(G$53:G$318,$A$53:$A$318,"US",$C$53:$C$318,$C26)/'Shared Summary by Dept_US$'!$B$35</f>
        <v>0</v>
      </c>
      <c r="H26" s="71">
        <f ca="1">SUMIFS(H$53:H$318,$A$53:$A$318,"India",$C$53:$C$318,$C26)/'Shared Summary by Dept_US$'!$B$31+SUMIFS(H$53:H$318,$A$53:$A$318,"INDO",$C$53:$C$318,$C26)/'Shared Summary by Dept_US$'!$B$32+SUMIFS(H$53:H$318,$A$53:$A$318,"BD",$C$53:$C$318,$C26)/'Shared Summary by Dept_US$'!$B$33+SUMIFS(H$53:H$318,$A$53:$A$318,"Nepal",$C$53:$C$318,$C26)/'Shared Summary by Dept_US$'!$B$34+SUMIFS(H$53:H$318,$A$53:$A$318,"US",$C$53:$C$318,$C26)/'Shared Summary by Dept_US$'!$B$35</f>
        <v>0</v>
      </c>
      <c r="I26" s="71">
        <f ca="1">SUMIFS(I$53:I$318,$A$53:$A$318,"India",$C$53:$C$318,$C26)/'Shared Summary by Dept_US$'!$B$31+SUMIFS(I$53:I$318,$A$53:$A$318,"INDO",$C$53:$C$318,$C26)/'Shared Summary by Dept_US$'!$B$32+SUMIFS(I$53:I$318,$A$53:$A$318,"BD",$C$53:$C$318,$C26)/'Shared Summary by Dept_US$'!$B$33+SUMIFS(I$53:I$318,$A$53:$A$318,"Nepal",$C$53:$C$318,$C26)/'Shared Summary by Dept_US$'!$B$34+SUMIFS(I$53:I$318,$A$53:$A$318,"US",$C$53:$C$318,$C26)/'Shared Summary by Dept_US$'!$B$35</f>
        <v>0</v>
      </c>
      <c r="J26" s="71">
        <f ca="1">SUMIFS(J$53:J$318,$A$53:$A$318,"India",$C$53:$C$318,$C26)/'Shared Summary by Dept_US$'!$B$31+SUMIFS(J$53:J$318,$A$53:$A$318,"INDO",$C$53:$C$318,$C26)/'Shared Summary by Dept_US$'!$B$32+SUMIFS(J$53:J$318,$A$53:$A$318,"BD",$C$53:$C$318,$C26)/'Shared Summary by Dept_US$'!$B$33+SUMIFS(J$53:J$318,$A$53:$A$318,"Nepal",$C$53:$C$318,$C26)/'Shared Summary by Dept_US$'!$B$34+SUMIFS(J$53:J$318,$A$53:$A$318,"US",$C$53:$C$318,$C26)/'Shared Summary by Dept_US$'!$B$35</f>
        <v>0</v>
      </c>
      <c r="K26" s="71">
        <f ca="1">SUMIFS(K$53:K$318,$A$53:$A$318,"India",$C$53:$C$318,$C26)/'Shared Summary by Dept_US$'!$B$31+SUMIFS(K$53:K$318,$A$53:$A$318,"INDO",$C$53:$C$318,$C26)/'Shared Summary by Dept_US$'!$B$32+SUMIFS(K$53:K$318,$A$53:$A$318,"BD",$C$53:$C$318,$C26)/'Shared Summary by Dept_US$'!$B$33+SUMIFS(K$53:K$318,$A$53:$A$318,"Nepal",$C$53:$C$318,$C26)/'Shared Summary by Dept_US$'!$B$34+SUMIFS(K$53:K$318,$A$53:$A$318,"US",$C$53:$C$318,$C26)/'Shared Summary by Dept_US$'!$B$35</f>
        <v>0</v>
      </c>
      <c r="L26" s="71">
        <f ca="1">SUMIFS(L$53:L$318,$A$53:$A$318,"India",$C$53:$C$318,$C26)/'Shared Summary by Dept_US$'!$B$31+SUMIFS(L$53:L$318,$A$53:$A$318,"INDO",$C$53:$C$318,$C26)/'Shared Summary by Dept_US$'!$B$32+SUMIFS(L$53:L$318,$A$53:$A$318,"BD",$C$53:$C$318,$C26)/'Shared Summary by Dept_US$'!$B$33+SUMIFS(L$53:L$318,$A$53:$A$318,"Nepal",$C$53:$C$318,$C26)/'Shared Summary by Dept_US$'!$B$34+SUMIFS(L$53:L$318,$A$53:$A$318,"US",$C$53:$C$318,$C26)/'Shared Summary by Dept_US$'!$B$35</f>
        <v>0</v>
      </c>
      <c r="M26" s="71">
        <f ca="1">SUMIFS(M$53:M$318,$A$53:$A$318,"India",$C$53:$C$318,$C26)/'Shared Summary by Dept_US$'!$B$31+SUMIFS(M$53:M$318,$A$53:$A$318,"INDO",$C$53:$C$318,$C26)/'Shared Summary by Dept_US$'!$B$32+SUMIFS(M$53:M$318,$A$53:$A$318,"BD",$C$53:$C$318,$C26)/'Shared Summary by Dept_US$'!$B$33+SUMIFS(M$53:M$318,$A$53:$A$318,"Nepal",$C$53:$C$318,$C26)/'Shared Summary by Dept_US$'!$B$34+SUMIFS(M$53:M$318,$A$53:$A$318,"US",$C$53:$C$318,$C26)/'Shared Summary by Dept_US$'!$B$35</f>
        <v>0</v>
      </c>
      <c r="N26" s="71">
        <f ca="1">SUMIFS(N$53:N$318,$A$53:$A$318,"India",$C$53:$C$318,$C26)/'Shared Summary by Dept_US$'!$B$31+SUMIFS(N$53:N$318,$A$53:$A$318,"INDO",$C$53:$C$318,$C26)/'Shared Summary by Dept_US$'!$B$32+SUMIFS(N$53:N$318,$A$53:$A$318,"BD",$C$53:$C$318,$C26)/'Shared Summary by Dept_US$'!$B$33+SUMIFS(N$53:N$318,$A$53:$A$318,"Nepal",$C$53:$C$318,$C26)/'Shared Summary by Dept_US$'!$B$34+SUMIFS(N$53:N$318,$A$53:$A$318,"US",$C$53:$C$318,$C26)/'Shared Summary by Dept_US$'!$B$35</f>
        <v>0</v>
      </c>
      <c r="O26" s="71">
        <f ca="1">SUMIFS(O$53:O$318,$A$53:$A$318,"India",$C$53:$C$318,$C26)/'Shared Summary by Dept_US$'!$B$31+SUMIFS(O$53:O$318,$A$53:$A$318,"INDO",$C$53:$C$318,$C26)/'Shared Summary by Dept_US$'!$B$32+SUMIFS(O$53:O$318,$A$53:$A$318,"BD",$C$53:$C$318,$C26)/'Shared Summary by Dept_US$'!$B$33+SUMIFS(O$53:O$318,$A$53:$A$318,"Nepal",$C$53:$C$318,$C26)/'Shared Summary by Dept_US$'!$B$34+SUMIFS(O$53:O$318,$A$53:$A$318,"US",$C$53:$C$318,$C26)/'Shared Summary by Dept_US$'!$B$35</f>
        <v>0</v>
      </c>
      <c r="P26" s="71">
        <f ca="1">SUMIFS(P$53:P$318,$A$53:$A$318,"India",$C$53:$C$318,$C26)/'Shared Summary by Dept_US$'!$B$31+SUMIFS(P$53:P$318,$A$53:$A$318,"INDO",$C$53:$C$318,$C26)/'Shared Summary by Dept_US$'!$B$32+SUMIFS(P$53:P$318,$A$53:$A$318,"BD",$C$53:$C$318,$C26)/'Shared Summary by Dept_US$'!$B$33+SUMIFS(P$53:P$318,$A$53:$A$318,"Nepal",$C$53:$C$318,$C26)/'Shared Summary by Dept_US$'!$B$34+SUMIFS(P$53:P$318,$A$53:$A$318,"US",$C$53:$C$318,$C26)/'Shared Summary by Dept_US$'!$B$35</f>
        <v>0</v>
      </c>
      <c r="Q26" s="71">
        <f ca="1">SUMIFS(Q$53:Q$318,$A$53:$A$318,"India",$C$53:$C$318,$C26)/'Shared Summary by Dept_US$'!$B$31+SUMIFS(Q$53:Q$318,$A$53:$A$318,"INDO",$C$53:$C$318,$C26)/'Shared Summary by Dept_US$'!$B$32+SUMIFS(Q$53:Q$318,$A$53:$A$318,"BD",$C$53:$C$318,$C26)/'Shared Summary by Dept_US$'!$B$33+SUMIFS(Q$53:Q$318,$A$53:$A$318,"Nepal",$C$53:$C$318,$C26)/'Shared Summary by Dept_US$'!$B$34+SUMIFS(Q$53:Q$318,$A$53:$A$318,"US",$C$53:$C$318,$C26)/'Shared Summary by Dept_US$'!$B$35</f>
        <v>0</v>
      </c>
      <c r="S26" s="106"/>
      <c r="T26" s="107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ht="15.75" customHeight="1" x14ac:dyDescent="0.85">
      <c r="A27" s="32" t="s">
        <v>35</v>
      </c>
      <c r="B27" s="108" t="s">
        <v>105</v>
      </c>
      <c r="C27" s="109" t="s">
        <v>113</v>
      </c>
      <c r="D27" s="110">
        <v>93404</v>
      </c>
      <c r="E27" s="111">
        <f t="shared" ca="1" si="0"/>
        <v>218.39080459770119</v>
      </c>
      <c r="F27" s="71">
        <f ca="1">SUMIFS(F$53:F$318,$A$53:$A$318,"India",$C$53:$C$318,$C27)/'Shared Summary by Dept_US$'!$B$31+SUMIFS(F$53:F$318,$A$53:$A$318,"INDO",$C$53:$C$318,$C27)/'Shared Summary by Dept_US$'!$B$32+SUMIFS(F$53:F$318,$A$53:$A$318,"BD",$C$53:$C$318,$C27)/'Shared Summary by Dept_US$'!$B$33+SUMIFS(F$53:F$318,$A$53:$A$318,"Nepal",$C$53:$C$318,$C27)/'Shared Summary by Dept_US$'!$B$34+SUMIFS(F$53:F$318,$A$53:$A$318,"US",$C$53:$C$318,$C27)/'Shared Summary by Dept_US$'!$B$35</f>
        <v>0</v>
      </c>
      <c r="G27" s="71">
        <f ca="1">SUMIFS(G$53:G$318,$A$53:$A$318,"India",$C$53:$C$318,$C27)/'Shared Summary by Dept_US$'!$B$31+SUMIFS(G$53:G$318,$A$53:$A$318,"INDO",$C$53:$C$318,$C27)/'Shared Summary by Dept_US$'!$B$32+SUMIFS(G$53:G$318,$A$53:$A$318,"BD",$C$53:$C$318,$C27)/'Shared Summary by Dept_US$'!$B$33+SUMIFS(G$53:G$318,$A$53:$A$318,"Nepal",$C$53:$C$318,$C27)/'Shared Summary by Dept_US$'!$B$34+SUMIFS(G$53:G$318,$A$53:$A$318,"US",$C$53:$C$318,$C27)/'Shared Summary by Dept_US$'!$B$35</f>
        <v>11.494252873563218</v>
      </c>
      <c r="H27" s="71">
        <f ca="1">SUMIFS(H$53:H$318,$A$53:$A$318,"India",$C$53:$C$318,$C27)/'Shared Summary by Dept_US$'!$B$31+SUMIFS(H$53:H$318,$A$53:$A$318,"INDO",$C$53:$C$318,$C27)/'Shared Summary by Dept_US$'!$B$32+SUMIFS(H$53:H$318,$A$53:$A$318,"BD",$C$53:$C$318,$C27)/'Shared Summary by Dept_US$'!$B$33+SUMIFS(H$53:H$318,$A$53:$A$318,"Nepal",$C$53:$C$318,$C27)/'Shared Summary by Dept_US$'!$B$34+SUMIFS(H$53:H$318,$A$53:$A$318,"US",$C$53:$C$318,$C27)/'Shared Summary by Dept_US$'!$B$35</f>
        <v>11.494252873563218</v>
      </c>
      <c r="I27" s="71">
        <f ca="1">SUMIFS(I$53:I$318,$A$53:$A$318,"India",$C$53:$C$318,$C27)/'Shared Summary by Dept_US$'!$B$31+SUMIFS(I$53:I$318,$A$53:$A$318,"INDO",$C$53:$C$318,$C27)/'Shared Summary by Dept_US$'!$B$32+SUMIFS(I$53:I$318,$A$53:$A$318,"BD",$C$53:$C$318,$C27)/'Shared Summary by Dept_US$'!$B$33+SUMIFS(I$53:I$318,$A$53:$A$318,"Nepal",$C$53:$C$318,$C27)/'Shared Summary by Dept_US$'!$B$34+SUMIFS(I$53:I$318,$A$53:$A$318,"US",$C$53:$C$318,$C27)/'Shared Summary by Dept_US$'!$B$35</f>
        <v>11.494252873563218</v>
      </c>
      <c r="J27" s="71">
        <f ca="1">SUMIFS(J$53:J$318,$A$53:$A$318,"India",$C$53:$C$318,$C27)/'Shared Summary by Dept_US$'!$B$31+SUMIFS(J$53:J$318,$A$53:$A$318,"INDO",$C$53:$C$318,$C27)/'Shared Summary by Dept_US$'!$B$32+SUMIFS(J$53:J$318,$A$53:$A$318,"BD",$C$53:$C$318,$C27)/'Shared Summary by Dept_US$'!$B$33+SUMIFS(J$53:J$318,$A$53:$A$318,"Nepal",$C$53:$C$318,$C27)/'Shared Summary by Dept_US$'!$B$34+SUMIFS(J$53:J$318,$A$53:$A$318,"US",$C$53:$C$318,$C27)/'Shared Summary by Dept_US$'!$B$35</f>
        <v>103.44827586206897</v>
      </c>
      <c r="K27" s="71">
        <f ca="1">SUMIFS(K$53:K$318,$A$53:$A$318,"India",$C$53:$C$318,$C27)/'Shared Summary by Dept_US$'!$B$31+SUMIFS(K$53:K$318,$A$53:$A$318,"INDO",$C$53:$C$318,$C27)/'Shared Summary by Dept_US$'!$B$32+SUMIFS(K$53:K$318,$A$53:$A$318,"BD",$C$53:$C$318,$C27)/'Shared Summary by Dept_US$'!$B$33+SUMIFS(K$53:K$318,$A$53:$A$318,"Nepal",$C$53:$C$318,$C27)/'Shared Summary by Dept_US$'!$B$34+SUMIFS(K$53:K$318,$A$53:$A$318,"US",$C$53:$C$318,$C27)/'Shared Summary by Dept_US$'!$B$35</f>
        <v>11.494252873563218</v>
      </c>
      <c r="L27" s="71">
        <f ca="1">SUMIFS(L$53:L$318,$A$53:$A$318,"India",$C$53:$C$318,$C27)/'Shared Summary by Dept_US$'!$B$31+SUMIFS(L$53:L$318,$A$53:$A$318,"INDO",$C$53:$C$318,$C27)/'Shared Summary by Dept_US$'!$B$32+SUMIFS(L$53:L$318,$A$53:$A$318,"BD",$C$53:$C$318,$C27)/'Shared Summary by Dept_US$'!$B$33+SUMIFS(L$53:L$318,$A$53:$A$318,"Nepal",$C$53:$C$318,$C27)/'Shared Summary by Dept_US$'!$B$34+SUMIFS(L$53:L$318,$A$53:$A$318,"US",$C$53:$C$318,$C27)/'Shared Summary by Dept_US$'!$B$35</f>
        <v>11.494252873563218</v>
      </c>
      <c r="M27" s="71">
        <f ca="1">SUMIFS(M$53:M$318,$A$53:$A$318,"India",$C$53:$C$318,$C27)/'Shared Summary by Dept_US$'!$B$31+SUMIFS(M$53:M$318,$A$53:$A$318,"INDO",$C$53:$C$318,$C27)/'Shared Summary by Dept_US$'!$B$32+SUMIFS(M$53:M$318,$A$53:$A$318,"BD",$C$53:$C$318,$C27)/'Shared Summary by Dept_US$'!$B$33+SUMIFS(M$53:M$318,$A$53:$A$318,"Nepal",$C$53:$C$318,$C27)/'Shared Summary by Dept_US$'!$B$34+SUMIFS(M$53:M$318,$A$53:$A$318,"US",$C$53:$C$318,$C27)/'Shared Summary by Dept_US$'!$B$35</f>
        <v>11.494252873563218</v>
      </c>
      <c r="N27" s="71">
        <f ca="1">SUMIFS(N$53:N$318,$A$53:$A$318,"India",$C$53:$C$318,$C27)/'Shared Summary by Dept_US$'!$B$31+SUMIFS(N$53:N$318,$A$53:$A$318,"INDO",$C$53:$C$318,$C27)/'Shared Summary by Dept_US$'!$B$32+SUMIFS(N$53:N$318,$A$53:$A$318,"BD",$C$53:$C$318,$C27)/'Shared Summary by Dept_US$'!$B$33+SUMIFS(N$53:N$318,$A$53:$A$318,"Nepal",$C$53:$C$318,$C27)/'Shared Summary by Dept_US$'!$B$34+SUMIFS(N$53:N$318,$A$53:$A$318,"US",$C$53:$C$318,$C27)/'Shared Summary by Dept_US$'!$B$35</f>
        <v>11.494252873563218</v>
      </c>
      <c r="O27" s="71">
        <f ca="1">SUMIFS(O$53:O$318,$A$53:$A$318,"India",$C$53:$C$318,$C27)/'Shared Summary by Dept_US$'!$B$31+SUMIFS(O$53:O$318,$A$53:$A$318,"INDO",$C$53:$C$318,$C27)/'Shared Summary by Dept_US$'!$B$32+SUMIFS(O$53:O$318,$A$53:$A$318,"BD",$C$53:$C$318,$C27)/'Shared Summary by Dept_US$'!$B$33+SUMIFS(O$53:O$318,$A$53:$A$318,"Nepal",$C$53:$C$318,$C27)/'Shared Summary by Dept_US$'!$B$34+SUMIFS(O$53:O$318,$A$53:$A$318,"US",$C$53:$C$318,$C27)/'Shared Summary by Dept_US$'!$B$35</f>
        <v>11.494252873563218</v>
      </c>
      <c r="P27" s="71">
        <f ca="1">SUMIFS(P$53:P$318,$A$53:$A$318,"India",$C$53:$C$318,$C27)/'Shared Summary by Dept_US$'!$B$31+SUMIFS(P$53:P$318,$A$53:$A$318,"INDO",$C$53:$C$318,$C27)/'Shared Summary by Dept_US$'!$B$32+SUMIFS(P$53:P$318,$A$53:$A$318,"BD",$C$53:$C$318,$C27)/'Shared Summary by Dept_US$'!$B$33+SUMIFS(P$53:P$318,$A$53:$A$318,"Nepal",$C$53:$C$318,$C27)/'Shared Summary by Dept_US$'!$B$34+SUMIFS(P$53:P$318,$A$53:$A$318,"US",$C$53:$C$318,$C27)/'Shared Summary by Dept_US$'!$B$35</f>
        <v>11.494252873563218</v>
      </c>
      <c r="Q27" s="71">
        <f ca="1">SUMIFS(Q$53:Q$318,$A$53:$A$318,"India",$C$53:$C$318,$C27)/'Shared Summary by Dept_US$'!$B$31+SUMIFS(Q$53:Q$318,$A$53:$A$318,"INDO",$C$53:$C$318,$C27)/'Shared Summary by Dept_US$'!$B$32+SUMIFS(Q$53:Q$318,$A$53:$A$318,"BD",$C$53:$C$318,$C27)/'Shared Summary by Dept_US$'!$B$33+SUMIFS(Q$53:Q$318,$A$53:$A$318,"Nepal",$C$53:$C$318,$C27)/'Shared Summary by Dept_US$'!$B$34+SUMIFS(Q$53:Q$318,$A$53:$A$318,"US",$C$53:$C$318,$C27)/'Shared Summary by Dept_US$'!$B$35</f>
        <v>11.494252873563218</v>
      </c>
      <c r="S27" s="106"/>
      <c r="T27" s="107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ht="15.75" customHeight="1" x14ac:dyDescent="0.85">
      <c r="A28" s="32" t="s">
        <v>35</v>
      </c>
      <c r="B28" s="108" t="s">
        <v>105</v>
      </c>
      <c r="C28" s="109" t="s">
        <v>114</v>
      </c>
      <c r="D28" s="110">
        <v>93405</v>
      </c>
      <c r="E28" s="111">
        <f t="shared" ca="1" si="0"/>
        <v>0</v>
      </c>
      <c r="F28" s="71">
        <f ca="1">SUMIFS(F$53:F$318,$A$53:$A$318,"India",$C$53:$C$318,$C28)/'Shared Summary by Dept_US$'!$B$31+SUMIFS(F$53:F$318,$A$53:$A$318,"INDO",$C$53:$C$318,$C28)/'Shared Summary by Dept_US$'!$B$32+SUMIFS(F$53:F$318,$A$53:$A$318,"BD",$C$53:$C$318,$C28)/'Shared Summary by Dept_US$'!$B$33+SUMIFS(F$53:F$318,$A$53:$A$318,"Nepal",$C$53:$C$318,$C28)/'Shared Summary by Dept_US$'!$B$34+SUMIFS(F$53:F$318,$A$53:$A$318,"US",$C$53:$C$318,$C28)/'Shared Summary by Dept_US$'!$B$35</f>
        <v>0</v>
      </c>
      <c r="G28" s="71">
        <f ca="1">SUMIFS(G$53:G$318,$A$53:$A$318,"India",$C$53:$C$318,$C28)/'Shared Summary by Dept_US$'!$B$31+SUMIFS(G$53:G$318,$A$53:$A$318,"INDO",$C$53:$C$318,$C28)/'Shared Summary by Dept_US$'!$B$32+SUMIFS(G$53:G$318,$A$53:$A$318,"BD",$C$53:$C$318,$C28)/'Shared Summary by Dept_US$'!$B$33+SUMIFS(G$53:G$318,$A$53:$A$318,"Nepal",$C$53:$C$318,$C28)/'Shared Summary by Dept_US$'!$B$34+SUMIFS(G$53:G$318,$A$53:$A$318,"US",$C$53:$C$318,$C28)/'Shared Summary by Dept_US$'!$B$35</f>
        <v>0</v>
      </c>
      <c r="H28" s="71">
        <f ca="1">SUMIFS(H$53:H$318,$A$53:$A$318,"India",$C$53:$C$318,$C28)/'Shared Summary by Dept_US$'!$B$31+SUMIFS(H$53:H$318,$A$53:$A$318,"INDO",$C$53:$C$318,$C28)/'Shared Summary by Dept_US$'!$B$32+SUMIFS(H$53:H$318,$A$53:$A$318,"BD",$C$53:$C$318,$C28)/'Shared Summary by Dept_US$'!$B$33+SUMIFS(H$53:H$318,$A$53:$A$318,"Nepal",$C$53:$C$318,$C28)/'Shared Summary by Dept_US$'!$B$34+SUMIFS(H$53:H$318,$A$53:$A$318,"US",$C$53:$C$318,$C28)/'Shared Summary by Dept_US$'!$B$35</f>
        <v>0</v>
      </c>
      <c r="I28" s="71">
        <f ca="1">SUMIFS(I$53:I$318,$A$53:$A$318,"India",$C$53:$C$318,$C28)/'Shared Summary by Dept_US$'!$B$31+SUMIFS(I$53:I$318,$A$53:$A$318,"INDO",$C$53:$C$318,$C28)/'Shared Summary by Dept_US$'!$B$32+SUMIFS(I$53:I$318,$A$53:$A$318,"BD",$C$53:$C$318,$C28)/'Shared Summary by Dept_US$'!$B$33+SUMIFS(I$53:I$318,$A$53:$A$318,"Nepal",$C$53:$C$318,$C28)/'Shared Summary by Dept_US$'!$B$34+SUMIFS(I$53:I$318,$A$53:$A$318,"US",$C$53:$C$318,$C28)/'Shared Summary by Dept_US$'!$B$35</f>
        <v>0</v>
      </c>
      <c r="J28" s="71">
        <f ca="1">SUMIFS(J$53:J$318,$A$53:$A$318,"India",$C$53:$C$318,$C28)/'Shared Summary by Dept_US$'!$B$31+SUMIFS(J$53:J$318,$A$53:$A$318,"INDO",$C$53:$C$318,$C28)/'Shared Summary by Dept_US$'!$B$32+SUMIFS(J$53:J$318,$A$53:$A$318,"BD",$C$53:$C$318,$C28)/'Shared Summary by Dept_US$'!$B$33+SUMIFS(J$53:J$318,$A$53:$A$318,"Nepal",$C$53:$C$318,$C28)/'Shared Summary by Dept_US$'!$B$34+SUMIFS(J$53:J$318,$A$53:$A$318,"US",$C$53:$C$318,$C28)/'Shared Summary by Dept_US$'!$B$35</f>
        <v>0</v>
      </c>
      <c r="K28" s="71">
        <f ca="1">SUMIFS(K$53:K$318,$A$53:$A$318,"India",$C$53:$C$318,$C28)/'Shared Summary by Dept_US$'!$B$31+SUMIFS(K$53:K$318,$A$53:$A$318,"INDO",$C$53:$C$318,$C28)/'Shared Summary by Dept_US$'!$B$32+SUMIFS(K$53:K$318,$A$53:$A$318,"BD",$C$53:$C$318,$C28)/'Shared Summary by Dept_US$'!$B$33+SUMIFS(K$53:K$318,$A$53:$A$318,"Nepal",$C$53:$C$318,$C28)/'Shared Summary by Dept_US$'!$B$34+SUMIFS(K$53:K$318,$A$53:$A$318,"US",$C$53:$C$318,$C28)/'Shared Summary by Dept_US$'!$B$35</f>
        <v>0</v>
      </c>
      <c r="L28" s="71">
        <f ca="1">SUMIFS(L$53:L$318,$A$53:$A$318,"India",$C$53:$C$318,$C28)/'Shared Summary by Dept_US$'!$B$31+SUMIFS(L$53:L$318,$A$53:$A$318,"INDO",$C$53:$C$318,$C28)/'Shared Summary by Dept_US$'!$B$32+SUMIFS(L$53:L$318,$A$53:$A$318,"BD",$C$53:$C$318,$C28)/'Shared Summary by Dept_US$'!$B$33+SUMIFS(L$53:L$318,$A$53:$A$318,"Nepal",$C$53:$C$318,$C28)/'Shared Summary by Dept_US$'!$B$34+SUMIFS(L$53:L$318,$A$53:$A$318,"US",$C$53:$C$318,$C28)/'Shared Summary by Dept_US$'!$B$35</f>
        <v>0</v>
      </c>
      <c r="M28" s="71">
        <f ca="1">SUMIFS(M$53:M$318,$A$53:$A$318,"India",$C$53:$C$318,$C28)/'Shared Summary by Dept_US$'!$B$31+SUMIFS(M$53:M$318,$A$53:$A$318,"INDO",$C$53:$C$318,$C28)/'Shared Summary by Dept_US$'!$B$32+SUMIFS(M$53:M$318,$A$53:$A$318,"BD",$C$53:$C$318,$C28)/'Shared Summary by Dept_US$'!$B$33+SUMIFS(M$53:M$318,$A$53:$A$318,"Nepal",$C$53:$C$318,$C28)/'Shared Summary by Dept_US$'!$B$34+SUMIFS(M$53:M$318,$A$53:$A$318,"US",$C$53:$C$318,$C28)/'Shared Summary by Dept_US$'!$B$35</f>
        <v>0</v>
      </c>
      <c r="N28" s="71">
        <f ca="1">SUMIFS(N$53:N$318,$A$53:$A$318,"India",$C$53:$C$318,$C28)/'Shared Summary by Dept_US$'!$B$31+SUMIFS(N$53:N$318,$A$53:$A$318,"INDO",$C$53:$C$318,$C28)/'Shared Summary by Dept_US$'!$B$32+SUMIFS(N$53:N$318,$A$53:$A$318,"BD",$C$53:$C$318,$C28)/'Shared Summary by Dept_US$'!$B$33+SUMIFS(N$53:N$318,$A$53:$A$318,"Nepal",$C$53:$C$318,$C28)/'Shared Summary by Dept_US$'!$B$34+SUMIFS(N$53:N$318,$A$53:$A$318,"US",$C$53:$C$318,$C28)/'Shared Summary by Dept_US$'!$B$35</f>
        <v>0</v>
      </c>
      <c r="O28" s="71">
        <f ca="1">SUMIFS(O$53:O$318,$A$53:$A$318,"India",$C$53:$C$318,$C28)/'Shared Summary by Dept_US$'!$B$31+SUMIFS(O$53:O$318,$A$53:$A$318,"INDO",$C$53:$C$318,$C28)/'Shared Summary by Dept_US$'!$B$32+SUMIFS(O$53:O$318,$A$53:$A$318,"BD",$C$53:$C$318,$C28)/'Shared Summary by Dept_US$'!$B$33+SUMIFS(O$53:O$318,$A$53:$A$318,"Nepal",$C$53:$C$318,$C28)/'Shared Summary by Dept_US$'!$B$34+SUMIFS(O$53:O$318,$A$53:$A$318,"US",$C$53:$C$318,$C28)/'Shared Summary by Dept_US$'!$B$35</f>
        <v>0</v>
      </c>
      <c r="P28" s="71">
        <f ca="1">SUMIFS(P$53:P$318,$A$53:$A$318,"India",$C$53:$C$318,$C28)/'Shared Summary by Dept_US$'!$B$31+SUMIFS(P$53:P$318,$A$53:$A$318,"INDO",$C$53:$C$318,$C28)/'Shared Summary by Dept_US$'!$B$32+SUMIFS(P$53:P$318,$A$53:$A$318,"BD",$C$53:$C$318,$C28)/'Shared Summary by Dept_US$'!$B$33+SUMIFS(P$53:P$318,$A$53:$A$318,"Nepal",$C$53:$C$318,$C28)/'Shared Summary by Dept_US$'!$B$34+SUMIFS(P$53:P$318,$A$53:$A$318,"US",$C$53:$C$318,$C28)/'Shared Summary by Dept_US$'!$B$35</f>
        <v>0</v>
      </c>
      <c r="Q28" s="71">
        <f ca="1">SUMIFS(Q$53:Q$318,$A$53:$A$318,"India",$C$53:$C$318,$C28)/'Shared Summary by Dept_US$'!$B$31+SUMIFS(Q$53:Q$318,$A$53:$A$318,"INDO",$C$53:$C$318,$C28)/'Shared Summary by Dept_US$'!$B$32+SUMIFS(Q$53:Q$318,$A$53:$A$318,"BD",$C$53:$C$318,$C28)/'Shared Summary by Dept_US$'!$B$33+SUMIFS(Q$53:Q$318,$A$53:$A$318,"Nepal",$C$53:$C$318,$C28)/'Shared Summary by Dept_US$'!$B$34+SUMIFS(Q$53:Q$318,$A$53:$A$318,"US",$C$53:$C$318,$C28)/'Shared Summary by Dept_US$'!$B$35</f>
        <v>0</v>
      </c>
      <c r="S28" s="106"/>
      <c r="T28" s="107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ht="15.75" customHeight="1" x14ac:dyDescent="0.85">
      <c r="A29" s="32" t="s">
        <v>35</v>
      </c>
      <c r="B29" s="108" t="s">
        <v>105</v>
      </c>
      <c r="C29" s="109" t="s">
        <v>115</v>
      </c>
      <c r="D29" s="110">
        <v>93406</v>
      </c>
      <c r="E29" s="111">
        <f t="shared" ca="1" si="0"/>
        <v>0</v>
      </c>
      <c r="F29" s="71">
        <f ca="1">SUMIFS(F$53:F$318,$A$53:$A$318,"India",$C$53:$C$318,$C29)/'Shared Summary by Dept_US$'!$B$31+SUMIFS(F$53:F$318,$A$53:$A$318,"INDO",$C$53:$C$318,$C29)/'Shared Summary by Dept_US$'!$B$32+SUMIFS(F$53:F$318,$A$53:$A$318,"BD",$C$53:$C$318,$C29)/'Shared Summary by Dept_US$'!$B$33+SUMIFS(F$53:F$318,$A$53:$A$318,"Nepal",$C$53:$C$318,$C29)/'Shared Summary by Dept_US$'!$B$34+SUMIFS(F$53:F$318,$A$53:$A$318,"US",$C$53:$C$318,$C29)/'Shared Summary by Dept_US$'!$B$35</f>
        <v>0</v>
      </c>
      <c r="G29" s="71">
        <f ca="1">SUMIFS(G$53:G$318,$A$53:$A$318,"India",$C$53:$C$318,$C29)/'Shared Summary by Dept_US$'!$B$31+SUMIFS(G$53:G$318,$A$53:$A$318,"INDO",$C$53:$C$318,$C29)/'Shared Summary by Dept_US$'!$B$32+SUMIFS(G$53:G$318,$A$53:$A$318,"BD",$C$53:$C$318,$C29)/'Shared Summary by Dept_US$'!$B$33+SUMIFS(G$53:G$318,$A$53:$A$318,"Nepal",$C$53:$C$318,$C29)/'Shared Summary by Dept_US$'!$B$34+SUMIFS(G$53:G$318,$A$53:$A$318,"US",$C$53:$C$318,$C29)/'Shared Summary by Dept_US$'!$B$35</f>
        <v>0</v>
      </c>
      <c r="H29" s="71">
        <f ca="1">SUMIFS(H$53:H$318,$A$53:$A$318,"India",$C$53:$C$318,$C29)/'Shared Summary by Dept_US$'!$B$31+SUMIFS(H$53:H$318,$A$53:$A$318,"INDO",$C$53:$C$318,$C29)/'Shared Summary by Dept_US$'!$B$32+SUMIFS(H$53:H$318,$A$53:$A$318,"BD",$C$53:$C$318,$C29)/'Shared Summary by Dept_US$'!$B$33+SUMIFS(H$53:H$318,$A$53:$A$318,"Nepal",$C$53:$C$318,$C29)/'Shared Summary by Dept_US$'!$B$34+SUMIFS(H$53:H$318,$A$53:$A$318,"US",$C$53:$C$318,$C29)/'Shared Summary by Dept_US$'!$B$35</f>
        <v>0</v>
      </c>
      <c r="I29" s="71">
        <f ca="1">SUMIFS(I$53:I$318,$A$53:$A$318,"India",$C$53:$C$318,$C29)/'Shared Summary by Dept_US$'!$B$31+SUMIFS(I$53:I$318,$A$53:$A$318,"INDO",$C$53:$C$318,$C29)/'Shared Summary by Dept_US$'!$B$32+SUMIFS(I$53:I$318,$A$53:$A$318,"BD",$C$53:$C$318,$C29)/'Shared Summary by Dept_US$'!$B$33+SUMIFS(I$53:I$318,$A$53:$A$318,"Nepal",$C$53:$C$318,$C29)/'Shared Summary by Dept_US$'!$B$34+SUMIFS(I$53:I$318,$A$53:$A$318,"US",$C$53:$C$318,$C29)/'Shared Summary by Dept_US$'!$B$35</f>
        <v>0</v>
      </c>
      <c r="J29" s="71">
        <f ca="1">SUMIFS(J$53:J$318,$A$53:$A$318,"India",$C$53:$C$318,$C29)/'Shared Summary by Dept_US$'!$B$31+SUMIFS(J$53:J$318,$A$53:$A$318,"INDO",$C$53:$C$318,$C29)/'Shared Summary by Dept_US$'!$B$32+SUMIFS(J$53:J$318,$A$53:$A$318,"BD",$C$53:$C$318,$C29)/'Shared Summary by Dept_US$'!$B$33+SUMIFS(J$53:J$318,$A$53:$A$318,"Nepal",$C$53:$C$318,$C29)/'Shared Summary by Dept_US$'!$B$34+SUMIFS(J$53:J$318,$A$53:$A$318,"US",$C$53:$C$318,$C29)/'Shared Summary by Dept_US$'!$B$35</f>
        <v>0</v>
      </c>
      <c r="K29" s="71">
        <f ca="1">SUMIFS(K$53:K$318,$A$53:$A$318,"India",$C$53:$C$318,$C29)/'Shared Summary by Dept_US$'!$B$31+SUMIFS(K$53:K$318,$A$53:$A$318,"INDO",$C$53:$C$318,$C29)/'Shared Summary by Dept_US$'!$B$32+SUMIFS(K$53:K$318,$A$53:$A$318,"BD",$C$53:$C$318,$C29)/'Shared Summary by Dept_US$'!$B$33+SUMIFS(K$53:K$318,$A$53:$A$318,"Nepal",$C$53:$C$318,$C29)/'Shared Summary by Dept_US$'!$B$34+SUMIFS(K$53:K$318,$A$53:$A$318,"US",$C$53:$C$318,$C29)/'Shared Summary by Dept_US$'!$B$35</f>
        <v>0</v>
      </c>
      <c r="L29" s="71">
        <f ca="1">SUMIFS(L$53:L$318,$A$53:$A$318,"India",$C$53:$C$318,$C29)/'Shared Summary by Dept_US$'!$B$31+SUMIFS(L$53:L$318,$A$53:$A$318,"INDO",$C$53:$C$318,$C29)/'Shared Summary by Dept_US$'!$B$32+SUMIFS(L$53:L$318,$A$53:$A$318,"BD",$C$53:$C$318,$C29)/'Shared Summary by Dept_US$'!$B$33+SUMIFS(L$53:L$318,$A$53:$A$318,"Nepal",$C$53:$C$318,$C29)/'Shared Summary by Dept_US$'!$B$34+SUMIFS(L$53:L$318,$A$53:$A$318,"US",$C$53:$C$318,$C29)/'Shared Summary by Dept_US$'!$B$35</f>
        <v>0</v>
      </c>
      <c r="M29" s="71">
        <f ca="1">SUMIFS(M$53:M$318,$A$53:$A$318,"India",$C$53:$C$318,$C29)/'Shared Summary by Dept_US$'!$B$31+SUMIFS(M$53:M$318,$A$53:$A$318,"INDO",$C$53:$C$318,$C29)/'Shared Summary by Dept_US$'!$B$32+SUMIFS(M$53:M$318,$A$53:$A$318,"BD",$C$53:$C$318,$C29)/'Shared Summary by Dept_US$'!$B$33+SUMIFS(M$53:M$318,$A$53:$A$318,"Nepal",$C$53:$C$318,$C29)/'Shared Summary by Dept_US$'!$B$34+SUMIFS(M$53:M$318,$A$53:$A$318,"US",$C$53:$C$318,$C29)/'Shared Summary by Dept_US$'!$B$35</f>
        <v>0</v>
      </c>
      <c r="N29" s="71">
        <f ca="1">SUMIFS(N$53:N$318,$A$53:$A$318,"India",$C$53:$C$318,$C29)/'Shared Summary by Dept_US$'!$B$31+SUMIFS(N$53:N$318,$A$53:$A$318,"INDO",$C$53:$C$318,$C29)/'Shared Summary by Dept_US$'!$B$32+SUMIFS(N$53:N$318,$A$53:$A$318,"BD",$C$53:$C$318,$C29)/'Shared Summary by Dept_US$'!$B$33+SUMIFS(N$53:N$318,$A$53:$A$318,"Nepal",$C$53:$C$318,$C29)/'Shared Summary by Dept_US$'!$B$34+SUMIFS(N$53:N$318,$A$53:$A$318,"US",$C$53:$C$318,$C29)/'Shared Summary by Dept_US$'!$B$35</f>
        <v>0</v>
      </c>
      <c r="O29" s="71">
        <f ca="1">SUMIFS(O$53:O$318,$A$53:$A$318,"India",$C$53:$C$318,$C29)/'Shared Summary by Dept_US$'!$B$31+SUMIFS(O$53:O$318,$A$53:$A$318,"INDO",$C$53:$C$318,$C29)/'Shared Summary by Dept_US$'!$B$32+SUMIFS(O$53:O$318,$A$53:$A$318,"BD",$C$53:$C$318,$C29)/'Shared Summary by Dept_US$'!$B$33+SUMIFS(O$53:O$318,$A$53:$A$318,"Nepal",$C$53:$C$318,$C29)/'Shared Summary by Dept_US$'!$B$34+SUMIFS(O$53:O$318,$A$53:$A$318,"US",$C$53:$C$318,$C29)/'Shared Summary by Dept_US$'!$B$35</f>
        <v>0</v>
      </c>
      <c r="P29" s="71">
        <f ca="1">SUMIFS(P$53:P$318,$A$53:$A$318,"India",$C$53:$C$318,$C29)/'Shared Summary by Dept_US$'!$B$31+SUMIFS(P$53:P$318,$A$53:$A$318,"INDO",$C$53:$C$318,$C29)/'Shared Summary by Dept_US$'!$B$32+SUMIFS(P$53:P$318,$A$53:$A$318,"BD",$C$53:$C$318,$C29)/'Shared Summary by Dept_US$'!$B$33+SUMIFS(P$53:P$318,$A$53:$A$318,"Nepal",$C$53:$C$318,$C29)/'Shared Summary by Dept_US$'!$B$34+SUMIFS(P$53:P$318,$A$53:$A$318,"US",$C$53:$C$318,$C29)/'Shared Summary by Dept_US$'!$B$35</f>
        <v>0</v>
      </c>
      <c r="Q29" s="71">
        <f ca="1">SUMIFS(Q$53:Q$318,$A$53:$A$318,"India",$C$53:$C$318,$C29)/'Shared Summary by Dept_US$'!$B$31+SUMIFS(Q$53:Q$318,$A$53:$A$318,"INDO",$C$53:$C$318,$C29)/'Shared Summary by Dept_US$'!$B$32+SUMIFS(Q$53:Q$318,$A$53:$A$318,"BD",$C$53:$C$318,$C29)/'Shared Summary by Dept_US$'!$B$33+SUMIFS(Q$53:Q$318,$A$53:$A$318,"Nepal",$C$53:$C$318,$C29)/'Shared Summary by Dept_US$'!$B$34+SUMIFS(Q$53:Q$318,$A$53:$A$318,"US",$C$53:$C$318,$C29)/'Shared Summary by Dept_US$'!$B$35</f>
        <v>0</v>
      </c>
      <c r="S29" s="106"/>
      <c r="T29" s="107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spans="1:34" ht="15.75" customHeight="1" x14ac:dyDescent="0.85">
      <c r="A30" s="32" t="s">
        <v>35</v>
      </c>
      <c r="B30" s="108" t="s">
        <v>105</v>
      </c>
      <c r="C30" s="109" t="s">
        <v>117</v>
      </c>
      <c r="D30" s="110">
        <v>93407</v>
      </c>
      <c r="E30" s="111">
        <f t="shared" ca="1" si="0"/>
        <v>0</v>
      </c>
      <c r="F30" s="71">
        <f ca="1">SUMIFS(F$53:F$318,$A$53:$A$318,"India",$C$53:$C$318,$C30)/'Shared Summary by Dept_US$'!$B$31+SUMIFS(F$53:F$318,$A$53:$A$318,"INDO",$C$53:$C$318,$C30)/'Shared Summary by Dept_US$'!$B$32+SUMIFS(F$53:F$318,$A$53:$A$318,"BD",$C$53:$C$318,$C30)/'Shared Summary by Dept_US$'!$B$33+SUMIFS(F$53:F$318,$A$53:$A$318,"Nepal",$C$53:$C$318,$C30)/'Shared Summary by Dept_US$'!$B$34+SUMIFS(F$53:F$318,$A$53:$A$318,"US",$C$53:$C$318,$C30)/'Shared Summary by Dept_US$'!$B$35</f>
        <v>0</v>
      </c>
      <c r="G30" s="71">
        <f ca="1">SUMIFS(G$53:G$318,$A$53:$A$318,"India",$C$53:$C$318,$C30)/'Shared Summary by Dept_US$'!$B$31+SUMIFS(G$53:G$318,$A$53:$A$318,"INDO",$C$53:$C$318,$C30)/'Shared Summary by Dept_US$'!$B$32+SUMIFS(G$53:G$318,$A$53:$A$318,"BD",$C$53:$C$318,$C30)/'Shared Summary by Dept_US$'!$B$33+SUMIFS(G$53:G$318,$A$53:$A$318,"Nepal",$C$53:$C$318,$C30)/'Shared Summary by Dept_US$'!$B$34+SUMIFS(G$53:G$318,$A$53:$A$318,"US",$C$53:$C$318,$C30)/'Shared Summary by Dept_US$'!$B$35</f>
        <v>0</v>
      </c>
      <c r="H30" s="71">
        <f ca="1">SUMIFS(H$53:H$318,$A$53:$A$318,"India",$C$53:$C$318,$C30)/'Shared Summary by Dept_US$'!$B$31+SUMIFS(H$53:H$318,$A$53:$A$318,"INDO",$C$53:$C$318,$C30)/'Shared Summary by Dept_US$'!$B$32+SUMIFS(H$53:H$318,$A$53:$A$318,"BD",$C$53:$C$318,$C30)/'Shared Summary by Dept_US$'!$B$33+SUMIFS(H$53:H$318,$A$53:$A$318,"Nepal",$C$53:$C$318,$C30)/'Shared Summary by Dept_US$'!$B$34+SUMIFS(H$53:H$318,$A$53:$A$318,"US",$C$53:$C$318,$C30)/'Shared Summary by Dept_US$'!$B$35</f>
        <v>0</v>
      </c>
      <c r="I30" s="71">
        <f ca="1">SUMIFS(I$53:I$318,$A$53:$A$318,"India",$C$53:$C$318,$C30)/'Shared Summary by Dept_US$'!$B$31+SUMIFS(I$53:I$318,$A$53:$A$318,"INDO",$C$53:$C$318,$C30)/'Shared Summary by Dept_US$'!$B$32+SUMIFS(I$53:I$318,$A$53:$A$318,"BD",$C$53:$C$318,$C30)/'Shared Summary by Dept_US$'!$B$33+SUMIFS(I$53:I$318,$A$53:$A$318,"Nepal",$C$53:$C$318,$C30)/'Shared Summary by Dept_US$'!$B$34+SUMIFS(I$53:I$318,$A$53:$A$318,"US",$C$53:$C$318,$C30)/'Shared Summary by Dept_US$'!$B$35</f>
        <v>0</v>
      </c>
      <c r="J30" s="71">
        <f ca="1">SUMIFS(J$53:J$318,$A$53:$A$318,"India",$C$53:$C$318,$C30)/'Shared Summary by Dept_US$'!$B$31+SUMIFS(J$53:J$318,$A$53:$A$318,"INDO",$C$53:$C$318,$C30)/'Shared Summary by Dept_US$'!$B$32+SUMIFS(J$53:J$318,$A$53:$A$318,"BD",$C$53:$C$318,$C30)/'Shared Summary by Dept_US$'!$B$33+SUMIFS(J$53:J$318,$A$53:$A$318,"Nepal",$C$53:$C$318,$C30)/'Shared Summary by Dept_US$'!$B$34+SUMIFS(J$53:J$318,$A$53:$A$318,"US",$C$53:$C$318,$C30)/'Shared Summary by Dept_US$'!$B$35</f>
        <v>0</v>
      </c>
      <c r="K30" s="71">
        <f ca="1">SUMIFS(K$53:K$318,$A$53:$A$318,"India",$C$53:$C$318,$C30)/'Shared Summary by Dept_US$'!$B$31+SUMIFS(K$53:K$318,$A$53:$A$318,"INDO",$C$53:$C$318,$C30)/'Shared Summary by Dept_US$'!$B$32+SUMIFS(K$53:K$318,$A$53:$A$318,"BD",$C$53:$C$318,$C30)/'Shared Summary by Dept_US$'!$B$33+SUMIFS(K$53:K$318,$A$53:$A$318,"Nepal",$C$53:$C$318,$C30)/'Shared Summary by Dept_US$'!$B$34+SUMIFS(K$53:K$318,$A$53:$A$318,"US",$C$53:$C$318,$C30)/'Shared Summary by Dept_US$'!$B$35</f>
        <v>0</v>
      </c>
      <c r="L30" s="71">
        <f ca="1">SUMIFS(L$53:L$318,$A$53:$A$318,"India",$C$53:$C$318,$C30)/'Shared Summary by Dept_US$'!$B$31+SUMIFS(L$53:L$318,$A$53:$A$318,"INDO",$C$53:$C$318,$C30)/'Shared Summary by Dept_US$'!$B$32+SUMIFS(L$53:L$318,$A$53:$A$318,"BD",$C$53:$C$318,$C30)/'Shared Summary by Dept_US$'!$B$33+SUMIFS(L$53:L$318,$A$53:$A$318,"Nepal",$C$53:$C$318,$C30)/'Shared Summary by Dept_US$'!$B$34+SUMIFS(L$53:L$318,$A$53:$A$318,"US",$C$53:$C$318,$C30)/'Shared Summary by Dept_US$'!$B$35</f>
        <v>0</v>
      </c>
      <c r="M30" s="71">
        <f ca="1">SUMIFS(M$53:M$318,$A$53:$A$318,"India",$C$53:$C$318,$C30)/'Shared Summary by Dept_US$'!$B$31+SUMIFS(M$53:M$318,$A$53:$A$318,"INDO",$C$53:$C$318,$C30)/'Shared Summary by Dept_US$'!$B$32+SUMIFS(M$53:M$318,$A$53:$A$318,"BD",$C$53:$C$318,$C30)/'Shared Summary by Dept_US$'!$B$33+SUMIFS(M$53:M$318,$A$53:$A$318,"Nepal",$C$53:$C$318,$C30)/'Shared Summary by Dept_US$'!$B$34+SUMIFS(M$53:M$318,$A$53:$A$318,"US",$C$53:$C$318,$C30)/'Shared Summary by Dept_US$'!$B$35</f>
        <v>0</v>
      </c>
      <c r="N30" s="71">
        <f ca="1">SUMIFS(N$53:N$318,$A$53:$A$318,"India",$C$53:$C$318,$C30)/'Shared Summary by Dept_US$'!$B$31+SUMIFS(N$53:N$318,$A$53:$A$318,"INDO",$C$53:$C$318,$C30)/'Shared Summary by Dept_US$'!$B$32+SUMIFS(N$53:N$318,$A$53:$A$318,"BD",$C$53:$C$318,$C30)/'Shared Summary by Dept_US$'!$B$33+SUMIFS(N$53:N$318,$A$53:$A$318,"Nepal",$C$53:$C$318,$C30)/'Shared Summary by Dept_US$'!$B$34+SUMIFS(N$53:N$318,$A$53:$A$318,"US",$C$53:$C$318,$C30)/'Shared Summary by Dept_US$'!$B$35</f>
        <v>0</v>
      </c>
      <c r="O30" s="71">
        <f ca="1">SUMIFS(O$53:O$318,$A$53:$A$318,"India",$C$53:$C$318,$C30)/'Shared Summary by Dept_US$'!$B$31+SUMIFS(O$53:O$318,$A$53:$A$318,"INDO",$C$53:$C$318,$C30)/'Shared Summary by Dept_US$'!$B$32+SUMIFS(O$53:O$318,$A$53:$A$318,"BD",$C$53:$C$318,$C30)/'Shared Summary by Dept_US$'!$B$33+SUMIFS(O$53:O$318,$A$53:$A$318,"Nepal",$C$53:$C$318,$C30)/'Shared Summary by Dept_US$'!$B$34+SUMIFS(O$53:O$318,$A$53:$A$318,"US",$C$53:$C$318,$C30)/'Shared Summary by Dept_US$'!$B$35</f>
        <v>0</v>
      </c>
      <c r="P30" s="71">
        <f ca="1">SUMIFS(P$53:P$318,$A$53:$A$318,"India",$C$53:$C$318,$C30)/'Shared Summary by Dept_US$'!$B$31+SUMIFS(P$53:P$318,$A$53:$A$318,"INDO",$C$53:$C$318,$C30)/'Shared Summary by Dept_US$'!$B$32+SUMIFS(P$53:P$318,$A$53:$A$318,"BD",$C$53:$C$318,$C30)/'Shared Summary by Dept_US$'!$B$33+SUMIFS(P$53:P$318,$A$53:$A$318,"Nepal",$C$53:$C$318,$C30)/'Shared Summary by Dept_US$'!$B$34+SUMIFS(P$53:P$318,$A$53:$A$318,"US",$C$53:$C$318,$C30)/'Shared Summary by Dept_US$'!$B$35</f>
        <v>0</v>
      </c>
      <c r="Q30" s="71">
        <f ca="1">SUMIFS(Q$53:Q$318,$A$53:$A$318,"India",$C$53:$C$318,$C30)/'Shared Summary by Dept_US$'!$B$31+SUMIFS(Q$53:Q$318,$A$53:$A$318,"INDO",$C$53:$C$318,$C30)/'Shared Summary by Dept_US$'!$B$32+SUMIFS(Q$53:Q$318,$A$53:$A$318,"BD",$C$53:$C$318,$C30)/'Shared Summary by Dept_US$'!$B$33+SUMIFS(Q$53:Q$318,$A$53:$A$318,"Nepal",$C$53:$C$318,$C30)/'Shared Summary by Dept_US$'!$B$34+SUMIFS(Q$53:Q$318,$A$53:$A$318,"US",$C$53:$C$318,$C30)/'Shared Summary by Dept_US$'!$B$35</f>
        <v>0</v>
      </c>
      <c r="S30" s="106"/>
      <c r="T30" s="107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spans="1:34" ht="15.75" customHeight="1" x14ac:dyDescent="0.85">
      <c r="A31" s="32" t="s">
        <v>35</v>
      </c>
      <c r="B31" s="108" t="s">
        <v>105</v>
      </c>
      <c r="C31" s="109" t="s">
        <v>118</v>
      </c>
      <c r="D31" s="110">
        <v>93408</v>
      </c>
      <c r="E31" s="111">
        <f t="shared" ca="1" si="0"/>
        <v>0</v>
      </c>
      <c r="F31" s="71">
        <f ca="1">SUMIFS(F$53:F$318,$A$53:$A$318,"India",$C$53:$C$318,$C31)/'Shared Summary by Dept_US$'!$B$31+SUMIFS(F$53:F$318,$A$53:$A$318,"INDO",$C$53:$C$318,$C31)/'Shared Summary by Dept_US$'!$B$32+SUMIFS(F$53:F$318,$A$53:$A$318,"BD",$C$53:$C$318,$C31)/'Shared Summary by Dept_US$'!$B$33+SUMIFS(F$53:F$318,$A$53:$A$318,"Nepal",$C$53:$C$318,$C31)/'Shared Summary by Dept_US$'!$B$34+SUMIFS(F$53:F$318,$A$53:$A$318,"US",$C$53:$C$318,$C31)/'Shared Summary by Dept_US$'!$B$35</f>
        <v>0</v>
      </c>
      <c r="G31" s="71">
        <f ca="1">SUMIFS(G$53:G$318,$A$53:$A$318,"India",$C$53:$C$318,$C31)/'Shared Summary by Dept_US$'!$B$31+SUMIFS(G$53:G$318,$A$53:$A$318,"INDO",$C$53:$C$318,$C31)/'Shared Summary by Dept_US$'!$B$32+SUMIFS(G$53:G$318,$A$53:$A$318,"BD",$C$53:$C$318,$C31)/'Shared Summary by Dept_US$'!$B$33+SUMIFS(G$53:G$318,$A$53:$A$318,"Nepal",$C$53:$C$318,$C31)/'Shared Summary by Dept_US$'!$B$34+SUMIFS(G$53:G$318,$A$53:$A$318,"US",$C$53:$C$318,$C31)/'Shared Summary by Dept_US$'!$B$35</f>
        <v>0</v>
      </c>
      <c r="H31" s="71">
        <f ca="1">SUMIFS(H$53:H$318,$A$53:$A$318,"India",$C$53:$C$318,$C31)/'Shared Summary by Dept_US$'!$B$31+SUMIFS(H$53:H$318,$A$53:$A$318,"INDO",$C$53:$C$318,$C31)/'Shared Summary by Dept_US$'!$B$32+SUMIFS(H$53:H$318,$A$53:$A$318,"BD",$C$53:$C$318,$C31)/'Shared Summary by Dept_US$'!$B$33+SUMIFS(H$53:H$318,$A$53:$A$318,"Nepal",$C$53:$C$318,$C31)/'Shared Summary by Dept_US$'!$B$34+SUMIFS(H$53:H$318,$A$53:$A$318,"US",$C$53:$C$318,$C31)/'Shared Summary by Dept_US$'!$B$35</f>
        <v>0</v>
      </c>
      <c r="I31" s="71">
        <f ca="1">SUMIFS(I$53:I$318,$A$53:$A$318,"India",$C$53:$C$318,$C31)/'Shared Summary by Dept_US$'!$B$31+SUMIFS(I$53:I$318,$A$53:$A$318,"INDO",$C$53:$C$318,$C31)/'Shared Summary by Dept_US$'!$B$32+SUMIFS(I$53:I$318,$A$53:$A$318,"BD",$C$53:$C$318,$C31)/'Shared Summary by Dept_US$'!$B$33+SUMIFS(I$53:I$318,$A$53:$A$318,"Nepal",$C$53:$C$318,$C31)/'Shared Summary by Dept_US$'!$B$34+SUMIFS(I$53:I$318,$A$53:$A$318,"US",$C$53:$C$318,$C31)/'Shared Summary by Dept_US$'!$B$35</f>
        <v>0</v>
      </c>
      <c r="J31" s="71">
        <f ca="1">SUMIFS(J$53:J$318,$A$53:$A$318,"India",$C$53:$C$318,$C31)/'Shared Summary by Dept_US$'!$B$31+SUMIFS(J$53:J$318,$A$53:$A$318,"INDO",$C$53:$C$318,$C31)/'Shared Summary by Dept_US$'!$B$32+SUMIFS(J$53:J$318,$A$53:$A$318,"BD",$C$53:$C$318,$C31)/'Shared Summary by Dept_US$'!$B$33+SUMIFS(J$53:J$318,$A$53:$A$318,"Nepal",$C$53:$C$318,$C31)/'Shared Summary by Dept_US$'!$B$34+SUMIFS(J$53:J$318,$A$53:$A$318,"US",$C$53:$C$318,$C31)/'Shared Summary by Dept_US$'!$B$35</f>
        <v>0</v>
      </c>
      <c r="K31" s="71">
        <f ca="1">SUMIFS(K$53:K$318,$A$53:$A$318,"India",$C$53:$C$318,$C31)/'Shared Summary by Dept_US$'!$B$31+SUMIFS(K$53:K$318,$A$53:$A$318,"INDO",$C$53:$C$318,$C31)/'Shared Summary by Dept_US$'!$B$32+SUMIFS(K$53:K$318,$A$53:$A$318,"BD",$C$53:$C$318,$C31)/'Shared Summary by Dept_US$'!$B$33+SUMIFS(K$53:K$318,$A$53:$A$318,"Nepal",$C$53:$C$318,$C31)/'Shared Summary by Dept_US$'!$B$34+SUMIFS(K$53:K$318,$A$53:$A$318,"US",$C$53:$C$318,$C31)/'Shared Summary by Dept_US$'!$B$35</f>
        <v>0</v>
      </c>
      <c r="L31" s="71">
        <f ca="1">SUMIFS(L$53:L$318,$A$53:$A$318,"India",$C$53:$C$318,$C31)/'Shared Summary by Dept_US$'!$B$31+SUMIFS(L$53:L$318,$A$53:$A$318,"INDO",$C$53:$C$318,$C31)/'Shared Summary by Dept_US$'!$B$32+SUMIFS(L$53:L$318,$A$53:$A$318,"BD",$C$53:$C$318,$C31)/'Shared Summary by Dept_US$'!$B$33+SUMIFS(L$53:L$318,$A$53:$A$318,"Nepal",$C$53:$C$318,$C31)/'Shared Summary by Dept_US$'!$B$34+SUMIFS(L$53:L$318,$A$53:$A$318,"US",$C$53:$C$318,$C31)/'Shared Summary by Dept_US$'!$B$35</f>
        <v>0</v>
      </c>
      <c r="M31" s="71">
        <f ca="1">SUMIFS(M$53:M$318,$A$53:$A$318,"India",$C$53:$C$318,$C31)/'Shared Summary by Dept_US$'!$B$31+SUMIFS(M$53:M$318,$A$53:$A$318,"INDO",$C$53:$C$318,$C31)/'Shared Summary by Dept_US$'!$B$32+SUMIFS(M$53:M$318,$A$53:$A$318,"BD",$C$53:$C$318,$C31)/'Shared Summary by Dept_US$'!$B$33+SUMIFS(M$53:M$318,$A$53:$A$318,"Nepal",$C$53:$C$318,$C31)/'Shared Summary by Dept_US$'!$B$34+SUMIFS(M$53:M$318,$A$53:$A$318,"US",$C$53:$C$318,$C31)/'Shared Summary by Dept_US$'!$B$35</f>
        <v>0</v>
      </c>
      <c r="N31" s="71">
        <f ca="1">SUMIFS(N$53:N$318,$A$53:$A$318,"India",$C$53:$C$318,$C31)/'Shared Summary by Dept_US$'!$B$31+SUMIFS(N$53:N$318,$A$53:$A$318,"INDO",$C$53:$C$318,$C31)/'Shared Summary by Dept_US$'!$B$32+SUMIFS(N$53:N$318,$A$53:$A$318,"BD",$C$53:$C$318,$C31)/'Shared Summary by Dept_US$'!$B$33+SUMIFS(N$53:N$318,$A$53:$A$318,"Nepal",$C$53:$C$318,$C31)/'Shared Summary by Dept_US$'!$B$34+SUMIFS(N$53:N$318,$A$53:$A$318,"US",$C$53:$C$318,$C31)/'Shared Summary by Dept_US$'!$B$35</f>
        <v>0</v>
      </c>
      <c r="O31" s="71">
        <f ca="1">SUMIFS(O$53:O$318,$A$53:$A$318,"India",$C$53:$C$318,$C31)/'Shared Summary by Dept_US$'!$B$31+SUMIFS(O$53:O$318,$A$53:$A$318,"INDO",$C$53:$C$318,$C31)/'Shared Summary by Dept_US$'!$B$32+SUMIFS(O$53:O$318,$A$53:$A$318,"BD",$C$53:$C$318,$C31)/'Shared Summary by Dept_US$'!$B$33+SUMIFS(O$53:O$318,$A$53:$A$318,"Nepal",$C$53:$C$318,$C31)/'Shared Summary by Dept_US$'!$B$34+SUMIFS(O$53:O$318,$A$53:$A$318,"US",$C$53:$C$318,$C31)/'Shared Summary by Dept_US$'!$B$35</f>
        <v>0</v>
      </c>
      <c r="P31" s="71">
        <f ca="1">SUMIFS(P$53:P$318,$A$53:$A$318,"India",$C$53:$C$318,$C31)/'Shared Summary by Dept_US$'!$B$31+SUMIFS(P$53:P$318,$A$53:$A$318,"INDO",$C$53:$C$318,$C31)/'Shared Summary by Dept_US$'!$B$32+SUMIFS(P$53:P$318,$A$53:$A$318,"BD",$C$53:$C$318,$C31)/'Shared Summary by Dept_US$'!$B$33+SUMIFS(P$53:P$318,$A$53:$A$318,"Nepal",$C$53:$C$318,$C31)/'Shared Summary by Dept_US$'!$B$34+SUMIFS(P$53:P$318,$A$53:$A$318,"US",$C$53:$C$318,$C31)/'Shared Summary by Dept_US$'!$B$35</f>
        <v>0</v>
      </c>
      <c r="Q31" s="71">
        <f ca="1">SUMIFS(Q$53:Q$318,$A$53:$A$318,"India",$C$53:$C$318,$C31)/'Shared Summary by Dept_US$'!$B$31+SUMIFS(Q$53:Q$318,$A$53:$A$318,"INDO",$C$53:$C$318,$C31)/'Shared Summary by Dept_US$'!$B$32+SUMIFS(Q$53:Q$318,$A$53:$A$318,"BD",$C$53:$C$318,$C31)/'Shared Summary by Dept_US$'!$B$33+SUMIFS(Q$53:Q$318,$A$53:$A$318,"Nepal",$C$53:$C$318,$C31)/'Shared Summary by Dept_US$'!$B$34+SUMIFS(Q$53:Q$318,$A$53:$A$318,"US",$C$53:$C$318,$C31)/'Shared Summary by Dept_US$'!$B$35</f>
        <v>0</v>
      </c>
      <c r="S31" s="106"/>
      <c r="T31" s="107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1:34" ht="15.75" customHeight="1" x14ac:dyDescent="0.85">
      <c r="A32" s="32" t="s">
        <v>35</v>
      </c>
      <c r="B32" s="108" t="s">
        <v>105</v>
      </c>
      <c r="C32" s="109" t="s">
        <v>119</v>
      </c>
      <c r="D32" s="110">
        <v>93409</v>
      </c>
      <c r="E32" s="111">
        <f t="shared" ca="1" si="0"/>
        <v>0</v>
      </c>
      <c r="F32" s="71">
        <f ca="1">SUMIFS(F$53:F$318,$A$53:$A$318,"India",$C$53:$C$318,$C32)/'Shared Summary by Dept_US$'!$B$31+SUMIFS(F$53:F$318,$A$53:$A$318,"INDO",$C$53:$C$318,$C32)/'Shared Summary by Dept_US$'!$B$32+SUMIFS(F$53:F$318,$A$53:$A$318,"BD",$C$53:$C$318,$C32)/'Shared Summary by Dept_US$'!$B$33+SUMIFS(F$53:F$318,$A$53:$A$318,"Nepal",$C$53:$C$318,$C32)/'Shared Summary by Dept_US$'!$B$34+SUMIFS(F$53:F$318,$A$53:$A$318,"US",$C$53:$C$318,$C32)/'Shared Summary by Dept_US$'!$B$35</f>
        <v>0</v>
      </c>
      <c r="G32" s="71">
        <f ca="1">SUMIFS(G$53:G$318,$A$53:$A$318,"India",$C$53:$C$318,$C32)/'Shared Summary by Dept_US$'!$B$31+SUMIFS(G$53:G$318,$A$53:$A$318,"INDO",$C$53:$C$318,$C32)/'Shared Summary by Dept_US$'!$B$32+SUMIFS(G$53:G$318,$A$53:$A$318,"BD",$C$53:$C$318,$C32)/'Shared Summary by Dept_US$'!$B$33+SUMIFS(G$53:G$318,$A$53:$A$318,"Nepal",$C$53:$C$318,$C32)/'Shared Summary by Dept_US$'!$B$34+SUMIFS(G$53:G$318,$A$53:$A$318,"US",$C$53:$C$318,$C32)/'Shared Summary by Dept_US$'!$B$35</f>
        <v>0</v>
      </c>
      <c r="H32" s="71">
        <f ca="1">SUMIFS(H$53:H$318,$A$53:$A$318,"India",$C$53:$C$318,$C32)/'Shared Summary by Dept_US$'!$B$31+SUMIFS(H$53:H$318,$A$53:$A$318,"INDO",$C$53:$C$318,$C32)/'Shared Summary by Dept_US$'!$B$32+SUMIFS(H$53:H$318,$A$53:$A$318,"BD",$C$53:$C$318,$C32)/'Shared Summary by Dept_US$'!$B$33+SUMIFS(H$53:H$318,$A$53:$A$318,"Nepal",$C$53:$C$318,$C32)/'Shared Summary by Dept_US$'!$B$34+SUMIFS(H$53:H$318,$A$53:$A$318,"US",$C$53:$C$318,$C32)/'Shared Summary by Dept_US$'!$B$35</f>
        <v>0</v>
      </c>
      <c r="I32" s="71">
        <f ca="1">SUMIFS(I$53:I$318,$A$53:$A$318,"India",$C$53:$C$318,$C32)/'Shared Summary by Dept_US$'!$B$31+SUMIFS(I$53:I$318,$A$53:$A$318,"INDO",$C$53:$C$318,$C32)/'Shared Summary by Dept_US$'!$B$32+SUMIFS(I$53:I$318,$A$53:$A$318,"BD",$C$53:$C$318,$C32)/'Shared Summary by Dept_US$'!$B$33+SUMIFS(I$53:I$318,$A$53:$A$318,"Nepal",$C$53:$C$318,$C32)/'Shared Summary by Dept_US$'!$B$34+SUMIFS(I$53:I$318,$A$53:$A$318,"US",$C$53:$C$318,$C32)/'Shared Summary by Dept_US$'!$B$35</f>
        <v>0</v>
      </c>
      <c r="J32" s="71">
        <f ca="1">SUMIFS(J$53:J$318,$A$53:$A$318,"India",$C$53:$C$318,$C32)/'Shared Summary by Dept_US$'!$B$31+SUMIFS(J$53:J$318,$A$53:$A$318,"INDO",$C$53:$C$318,$C32)/'Shared Summary by Dept_US$'!$B$32+SUMIFS(J$53:J$318,$A$53:$A$318,"BD",$C$53:$C$318,$C32)/'Shared Summary by Dept_US$'!$B$33+SUMIFS(J$53:J$318,$A$53:$A$318,"Nepal",$C$53:$C$318,$C32)/'Shared Summary by Dept_US$'!$B$34+SUMIFS(J$53:J$318,$A$53:$A$318,"US",$C$53:$C$318,$C32)/'Shared Summary by Dept_US$'!$B$35</f>
        <v>0</v>
      </c>
      <c r="K32" s="71">
        <f ca="1">SUMIFS(K$53:K$318,$A$53:$A$318,"India",$C$53:$C$318,$C32)/'Shared Summary by Dept_US$'!$B$31+SUMIFS(K$53:K$318,$A$53:$A$318,"INDO",$C$53:$C$318,$C32)/'Shared Summary by Dept_US$'!$B$32+SUMIFS(K$53:K$318,$A$53:$A$318,"BD",$C$53:$C$318,$C32)/'Shared Summary by Dept_US$'!$B$33+SUMIFS(K$53:K$318,$A$53:$A$318,"Nepal",$C$53:$C$318,$C32)/'Shared Summary by Dept_US$'!$B$34+SUMIFS(K$53:K$318,$A$53:$A$318,"US",$C$53:$C$318,$C32)/'Shared Summary by Dept_US$'!$B$35</f>
        <v>0</v>
      </c>
      <c r="L32" s="71">
        <f ca="1">SUMIFS(L$53:L$318,$A$53:$A$318,"India",$C$53:$C$318,$C32)/'Shared Summary by Dept_US$'!$B$31+SUMIFS(L$53:L$318,$A$53:$A$318,"INDO",$C$53:$C$318,$C32)/'Shared Summary by Dept_US$'!$B$32+SUMIFS(L$53:L$318,$A$53:$A$318,"BD",$C$53:$C$318,$C32)/'Shared Summary by Dept_US$'!$B$33+SUMIFS(L$53:L$318,$A$53:$A$318,"Nepal",$C$53:$C$318,$C32)/'Shared Summary by Dept_US$'!$B$34+SUMIFS(L$53:L$318,$A$53:$A$318,"US",$C$53:$C$318,$C32)/'Shared Summary by Dept_US$'!$B$35</f>
        <v>0</v>
      </c>
      <c r="M32" s="71">
        <f ca="1">SUMIFS(M$53:M$318,$A$53:$A$318,"India",$C$53:$C$318,$C32)/'Shared Summary by Dept_US$'!$B$31+SUMIFS(M$53:M$318,$A$53:$A$318,"INDO",$C$53:$C$318,$C32)/'Shared Summary by Dept_US$'!$B$32+SUMIFS(M$53:M$318,$A$53:$A$318,"BD",$C$53:$C$318,$C32)/'Shared Summary by Dept_US$'!$B$33+SUMIFS(M$53:M$318,$A$53:$A$318,"Nepal",$C$53:$C$318,$C32)/'Shared Summary by Dept_US$'!$B$34+SUMIFS(M$53:M$318,$A$53:$A$318,"US",$C$53:$C$318,$C32)/'Shared Summary by Dept_US$'!$B$35</f>
        <v>0</v>
      </c>
      <c r="N32" s="71">
        <f ca="1">SUMIFS(N$53:N$318,$A$53:$A$318,"India",$C$53:$C$318,$C32)/'Shared Summary by Dept_US$'!$B$31+SUMIFS(N$53:N$318,$A$53:$A$318,"INDO",$C$53:$C$318,$C32)/'Shared Summary by Dept_US$'!$B$32+SUMIFS(N$53:N$318,$A$53:$A$318,"BD",$C$53:$C$318,$C32)/'Shared Summary by Dept_US$'!$B$33+SUMIFS(N$53:N$318,$A$53:$A$318,"Nepal",$C$53:$C$318,$C32)/'Shared Summary by Dept_US$'!$B$34+SUMIFS(N$53:N$318,$A$53:$A$318,"US",$C$53:$C$318,$C32)/'Shared Summary by Dept_US$'!$B$35</f>
        <v>0</v>
      </c>
      <c r="O32" s="71">
        <f ca="1">SUMIFS(O$53:O$318,$A$53:$A$318,"India",$C$53:$C$318,$C32)/'Shared Summary by Dept_US$'!$B$31+SUMIFS(O$53:O$318,$A$53:$A$318,"INDO",$C$53:$C$318,$C32)/'Shared Summary by Dept_US$'!$B$32+SUMIFS(O$53:O$318,$A$53:$A$318,"BD",$C$53:$C$318,$C32)/'Shared Summary by Dept_US$'!$B$33+SUMIFS(O$53:O$318,$A$53:$A$318,"Nepal",$C$53:$C$318,$C32)/'Shared Summary by Dept_US$'!$B$34+SUMIFS(O$53:O$318,$A$53:$A$318,"US",$C$53:$C$318,$C32)/'Shared Summary by Dept_US$'!$B$35</f>
        <v>0</v>
      </c>
      <c r="P32" s="71">
        <f ca="1">SUMIFS(P$53:P$318,$A$53:$A$318,"India",$C$53:$C$318,$C32)/'Shared Summary by Dept_US$'!$B$31+SUMIFS(P$53:P$318,$A$53:$A$318,"INDO",$C$53:$C$318,$C32)/'Shared Summary by Dept_US$'!$B$32+SUMIFS(P$53:P$318,$A$53:$A$318,"BD",$C$53:$C$318,$C32)/'Shared Summary by Dept_US$'!$B$33+SUMIFS(P$53:P$318,$A$53:$A$318,"Nepal",$C$53:$C$318,$C32)/'Shared Summary by Dept_US$'!$B$34+SUMIFS(P$53:P$318,$A$53:$A$318,"US",$C$53:$C$318,$C32)/'Shared Summary by Dept_US$'!$B$35</f>
        <v>0</v>
      </c>
      <c r="Q32" s="71">
        <f ca="1">SUMIFS(Q$53:Q$318,$A$53:$A$318,"India",$C$53:$C$318,$C32)/'Shared Summary by Dept_US$'!$B$31+SUMIFS(Q$53:Q$318,$A$53:$A$318,"INDO",$C$53:$C$318,$C32)/'Shared Summary by Dept_US$'!$B$32+SUMIFS(Q$53:Q$318,$A$53:$A$318,"BD",$C$53:$C$318,$C32)/'Shared Summary by Dept_US$'!$B$33+SUMIFS(Q$53:Q$318,$A$53:$A$318,"Nepal",$C$53:$C$318,$C32)/'Shared Summary by Dept_US$'!$B$34+SUMIFS(Q$53:Q$318,$A$53:$A$318,"US",$C$53:$C$318,$C32)/'Shared Summary by Dept_US$'!$B$35</f>
        <v>0</v>
      </c>
      <c r="S32" s="106"/>
      <c r="T32" s="107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34" ht="15.75" customHeight="1" x14ac:dyDescent="0.85">
      <c r="A33" s="32" t="s">
        <v>35</v>
      </c>
      <c r="B33" s="108" t="s">
        <v>105</v>
      </c>
      <c r="C33" s="109" t="s">
        <v>120</v>
      </c>
      <c r="D33" s="110">
        <v>93410</v>
      </c>
      <c r="E33" s="111">
        <f t="shared" ca="1" si="0"/>
        <v>0</v>
      </c>
      <c r="F33" s="71">
        <f ca="1">SUMIFS(F$53:F$318,$A$53:$A$318,"India",$C$53:$C$318,$C33)/'Shared Summary by Dept_US$'!$B$31+SUMIFS(F$53:F$318,$A$53:$A$318,"INDO",$C$53:$C$318,$C33)/'Shared Summary by Dept_US$'!$B$32+SUMIFS(F$53:F$318,$A$53:$A$318,"BD",$C$53:$C$318,$C33)/'Shared Summary by Dept_US$'!$B$33+SUMIFS(F$53:F$318,$A$53:$A$318,"Nepal",$C$53:$C$318,$C33)/'Shared Summary by Dept_US$'!$B$34+SUMIFS(F$53:F$318,$A$53:$A$318,"US",$C$53:$C$318,$C33)/'Shared Summary by Dept_US$'!$B$35</f>
        <v>0</v>
      </c>
      <c r="G33" s="71">
        <f ca="1">SUMIFS(G$53:G$318,$A$53:$A$318,"India",$C$53:$C$318,$C33)/'Shared Summary by Dept_US$'!$B$31+SUMIFS(G$53:G$318,$A$53:$A$318,"INDO",$C$53:$C$318,$C33)/'Shared Summary by Dept_US$'!$B$32+SUMIFS(G$53:G$318,$A$53:$A$318,"BD",$C$53:$C$318,$C33)/'Shared Summary by Dept_US$'!$B$33+SUMIFS(G$53:G$318,$A$53:$A$318,"Nepal",$C$53:$C$318,$C33)/'Shared Summary by Dept_US$'!$B$34+SUMIFS(G$53:G$318,$A$53:$A$318,"US",$C$53:$C$318,$C33)/'Shared Summary by Dept_US$'!$B$35</f>
        <v>0</v>
      </c>
      <c r="H33" s="71">
        <f ca="1">SUMIFS(H$53:H$318,$A$53:$A$318,"India",$C$53:$C$318,$C33)/'Shared Summary by Dept_US$'!$B$31+SUMIFS(H$53:H$318,$A$53:$A$318,"INDO",$C$53:$C$318,$C33)/'Shared Summary by Dept_US$'!$B$32+SUMIFS(H$53:H$318,$A$53:$A$318,"BD",$C$53:$C$318,$C33)/'Shared Summary by Dept_US$'!$B$33+SUMIFS(H$53:H$318,$A$53:$A$318,"Nepal",$C$53:$C$318,$C33)/'Shared Summary by Dept_US$'!$B$34+SUMIFS(H$53:H$318,$A$53:$A$318,"US",$C$53:$C$318,$C33)/'Shared Summary by Dept_US$'!$B$35</f>
        <v>0</v>
      </c>
      <c r="I33" s="71">
        <f ca="1">SUMIFS(I$53:I$318,$A$53:$A$318,"India",$C$53:$C$318,$C33)/'Shared Summary by Dept_US$'!$B$31+SUMIFS(I$53:I$318,$A$53:$A$318,"INDO",$C$53:$C$318,$C33)/'Shared Summary by Dept_US$'!$B$32+SUMIFS(I$53:I$318,$A$53:$A$318,"BD",$C$53:$C$318,$C33)/'Shared Summary by Dept_US$'!$B$33+SUMIFS(I$53:I$318,$A$53:$A$318,"Nepal",$C$53:$C$318,$C33)/'Shared Summary by Dept_US$'!$B$34+SUMIFS(I$53:I$318,$A$53:$A$318,"US",$C$53:$C$318,$C33)/'Shared Summary by Dept_US$'!$B$35</f>
        <v>0</v>
      </c>
      <c r="J33" s="71">
        <f ca="1">SUMIFS(J$53:J$318,$A$53:$A$318,"India",$C$53:$C$318,$C33)/'Shared Summary by Dept_US$'!$B$31+SUMIFS(J$53:J$318,$A$53:$A$318,"INDO",$C$53:$C$318,$C33)/'Shared Summary by Dept_US$'!$B$32+SUMIFS(J$53:J$318,$A$53:$A$318,"BD",$C$53:$C$318,$C33)/'Shared Summary by Dept_US$'!$B$33+SUMIFS(J$53:J$318,$A$53:$A$318,"Nepal",$C$53:$C$318,$C33)/'Shared Summary by Dept_US$'!$B$34+SUMIFS(J$53:J$318,$A$53:$A$318,"US",$C$53:$C$318,$C33)/'Shared Summary by Dept_US$'!$B$35</f>
        <v>0</v>
      </c>
      <c r="K33" s="71">
        <f ca="1">SUMIFS(K$53:K$318,$A$53:$A$318,"India",$C$53:$C$318,$C33)/'Shared Summary by Dept_US$'!$B$31+SUMIFS(K$53:K$318,$A$53:$A$318,"INDO",$C$53:$C$318,$C33)/'Shared Summary by Dept_US$'!$B$32+SUMIFS(K$53:K$318,$A$53:$A$318,"BD",$C$53:$C$318,$C33)/'Shared Summary by Dept_US$'!$B$33+SUMIFS(K$53:K$318,$A$53:$A$318,"Nepal",$C$53:$C$318,$C33)/'Shared Summary by Dept_US$'!$B$34+SUMIFS(K$53:K$318,$A$53:$A$318,"US",$C$53:$C$318,$C33)/'Shared Summary by Dept_US$'!$B$35</f>
        <v>0</v>
      </c>
      <c r="L33" s="71">
        <f ca="1">SUMIFS(L$53:L$318,$A$53:$A$318,"India",$C$53:$C$318,$C33)/'Shared Summary by Dept_US$'!$B$31+SUMIFS(L$53:L$318,$A$53:$A$318,"INDO",$C$53:$C$318,$C33)/'Shared Summary by Dept_US$'!$B$32+SUMIFS(L$53:L$318,$A$53:$A$318,"BD",$C$53:$C$318,$C33)/'Shared Summary by Dept_US$'!$B$33+SUMIFS(L$53:L$318,$A$53:$A$318,"Nepal",$C$53:$C$318,$C33)/'Shared Summary by Dept_US$'!$B$34+SUMIFS(L$53:L$318,$A$53:$A$318,"US",$C$53:$C$318,$C33)/'Shared Summary by Dept_US$'!$B$35</f>
        <v>0</v>
      </c>
      <c r="M33" s="71">
        <f ca="1">SUMIFS(M$53:M$318,$A$53:$A$318,"India",$C$53:$C$318,$C33)/'Shared Summary by Dept_US$'!$B$31+SUMIFS(M$53:M$318,$A$53:$A$318,"INDO",$C$53:$C$318,$C33)/'Shared Summary by Dept_US$'!$B$32+SUMIFS(M$53:M$318,$A$53:$A$318,"BD",$C$53:$C$318,$C33)/'Shared Summary by Dept_US$'!$B$33+SUMIFS(M$53:M$318,$A$53:$A$318,"Nepal",$C$53:$C$318,$C33)/'Shared Summary by Dept_US$'!$B$34+SUMIFS(M$53:M$318,$A$53:$A$318,"US",$C$53:$C$318,$C33)/'Shared Summary by Dept_US$'!$B$35</f>
        <v>0</v>
      </c>
      <c r="N33" s="71">
        <f ca="1">SUMIFS(N$53:N$318,$A$53:$A$318,"India",$C$53:$C$318,$C33)/'Shared Summary by Dept_US$'!$B$31+SUMIFS(N$53:N$318,$A$53:$A$318,"INDO",$C$53:$C$318,$C33)/'Shared Summary by Dept_US$'!$B$32+SUMIFS(N$53:N$318,$A$53:$A$318,"BD",$C$53:$C$318,$C33)/'Shared Summary by Dept_US$'!$B$33+SUMIFS(N$53:N$318,$A$53:$A$318,"Nepal",$C$53:$C$318,$C33)/'Shared Summary by Dept_US$'!$B$34+SUMIFS(N$53:N$318,$A$53:$A$318,"US",$C$53:$C$318,$C33)/'Shared Summary by Dept_US$'!$B$35</f>
        <v>0</v>
      </c>
      <c r="O33" s="71">
        <f ca="1">SUMIFS(O$53:O$318,$A$53:$A$318,"India",$C$53:$C$318,$C33)/'Shared Summary by Dept_US$'!$B$31+SUMIFS(O$53:O$318,$A$53:$A$318,"INDO",$C$53:$C$318,$C33)/'Shared Summary by Dept_US$'!$B$32+SUMIFS(O$53:O$318,$A$53:$A$318,"BD",$C$53:$C$318,$C33)/'Shared Summary by Dept_US$'!$B$33+SUMIFS(O$53:O$318,$A$53:$A$318,"Nepal",$C$53:$C$318,$C33)/'Shared Summary by Dept_US$'!$B$34+SUMIFS(O$53:O$318,$A$53:$A$318,"US",$C$53:$C$318,$C33)/'Shared Summary by Dept_US$'!$B$35</f>
        <v>0</v>
      </c>
      <c r="P33" s="71">
        <f ca="1">SUMIFS(P$53:P$318,$A$53:$A$318,"India",$C$53:$C$318,$C33)/'Shared Summary by Dept_US$'!$B$31+SUMIFS(P$53:P$318,$A$53:$A$318,"INDO",$C$53:$C$318,$C33)/'Shared Summary by Dept_US$'!$B$32+SUMIFS(P$53:P$318,$A$53:$A$318,"BD",$C$53:$C$318,$C33)/'Shared Summary by Dept_US$'!$B$33+SUMIFS(P$53:P$318,$A$53:$A$318,"Nepal",$C$53:$C$318,$C33)/'Shared Summary by Dept_US$'!$B$34+SUMIFS(P$53:P$318,$A$53:$A$318,"US",$C$53:$C$318,$C33)/'Shared Summary by Dept_US$'!$B$35</f>
        <v>0</v>
      </c>
      <c r="Q33" s="71">
        <f ca="1">SUMIFS(Q$53:Q$318,$A$53:$A$318,"India",$C$53:$C$318,$C33)/'Shared Summary by Dept_US$'!$B$31+SUMIFS(Q$53:Q$318,$A$53:$A$318,"INDO",$C$53:$C$318,$C33)/'Shared Summary by Dept_US$'!$B$32+SUMIFS(Q$53:Q$318,$A$53:$A$318,"BD",$C$53:$C$318,$C33)/'Shared Summary by Dept_US$'!$B$33+SUMIFS(Q$53:Q$318,$A$53:$A$318,"Nepal",$C$53:$C$318,$C33)/'Shared Summary by Dept_US$'!$B$34+SUMIFS(Q$53:Q$318,$A$53:$A$318,"US",$C$53:$C$318,$C33)/'Shared Summary by Dept_US$'!$B$35</f>
        <v>0</v>
      </c>
      <c r="S33" s="106"/>
      <c r="T33" s="107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spans="1:34" ht="15.75" customHeight="1" x14ac:dyDescent="0.85">
      <c r="A34" s="32" t="s">
        <v>35</v>
      </c>
      <c r="B34" s="108" t="s">
        <v>105</v>
      </c>
      <c r="C34" s="109" t="s">
        <v>121</v>
      </c>
      <c r="D34" s="110">
        <v>93411</v>
      </c>
      <c r="E34" s="111">
        <f t="shared" ca="1" si="0"/>
        <v>0</v>
      </c>
      <c r="F34" s="71">
        <f ca="1">SUMIFS(F$53:F$318,$A$53:$A$318,"India",$C$53:$C$318,$C34)/'Shared Summary by Dept_US$'!$B$31+SUMIFS(F$53:F$318,$A$53:$A$318,"INDO",$C$53:$C$318,$C34)/'Shared Summary by Dept_US$'!$B$32+SUMIFS(F$53:F$318,$A$53:$A$318,"BD",$C$53:$C$318,$C34)/'Shared Summary by Dept_US$'!$B$33+SUMIFS(F$53:F$318,$A$53:$A$318,"Nepal",$C$53:$C$318,$C34)/'Shared Summary by Dept_US$'!$B$34+SUMIFS(F$53:F$318,$A$53:$A$318,"US",$C$53:$C$318,$C34)/'Shared Summary by Dept_US$'!$B$35</f>
        <v>0</v>
      </c>
      <c r="G34" s="71">
        <f ca="1">SUMIFS(G$53:G$318,$A$53:$A$318,"India",$C$53:$C$318,$C34)/'Shared Summary by Dept_US$'!$B$31+SUMIFS(G$53:G$318,$A$53:$A$318,"INDO",$C$53:$C$318,$C34)/'Shared Summary by Dept_US$'!$B$32+SUMIFS(G$53:G$318,$A$53:$A$318,"BD",$C$53:$C$318,$C34)/'Shared Summary by Dept_US$'!$B$33+SUMIFS(G$53:G$318,$A$53:$A$318,"Nepal",$C$53:$C$318,$C34)/'Shared Summary by Dept_US$'!$B$34+SUMIFS(G$53:G$318,$A$53:$A$318,"US",$C$53:$C$318,$C34)/'Shared Summary by Dept_US$'!$B$35</f>
        <v>0</v>
      </c>
      <c r="H34" s="71">
        <f ca="1">SUMIFS(H$53:H$318,$A$53:$A$318,"India",$C$53:$C$318,$C34)/'Shared Summary by Dept_US$'!$B$31+SUMIFS(H$53:H$318,$A$53:$A$318,"INDO",$C$53:$C$318,$C34)/'Shared Summary by Dept_US$'!$B$32+SUMIFS(H$53:H$318,$A$53:$A$318,"BD",$C$53:$C$318,$C34)/'Shared Summary by Dept_US$'!$B$33+SUMIFS(H$53:H$318,$A$53:$A$318,"Nepal",$C$53:$C$318,$C34)/'Shared Summary by Dept_US$'!$B$34+SUMIFS(H$53:H$318,$A$53:$A$318,"US",$C$53:$C$318,$C34)/'Shared Summary by Dept_US$'!$B$35</f>
        <v>0</v>
      </c>
      <c r="I34" s="71">
        <f ca="1">SUMIFS(I$53:I$318,$A$53:$A$318,"India",$C$53:$C$318,$C34)/'Shared Summary by Dept_US$'!$B$31+SUMIFS(I$53:I$318,$A$53:$A$318,"INDO",$C$53:$C$318,$C34)/'Shared Summary by Dept_US$'!$B$32+SUMIFS(I$53:I$318,$A$53:$A$318,"BD",$C$53:$C$318,$C34)/'Shared Summary by Dept_US$'!$B$33+SUMIFS(I$53:I$318,$A$53:$A$318,"Nepal",$C$53:$C$318,$C34)/'Shared Summary by Dept_US$'!$B$34+SUMIFS(I$53:I$318,$A$53:$A$318,"US",$C$53:$C$318,$C34)/'Shared Summary by Dept_US$'!$B$35</f>
        <v>0</v>
      </c>
      <c r="J34" s="71">
        <f ca="1">SUMIFS(J$53:J$318,$A$53:$A$318,"India",$C$53:$C$318,$C34)/'Shared Summary by Dept_US$'!$B$31+SUMIFS(J$53:J$318,$A$53:$A$318,"INDO",$C$53:$C$318,$C34)/'Shared Summary by Dept_US$'!$B$32+SUMIFS(J$53:J$318,$A$53:$A$318,"BD",$C$53:$C$318,$C34)/'Shared Summary by Dept_US$'!$B$33+SUMIFS(J$53:J$318,$A$53:$A$318,"Nepal",$C$53:$C$318,$C34)/'Shared Summary by Dept_US$'!$B$34+SUMIFS(J$53:J$318,$A$53:$A$318,"US",$C$53:$C$318,$C34)/'Shared Summary by Dept_US$'!$B$35</f>
        <v>0</v>
      </c>
      <c r="K34" s="71">
        <f ca="1">SUMIFS(K$53:K$318,$A$53:$A$318,"India",$C$53:$C$318,$C34)/'Shared Summary by Dept_US$'!$B$31+SUMIFS(K$53:K$318,$A$53:$A$318,"INDO",$C$53:$C$318,$C34)/'Shared Summary by Dept_US$'!$B$32+SUMIFS(K$53:K$318,$A$53:$A$318,"BD",$C$53:$C$318,$C34)/'Shared Summary by Dept_US$'!$B$33+SUMIFS(K$53:K$318,$A$53:$A$318,"Nepal",$C$53:$C$318,$C34)/'Shared Summary by Dept_US$'!$B$34+SUMIFS(K$53:K$318,$A$53:$A$318,"US",$C$53:$C$318,$C34)/'Shared Summary by Dept_US$'!$B$35</f>
        <v>0</v>
      </c>
      <c r="L34" s="71">
        <f ca="1">SUMIFS(L$53:L$318,$A$53:$A$318,"India",$C$53:$C$318,$C34)/'Shared Summary by Dept_US$'!$B$31+SUMIFS(L$53:L$318,$A$53:$A$318,"INDO",$C$53:$C$318,$C34)/'Shared Summary by Dept_US$'!$B$32+SUMIFS(L$53:L$318,$A$53:$A$318,"BD",$C$53:$C$318,$C34)/'Shared Summary by Dept_US$'!$B$33+SUMIFS(L$53:L$318,$A$53:$A$318,"Nepal",$C$53:$C$318,$C34)/'Shared Summary by Dept_US$'!$B$34+SUMIFS(L$53:L$318,$A$53:$A$318,"US",$C$53:$C$318,$C34)/'Shared Summary by Dept_US$'!$B$35</f>
        <v>0</v>
      </c>
      <c r="M34" s="71">
        <f ca="1">SUMIFS(M$53:M$318,$A$53:$A$318,"India",$C$53:$C$318,$C34)/'Shared Summary by Dept_US$'!$B$31+SUMIFS(M$53:M$318,$A$53:$A$318,"INDO",$C$53:$C$318,$C34)/'Shared Summary by Dept_US$'!$B$32+SUMIFS(M$53:M$318,$A$53:$A$318,"BD",$C$53:$C$318,$C34)/'Shared Summary by Dept_US$'!$B$33+SUMIFS(M$53:M$318,$A$53:$A$318,"Nepal",$C$53:$C$318,$C34)/'Shared Summary by Dept_US$'!$B$34+SUMIFS(M$53:M$318,$A$53:$A$318,"US",$C$53:$C$318,$C34)/'Shared Summary by Dept_US$'!$B$35</f>
        <v>0</v>
      </c>
      <c r="N34" s="71">
        <f ca="1">SUMIFS(N$53:N$318,$A$53:$A$318,"India",$C$53:$C$318,$C34)/'Shared Summary by Dept_US$'!$B$31+SUMIFS(N$53:N$318,$A$53:$A$318,"INDO",$C$53:$C$318,$C34)/'Shared Summary by Dept_US$'!$B$32+SUMIFS(N$53:N$318,$A$53:$A$318,"BD",$C$53:$C$318,$C34)/'Shared Summary by Dept_US$'!$B$33+SUMIFS(N$53:N$318,$A$53:$A$318,"Nepal",$C$53:$C$318,$C34)/'Shared Summary by Dept_US$'!$B$34+SUMIFS(N$53:N$318,$A$53:$A$318,"US",$C$53:$C$318,$C34)/'Shared Summary by Dept_US$'!$B$35</f>
        <v>0</v>
      </c>
      <c r="O34" s="71">
        <f ca="1">SUMIFS(O$53:O$318,$A$53:$A$318,"India",$C$53:$C$318,$C34)/'Shared Summary by Dept_US$'!$B$31+SUMIFS(O$53:O$318,$A$53:$A$318,"INDO",$C$53:$C$318,$C34)/'Shared Summary by Dept_US$'!$B$32+SUMIFS(O$53:O$318,$A$53:$A$318,"BD",$C$53:$C$318,$C34)/'Shared Summary by Dept_US$'!$B$33+SUMIFS(O$53:O$318,$A$53:$A$318,"Nepal",$C$53:$C$318,$C34)/'Shared Summary by Dept_US$'!$B$34+SUMIFS(O$53:O$318,$A$53:$A$318,"US",$C$53:$C$318,$C34)/'Shared Summary by Dept_US$'!$B$35</f>
        <v>0</v>
      </c>
      <c r="P34" s="71">
        <f ca="1">SUMIFS(P$53:P$318,$A$53:$A$318,"India",$C$53:$C$318,$C34)/'Shared Summary by Dept_US$'!$B$31+SUMIFS(P$53:P$318,$A$53:$A$318,"INDO",$C$53:$C$318,$C34)/'Shared Summary by Dept_US$'!$B$32+SUMIFS(P$53:P$318,$A$53:$A$318,"BD",$C$53:$C$318,$C34)/'Shared Summary by Dept_US$'!$B$33+SUMIFS(P$53:P$318,$A$53:$A$318,"Nepal",$C$53:$C$318,$C34)/'Shared Summary by Dept_US$'!$B$34+SUMIFS(P$53:P$318,$A$53:$A$318,"US",$C$53:$C$318,$C34)/'Shared Summary by Dept_US$'!$B$35</f>
        <v>0</v>
      </c>
      <c r="Q34" s="71">
        <f ca="1">SUMIFS(Q$53:Q$318,$A$53:$A$318,"India",$C$53:$C$318,$C34)/'Shared Summary by Dept_US$'!$B$31+SUMIFS(Q$53:Q$318,$A$53:$A$318,"INDO",$C$53:$C$318,$C34)/'Shared Summary by Dept_US$'!$B$32+SUMIFS(Q$53:Q$318,$A$53:$A$318,"BD",$C$53:$C$318,$C34)/'Shared Summary by Dept_US$'!$B$33+SUMIFS(Q$53:Q$318,$A$53:$A$318,"Nepal",$C$53:$C$318,$C34)/'Shared Summary by Dept_US$'!$B$34+SUMIFS(Q$53:Q$318,$A$53:$A$318,"US",$C$53:$C$318,$C34)/'Shared Summary by Dept_US$'!$B$35</f>
        <v>0</v>
      </c>
      <c r="S34" s="106"/>
      <c r="T34" s="107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spans="1:34" ht="15.75" customHeight="1" x14ac:dyDescent="0.85">
      <c r="A35" s="32" t="s">
        <v>35</v>
      </c>
      <c r="B35" s="108" t="s">
        <v>105</v>
      </c>
      <c r="C35" s="109" t="s">
        <v>122</v>
      </c>
      <c r="D35" s="110">
        <v>93412</v>
      </c>
      <c r="E35" s="111">
        <f t="shared" ca="1" si="0"/>
        <v>0</v>
      </c>
      <c r="F35" s="71">
        <f ca="1">SUMIFS(F$53:F$318,$A$53:$A$318,"India",$C$53:$C$318,$C35)/'Shared Summary by Dept_US$'!$B$31+SUMIFS(F$53:F$318,$A$53:$A$318,"INDO",$C$53:$C$318,$C35)/'Shared Summary by Dept_US$'!$B$32+SUMIFS(F$53:F$318,$A$53:$A$318,"BD",$C$53:$C$318,$C35)/'Shared Summary by Dept_US$'!$B$33+SUMIFS(F$53:F$318,$A$53:$A$318,"Nepal",$C$53:$C$318,$C35)/'Shared Summary by Dept_US$'!$B$34+SUMIFS(F$53:F$318,$A$53:$A$318,"US",$C$53:$C$318,$C35)/'Shared Summary by Dept_US$'!$B$35</f>
        <v>0</v>
      </c>
      <c r="G35" s="71">
        <f ca="1">SUMIFS(G$53:G$318,$A$53:$A$318,"India",$C$53:$C$318,$C35)/'Shared Summary by Dept_US$'!$B$31+SUMIFS(G$53:G$318,$A$53:$A$318,"INDO",$C$53:$C$318,$C35)/'Shared Summary by Dept_US$'!$B$32+SUMIFS(G$53:G$318,$A$53:$A$318,"BD",$C$53:$C$318,$C35)/'Shared Summary by Dept_US$'!$B$33+SUMIFS(G$53:G$318,$A$53:$A$318,"Nepal",$C$53:$C$318,$C35)/'Shared Summary by Dept_US$'!$B$34+SUMIFS(G$53:G$318,$A$53:$A$318,"US",$C$53:$C$318,$C35)/'Shared Summary by Dept_US$'!$B$35</f>
        <v>0</v>
      </c>
      <c r="H35" s="71">
        <f ca="1">SUMIFS(H$53:H$318,$A$53:$A$318,"India",$C$53:$C$318,$C35)/'Shared Summary by Dept_US$'!$B$31+SUMIFS(H$53:H$318,$A$53:$A$318,"INDO",$C$53:$C$318,$C35)/'Shared Summary by Dept_US$'!$B$32+SUMIFS(H$53:H$318,$A$53:$A$318,"BD",$C$53:$C$318,$C35)/'Shared Summary by Dept_US$'!$B$33+SUMIFS(H$53:H$318,$A$53:$A$318,"Nepal",$C$53:$C$318,$C35)/'Shared Summary by Dept_US$'!$B$34+SUMIFS(H$53:H$318,$A$53:$A$318,"US",$C$53:$C$318,$C35)/'Shared Summary by Dept_US$'!$B$35</f>
        <v>0</v>
      </c>
      <c r="I35" s="71">
        <f ca="1">SUMIFS(I$53:I$318,$A$53:$A$318,"India",$C$53:$C$318,$C35)/'Shared Summary by Dept_US$'!$B$31+SUMIFS(I$53:I$318,$A$53:$A$318,"INDO",$C$53:$C$318,$C35)/'Shared Summary by Dept_US$'!$B$32+SUMIFS(I$53:I$318,$A$53:$A$318,"BD",$C$53:$C$318,$C35)/'Shared Summary by Dept_US$'!$B$33+SUMIFS(I$53:I$318,$A$53:$A$318,"Nepal",$C$53:$C$318,$C35)/'Shared Summary by Dept_US$'!$B$34+SUMIFS(I$53:I$318,$A$53:$A$318,"US",$C$53:$C$318,$C35)/'Shared Summary by Dept_US$'!$B$35</f>
        <v>0</v>
      </c>
      <c r="J35" s="71">
        <f ca="1">SUMIFS(J$53:J$318,$A$53:$A$318,"India",$C$53:$C$318,$C35)/'Shared Summary by Dept_US$'!$B$31+SUMIFS(J$53:J$318,$A$53:$A$318,"INDO",$C$53:$C$318,$C35)/'Shared Summary by Dept_US$'!$B$32+SUMIFS(J$53:J$318,$A$53:$A$318,"BD",$C$53:$C$318,$C35)/'Shared Summary by Dept_US$'!$B$33+SUMIFS(J$53:J$318,$A$53:$A$318,"Nepal",$C$53:$C$318,$C35)/'Shared Summary by Dept_US$'!$B$34+SUMIFS(J$53:J$318,$A$53:$A$318,"US",$C$53:$C$318,$C35)/'Shared Summary by Dept_US$'!$B$35</f>
        <v>0</v>
      </c>
      <c r="K35" s="71">
        <f ca="1">SUMIFS(K$53:K$318,$A$53:$A$318,"India",$C$53:$C$318,$C35)/'Shared Summary by Dept_US$'!$B$31+SUMIFS(K$53:K$318,$A$53:$A$318,"INDO",$C$53:$C$318,$C35)/'Shared Summary by Dept_US$'!$B$32+SUMIFS(K$53:K$318,$A$53:$A$318,"BD",$C$53:$C$318,$C35)/'Shared Summary by Dept_US$'!$B$33+SUMIFS(K$53:K$318,$A$53:$A$318,"Nepal",$C$53:$C$318,$C35)/'Shared Summary by Dept_US$'!$B$34+SUMIFS(K$53:K$318,$A$53:$A$318,"US",$C$53:$C$318,$C35)/'Shared Summary by Dept_US$'!$B$35</f>
        <v>0</v>
      </c>
      <c r="L35" s="71">
        <f ca="1">SUMIFS(L$53:L$318,$A$53:$A$318,"India",$C$53:$C$318,$C35)/'Shared Summary by Dept_US$'!$B$31+SUMIFS(L$53:L$318,$A$53:$A$318,"INDO",$C$53:$C$318,$C35)/'Shared Summary by Dept_US$'!$B$32+SUMIFS(L$53:L$318,$A$53:$A$318,"BD",$C$53:$C$318,$C35)/'Shared Summary by Dept_US$'!$B$33+SUMIFS(L$53:L$318,$A$53:$A$318,"Nepal",$C$53:$C$318,$C35)/'Shared Summary by Dept_US$'!$B$34+SUMIFS(L$53:L$318,$A$53:$A$318,"US",$C$53:$C$318,$C35)/'Shared Summary by Dept_US$'!$B$35</f>
        <v>0</v>
      </c>
      <c r="M35" s="71">
        <f ca="1">SUMIFS(M$53:M$318,$A$53:$A$318,"India",$C$53:$C$318,$C35)/'Shared Summary by Dept_US$'!$B$31+SUMIFS(M$53:M$318,$A$53:$A$318,"INDO",$C$53:$C$318,$C35)/'Shared Summary by Dept_US$'!$B$32+SUMIFS(M$53:M$318,$A$53:$A$318,"BD",$C$53:$C$318,$C35)/'Shared Summary by Dept_US$'!$B$33+SUMIFS(M$53:M$318,$A$53:$A$318,"Nepal",$C$53:$C$318,$C35)/'Shared Summary by Dept_US$'!$B$34+SUMIFS(M$53:M$318,$A$53:$A$318,"US",$C$53:$C$318,$C35)/'Shared Summary by Dept_US$'!$B$35</f>
        <v>0</v>
      </c>
      <c r="N35" s="71">
        <f ca="1">SUMIFS(N$53:N$318,$A$53:$A$318,"India",$C$53:$C$318,$C35)/'Shared Summary by Dept_US$'!$B$31+SUMIFS(N$53:N$318,$A$53:$A$318,"INDO",$C$53:$C$318,$C35)/'Shared Summary by Dept_US$'!$B$32+SUMIFS(N$53:N$318,$A$53:$A$318,"BD",$C$53:$C$318,$C35)/'Shared Summary by Dept_US$'!$B$33+SUMIFS(N$53:N$318,$A$53:$A$318,"Nepal",$C$53:$C$318,$C35)/'Shared Summary by Dept_US$'!$B$34+SUMIFS(N$53:N$318,$A$53:$A$318,"US",$C$53:$C$318,$C35)/'Shared Summary by Dept_US$'!$B$35</f>
        <v>0</v>
      </c>
      <c r="O35" s="71">
        <f ca="1">SUMIFS(O$53:O$318,$A$53:$A$318,"India",$C$53:$C$318,$C35)/'Shared Summary by Dept_US$'!$B$31+SUMIFS(O$53:O$318,$A$53:$A$318,"INDO",$C$53:$C$318,$C35)/'Shared Summary by Dept_US$'!$B$32+SUMIFS(O$53:O$318,$A$53:$A$318,"BD",$C$53:$C$318,$C35)/'Shared Summary by Dept_US$'!$B$33+SUMIFS(O$53:O$318,$A$53:$A$318,"Nepal",$C$53:$C$318,$C35)/'Shared Summary by Dept_US$'!$B$34+SUMIFS(O$53:O$318,$A$53:$A$318,"US",$C$53:$C$318,$C35)/'Shared Summary by Dept_US$'!$B$35</f>
        <v>0</v>
      </c>
      <c r="P35" s="71">
        <f ca="1">SUMIFS(P$53:P$318,$A$53:$A$318,"India",$C$53:$C$318,$C35)/'Shared Summary by Dept_US$'!$B$31+SUMIFS(P$53:P$318,$A$53:$A$318,"INDO",$C$53:$C$318,$C35)/'Shared Summary by Dept_US$'!$B$32+SUMIFS(P$53:P$318,$A$53:$A$318,"BD",$C$53:$C$318,$C35)/'Shared Summary by Dept_US$'!$B$33+SUMIFS(P$53:P$318,$A$53:$A$318,"Nepal",$C$53:$C$318,$C35)/'Shared Summary by Dept_US$'!$B$34+SUMIFS(P$53:P$318,$A$53:$A$318,"US",$C$53:$C$318,$C35)/'Shared Summary by Dept_US$'!$B$35</f>
        <v>0</v>
      </c>
      <c r="Q35" s="71">
        <f ca="1">SUMIFS(Q$53:Q$318,$A$53:$A$318,"India",$C$53:$C$318,$C35)/'Shared Summary by Dept_US$'!$B$31+SUMIFS(Q$53:Q$318,$A$53:$A$318,"INDO",$C$53:$C$318,$C35)/'Shared Summary by Dept_US$'!$B$32+SUMIFS(Q$53:Q$318,$A$53:$A$318,"BD",$C$53:$C$318,$C35)/'Shared Summary by Dept_US$'!$B$33+SUMIFS(Q$53:Q$318,$A$53:$A$318,"Nepal",$C$53:$C$318,$C35)/'Shared Summary by Dept_US$'!$B$34+SUMIFS(Q$53:Q$318,$A$53:$A$318,"US",$C$53:$C$318,$C35)/'Shared Summary by Dept_US$'!$B$35</f>
        <v>0</v>
      </c>
      <c r="S35" s="106"/>
      <c r="T35" s="107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spans="1:34" ht="15.75" customHeight="1" x14ac:dyDescent="0.85">
      <c r="A36" s="32" t="s">
        <v>35</v>
      </c>
      <c r="B36" s="108" t="s">
        <v>105</v>
      </c>
      <c r="C36" s="64" t="s">
        <v>123</v>
      </c>
      <c r="D36" s="110">
        <v>93413</v>
      </c>
      <c r="E36" s="111">
        <f t="shared" ca="1" si="0"/>
        <v>0</v>
      </c>
      <c r="F36" s="71">
        <f ca="1">SUMIFS(F$53:F$318,$A$53:$A$318,"India",$C$53:$C$318,$C36)/'Shared Summary by Dept_US$'!$B$31+SUMIFS(F$53:F$318,$A$53:$A$318,"INDO",$C$53:$C$318,$C36)/'Shared Summary by Dept_US$'!$B$32+SUMIFS(F$53:F$318,$A$53:$A$318,"BD",$C$53:$C$318,$C36)/'Shared Summary by Dept_US$'!$B$33+SUMIFS(F$53:F$318,$A$53:$A$318,"Nepal",$C$53:$C$318,$C36)/'Shared Summary by Dept_US$'!$B$34+SUMIFS(F$53:F$318,$A$53:$A$318,"US",$C$53:$C$318,$C36)/'Shared Summary by Dept_US$'!$B$35</f>
        <v>0</v>
      </c>
      <c r="G36" s="71">
        <f ca="1">SUMIFS(G$53:G$318,$A$53:$A$318,"India",$C$53:$C$318,$C36)/'Shared Summary by Dept_US$'!$B$31+SUMIFS(G$53:G$318,$A$53:$A$318,"INDO",$C$53:$C$318,$C36)/'Shared Summary by Dept_US$'!$B$32+SUMIFS(G$53:G$318,$A$53:$A$318,"BD",$C$53:$C$318,$C36)/'Shared Summary by Dept_US$'!$B$33+SUMIFS(G$53:G$318,$A$53:$A$318,"Nepal",$C$53:$C$318,$C36)/'Shared Summary by Dept_US$'!$B$34+SUMIFS(G$53:G$318,$A$53:$A$318,"US",$C$53:$C$318,$C36)/'Shared Summary by Dept_US$'!$B$35</f>
        <v>0</v>
      </c>
      <c r="H36" s="71">
        <f ca="1">SUMIFS(H$53:H$318,$A$53:$A$318,"India",$C$53:$C$318,$C36)/'Shared Summary by Dept_US$'!$B$31+SUMIFS(H$53:H$318,$A$53:$A$318,"INDO",$C$53:$C$318,$C36)/'Shared Summary by Dept_US$'!$B$32+SUMIFS(H$53:H$318,$A$53:$A$318,"BD",$C$53:$C$318,$C36)/'Shared Summary by Dept_US$'!$B$33+SUMIFS(H$53:H$318,$A$53:$A$318,"Nepal",$C$53:$C$318,$C36)/'Shared Summary by Dept_US$'!$B$34+SUMIFS(H$53:H$318,$A$53:$A$318,"US",$C$53:$C$318,$C36)/'Shared Summary by Dept_US$'!$B$35</f>
        <v>0</v>
      </c>
      <c r="I36" s="71">
        <f ca="1">SUMIFS(I$53:I$318,$A$53:$A$318,"India",$C$53:$C$318,$C36)/'Shared Summary by Dept_US$'!$B$31+SUMIFS(I$53:I$318,$A$53:$A$318,"INDO",$C$53:$C$318,$C36)/'Shared Summary by Dept_US$'!$B$32+SUMIFS(I$53:I$318,$A$53:$A$318,"BD",$C$53:$C$318,$C36)/'Shared Summary by Dept_US$'!$B$33+SUMIFS(I$53:I$318,$A$53:$A$318,"Nepal",$C$53:$C$318,$C36)/'Shared Summary by Dept_US$'!$B$34+SUMIFS(I$53:I$318,$A$53:$A$318,"US",$C$53:$C$318,$C36)/'Shared Summary by Dept_US$'!$B$35</f>
        <v>0</v>
      </c>
      <c r="J36" s="71">
        <f ca="1">SUMIFS(J$53:J$318,$A$53:$A$318,"India",$C$53:$C$318,$C36)/'Shared Summary by Dept_US$'!$B$31+SUMIFS(J$53:J$318,$A$53:$A$318,"INDO",$C$53:$C$318,$C36)/'Shared Summary by Dept_US$'!$B$32+SUMIFS(J$53:J$318,$A$53:$A$318,"BD",$C$53:$C$318,$C36)/'Shared Summary by Dept_US$'!$B$33+SUMIFS(J$53:J$318,$A$53:$A$318,"Nepal",$C$53:$C$318,$C36)/'Shared Summary by Dept_US$'!$B$34+SUMIFS(J$53:J$318,$A$53:$A$318,"US",$C$53:$C$318,$C36)/'Shared Summary by Dept_US$'!$B$35</f>
        <v>0</v>
      </c>
      <c r="K36" s="71">
        <f ca="1">SUMIFS(K$53:K$318,$A$53:$A$318,"India",$C$53:$C$318,$C36)/'Shared Summary by Dept_US$'!$B$31+SUMIFS(K$53:K$318,$A$53:$A$318,"INDO",$C$53:$C$318,$C36)/'Shared Summary by Dept_US$'!$B$32+SUMIFS(K$53:K$318,$A$53:$A$318,"BD",$C$53:$C$318,$C36)/'Shared Summary by Dept_US$'!$B$33+SUMIFS(K$53:K$318,$A$53:$A$318,"Nepal",$C$53:$C$318,$C36)/'Shared Summary by Dept_US$'!$B$34+SUMIFS(K$53:K$318,$A$53:$A$318,"US",$C$53:$C$318,$C36)/'Shared Summary by Dept_US$'!$B$35</f>
        <v>0</v>
      </c>
      <c r="L36" s="71">
        <f ca="1">SUMIFS(L$53:L$318,$A$53:$A$318,"India",$C$53:$C$318,$C36)/'Shared Summary by Dept_US$'!$B$31+SUMIFS(L$53:L$318,$A$53:$A$318,"INDO",$C$53:$C$318,$C36)/'Shared Summary by Dept_US$'!$B$32+SUMIFS(L$53:L$318,$A$53:$A$318,"BD",$C$53:$C$318,$C36)/'Shared Summary by Dept_US$'!$B$33+SUMIFS(L$53:L$318,$A$53:$A$318,"Nepal",$C$53:$C$318,$C36)/'Shared Summary by Dept_US$'!$B$34+SUMIFS(L$53:L$318,$A$53:$A$318,"US",$C$53:$C$318,$C36)/'Shared Summary by Dept_US$'!$B$35</f>
        <v>0</v>
      </c>
      <c r="M36" s="71">
        <f ca="1">SUMIFS(M$53:M$318,$A$53:$A$318,"India",$C$53:$C$318,$C36)/'Shared Summary by Dept_US$'!$B$31+SUMIFS(M$53:M$318,$A$53:$A$318,"INDO",$C$53:$C$318,$C36)/'Shared Summary by Dept_US$'!$B$32+SUMIFS(M$53:M$318,$A$53:$A$318,"BD",$C$53:$C$318,$C36)/'Shared Summary by Dept_US$'!$B$33+SUMIFS(M$53:M$318,$A$53:$A$318,"Nepal",$C$53:$C$318,$C36)/'Shared Summary by Dept_US$'!$B$34+SUMIFS(M$53:M$318,$A$53:$A$318,"US",$C$53:$C$318,$C36)/'Shared Summary by Dept_US$'!$B$35</f>
        <v>0</v>
      </c>
      <c r="N36" s="71">
        <f ca="1">SUMIFS(N$53:N$318,$A$53:$A$318,"India",$C$53:$C$318,$C36)/'Shared Summary by Dept_US$'!$B$31+SUMIFS(N$53:N$318,$A$53:$A$318,"INDO",$C$53:$C$318,$C36)/'Shared Summary by Dept_US$'!$B$32+SUMIFS(N$53:N$318,$A$53:$A$318,"BD",$C$53:$C$318,$C36)/'Shared Summary by Dept_US$'!$B$33+SUMIFS(N$53:N$318,$A$53:$A$318,"Nepal",$C$53:$C$318,$C36)/'Shared Summary by Dept_US$'!$B$34+SUMIFS(N$53:N$318,$A$53:$A$318,"US",$C$53:$C$318,$C36)/'Shared Summary by Dept_US$'!$B$35</f>
        <v>0</v>
      </c>
      <c r="O36" s="71">
        <f ca="1">SUMIFS(O$53:O$318,$A$53:$A$318,"India",$C$53:$C$318,$C36)/'Shared Summary by Dept_US$'!$B$31+SUMIFS(O$53:O$318,$A$53:$A$318,"INDO",$C$53:$C$318,$C36)/'Shared Summary by Dept_US$'!$B$32+SUMIFS(O$53:O$318,$A$53:$A$318,"BD",$C$53:$C$318,$C36)/'Shared Summary by Dept_US$'!$B$33+SUMIFS(O$53:O$318,$A$53:$A$318,"Nepal",$C$53:$C$318,$C36)/'Shared Summary by Dept_US$'!$B$34+SUMIFS(O$53:O$318,$A$53:$A$318,"US",$C$53:$C$318,$C36)/'Shared Summary by Dept_US$'!$B$35</f>
        <v>0</v>
      </c>
      <c r="P36" s="71">
        <f ca="1">SUMIFS(P$53:P$318,$A$53:$A$318,"India",$C$53:$C$318,$C36)/'Shared Summary by Dept_US$'!$B$31+SUMIFS(P$53:P$318,$A$53:$A$318,"INDO",$C$53:$C$318,$C36)/'Shared Summary by Dept_US$'!$B$32+SUMIFS(P$53:P$318,$A$53:$A$318,"BD",$C$53:$C$318,$C36)/'Shared Summary by Dept_US$'!$B$33+SUMIFS(P$53:P$318,$A$53:$A$318,"Nepal",$C$53:$C$318,$C36)/'Shared Summary by Dept_US$'!$B$34+SUMIFS(P$53:P$318,$A$53:$A$318,"US",$C$53:$C$318,$C36)/'Shared Summary by Dept_US$'!$B$35</f>
        <v>0</v>
      </c>
      <c r="Q36" s="71">
        <f ca="1">SUMIFS(Q$53:Q$318,$A$53:$A$318,"India",$C$53:$C$318,$C36)/'Shared Summary by Dept_US$'!$B$31+SUMIFS(Q$53:Q$318,$A$53:$A$318,"INDO",$C$53:$C$318,$C36)/'Shared Summary by Dept_US$'!$B$32+SUMIFS(Q$53:Q$318,$A$53:$A$318,"BD",$C$53:$C$318,$C36)/'Shared Summary by Dept_US$'!$B$33+SUMIFS(Q$53:Q$318,$A$53:$A$318,"Nepal",$C$53:$C$318,$C36)/'Shared Summary by Dept_US$'!$B$34+SUMIFS(Q$53:Q$318,$A$53:$A$318,"US",$C$53:$C$318,$C36)/'Shared Summary by Dept_US$'!$B$35</f>
        <v>0</v>
      </c>
      <c r="S36" s="106"/>
      <c r="T36" s="107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1:34" ht="15.75" customHeight="1" x14ac:dyDescent="0.85">
      <c r="A37" s="32" t="s">
        <v>35</v>
      </c>
      <c r="B37" s="108" t="s">
        <v>116</v>
      </c>
      <c r="C37" s="109" t="s">
        <v>79</v>
      </c>
      <c r="D37" s="110">
        <v>91303</v>
      </c>
      <c r="E37" s="111">
        <f t="shared" ca="1" si="0"/>
        <v>0</v>
      </c>
      <c r="F37" s="71">
        <f ca="1">SUMIFS(F$53:F$318,$A$53:$A$318,"India",$C$53:$C$318,$C37)/'Shared Summary by Dept_US$'!$B$31+SUMIFS(F$53:F$318,$A$53:$A$318,"INDO",$C$53:$C$318,$C37)/'Shared Summary by Dept_US$'!$B$32+SUMIFS(F$53:F$318,$A$53:$A$318,"BD",$C$53:$C$318,$C37)/'Shared Summary by Dept_US$'!$B$33+SUMIFS(F$53:F$318,$A$53:$A$318,"Nepal",$C$53:$C$318,$C37)/'Shared Summary by Dept_US$'!$B$34+SUMIFS(F$53:F$318,$A$53:$A$318,"US",$C$53:$C$318,$C37)/'Shared Summary by Dept_US$'!$B$35</f>
        <v>0</v>
      </c>
      <c r="G37" s="71">
        <f ca="1">SUMIFS(G$53:G$318,$A$53:$A$318,"India",$C$53:$C$318,$C37)/'Shared Summary by Dept_US$'!$B$31+SUMIFS(G$53:G$318,$A$53:$A$318,"INDO",$C$53:$C$318,$C37)/'Shared Summary by Dept_US$'!$B$32+SUMIFS(G$53:G$318,$A$53:$A$318,"BD",$C$53:$C$318,$C37)/'Shared Summary by Dept_US$'!$B$33+SUMIFS(G$53:G$318,$A$53:$A$318,"Nepal",$C$53:$C$318,$C37)/'Shared Summary by Dept_US$'!$B$34+SUMIFS(G$53:G$318,$A$53:$A$318,"US",$C$53:$C$318,$C37)/'Shared Summary by Dept_US$'!$B$35</f>
        <v>0</v>
      </c>
      <c r="H37" s="71">
        <f ca="1">SUMIFS(H$53:H$318,$A$53:$A$318,"India",$C$53:$C$318,$C37)/'Shared Summary by Dept_US$'!$B$31+SUMIFS(H$53:H$318,$A$53:$A$318,"INDO",$C$53:$C$318,$C37)/'Shared Summary by Dept_US$'!$B$32+SUMIFS(H$53:H$318,$A$53:$A$318,"BD",$C$53:$C$318,$C37)/'Shared Summary by Dept_US$'!$B$33+SUMIFS(H$53:H$318,$A$53:$A$318,"Nepal",$C$53:$C$318,$C37)/'Shared Summary by Dept_US$'!$B$34+SUMIFS(H$53:H$318,$A$53:$A$318,"US",$C$53:$C$318,$C37)/'Shared Summary by Dept_US$'!$B$35</f>
        <v>0</v>
      </c>
      <c r="I37" s="71">
        <f ca="1">SUMIFS(I$53:I$318,$A$53:$A$318,"India",$C$53:$C$318,$C37)/'Shared Summary by Dept_US$'!$B$31+SUMIFS(I$53:I$318,$A$53:$A$318,"INDO",$C$53:$C$318,$C37)/'Shared Summary by Dept_US$'!$B$32+SUMIFS(I$53:I$318,$A$53:$A$318,"BD",$C$53:$C$318,$C37)/'Shared Summary by Dept_US$'!$B$33+SUMIFS(I$53:I$318,$A$53:$A$318,"Nepal",$C$53:$C$318,$C37)/'Shared Summary by Dept_US$'!$B$34+SUMIFS(I$53:I$318,$A$53:$A$318,"US",$C$53:$C$318,$C37)/'Shared Summary by Dept_US$'!$B$35</f>
        <v>0</v>
      </c>
      <c r="J37" s="71">
        <f ca="1">SUMIFS(J$53:J$318,$A$53:$A$318,"India",$C$53:$C$318,$C37)/'Shared Summary by Dept_US$'!$B$31+SUMIFS(J$53:J$318,$A$53:$A$318,"INDO",$C$53:$C$318,$C37)/'Shared Summary by Dept_US$'!$B$32+SUMIFS(J$53:J$318,$A$53:$A$318,"BD",$C$53:$C$318,$C37)/'Shared Summary by Dept_US$'!$B$33+SUMIFS(J$53:J$318,$A$53:$A$318,"Nepal",$C$53:$C$318,$C37)/'Shared Summary by Dept_US$'!$B$34+SUMIFS(J$53:J$318,$A$53:$A$318,"US",$C$53:$C$318,$C37)/'Shared Summary by Dept_US$'!$B$35</f>
        <v>0</v>
      </c>
      <c r="K37" s="71">
        <f ca="1">SUMIFS(K$53:K$318,$A$53:$A$318,"India",$C$53:$C$318,$C37)/'Shared Summary by Dept_US$'!$B$31+SUMIFS(K$53:K$318,$A$53:$A$318,"INDO",$C$53:$C$318,$C37)/'Shared Summary by Dept_US$'!$B$32+SUMIFS(K$53:K$318,$A$53:$A$318,"BD",$C$53:$C$318,$C37)/'Shared Summary by Dept_US$'!$B$33+SUMIFS(K$53:K$318,$A$53:$A$318,"Nepal",$C$53:$C$318,$C37)/'Shared Summary by Dept_US$'!$B$34+SUMIFS(K$53:K$318,$A$53:$A$318,"US",$C$53:$C$318,$C37)/'Shared Summary by Dept_US$'!$B$35</f>
        <v>0</v>
      </c>
      <c r="L37" s="71">
        <f ca="1">SUMIFS(L$53:L$318,$A$53:$A$318,"India",$C$53:$C$318,$C37)/'Shared Summary by Dept_US$'!$B$31+SUMIFS(L$53:L$318,$A$53:$A$318,"INDO",$C$53:$C$318,$C37)/'Shared Summary by Dept_US$'!$B$32+SUMIFS(L$53:L$318,$A$53:$A$318,"BD",$C$53:$C$318,$C37)/'Shared Summary by Dept_US$'!$B$33+SUMIFS(L$53:L$318,$A$53:$A$318,"Nepal",$C$53:$C$318,$C37)/'Shared Summary by Dept_US$'!$B$34+SUMIFS(L$53:L$318,$A$53:$A$318,"US",$C$53:$C$318,$C37)/'Shared Summary by Dept_US$'!$B$35</f>
        <v>0</v>
      </c>
      <c r="M37" s="71">
        <f ca="1">SUMIFS(M$53:M$318,$A$53:$A$318,"India",$C$53:$C$318,$C37)/'Shared Summary by Dept_US$'!$B$31+SUMIFS(M$53:M$318,$A$53:$A$318,"INDO",$C$53:$C$318,$C37)/'Shared Summary by Dept_US$'!$B$32+SUMIFS(M$53:M$318,$A$53:$A$318,"BD",$C$53:$C$318,$C37)/'Shared Summary by Dept_US$'!$B$33+SUMIFS(M$53:M$318,$A$53:$A$318,"Nepal",$C$53:$C$318,$C37)/'Shared Summary by Dept_US$'!$B$34+SUMIFS(M$53:M$318,$A$53:$A$318,"US",$C$53:$C$318,$C37)/'Shared Summary by Dept_US$'!$B$35</f>
        <v>0</v>
      </c>
      <c r="N37" s="71">
        <f ca="1">SUMIFS(N$53:N$318,$A$53:$A$318,"India",$C$53:$C$318,$C37)/'Shared Summary by Dept_US$'!$B$31+SUMIFS(N$53:N$318,$A$53:$A$318,"INDO",$C$53:$C$318,$C37)/'Shared Summary by Dept_US$'!$B$32+SUMIFS(N$53:N$318,$A$53:$A$318,"BD",$C$53:$C$318,$C37)/'Shared Summary by Dept_US$'!$B$33+SUMIFS(N$53:N$318,$A$53:$A$318,"Nepal",$C$53:$C$318,$C37)/'Shared Summary by Dept_US$'!$B$34+SUMIFS(N$53:N$318,$A$53:$A$318,"US",$C$53:$C$318,$C37)/'Shared Summary by Dept_US$'!$B$35</f>
        <v>0</v>
      </c>
      <c r="O37" s="71">
        <f ca="1">SUMIFS(O$53:O$318,$A$53:$A$318,"India",$C$53:$C$318,$C37)/'Shared Summary by Dept_US$'!$B$31+SUMIFS(O$53:O$318,$A$53:$A$318,"INDO",$C$53:$C$318,$C37)/'Shared Summary by Dept_US$'!$B$32+SUMIFS(O$53:O$318,$A$53:$A$318,"BD",$C$53:$C$318,$C37)/'Shared Summary by Dept_US$'!$B$33+SUMIFS(O$53:O$318,$A$53:$A$318,"Nepal",$C$53:$C$318,$C37)/'Shared Summary by Dept_US$'!$B$34+SUMIFS(O$53:O$318,$A$53:$A$318,"US",$C$53:$C$318,$C37)/'Shared Summary by Dept_US$'!$B$35</f>
        <v>0</v>
      </c>
      <c r="P37" s="71">
        <f ca="1">SUMIFS(P$53:P$318,$A$53:$A$318,"India",$C$53:$C$318,$C37)/'Shared Summary by Dept_US$'!$B$31+SUMIFS(P$53:P$318,$A$53:$A$318,"INDO",$C$53:$C$318,$C37)/'Shared Summary by Dept_US$'!$B$32+SUMIFS(P$53:P$318,$A$53:$A$318,"BD",$C$53:$C$318,$C37)/'Shared Summary by Dept_US$'!$B$33+SUMIFS(P$53:P$318,$A$53:$A$318,"Nepal",$C$53:$C$318,$C37)/'Shared Summary by Dept_US$'!$B$34+SUMIFS(P$53:P$318,$A$53:$A$318,"US",$C$53:$C$318,$C37)/'Shared Summary by Dept_US$'!$B$35</f>
        <v>0</v>
      </c>
      <c r="Q37" s="71">
        <f ca="1">SUMIFS(Q$53:Q$318,$A$53:$A$318,"India",$C$53:$C$318,$C37)/'Shared Summary by Dept_US$'!$B$31+SUMIFS(Q$53:Q$318,$A$53:$A$318,"INDO",$C$53:$C$318,$C37)/'Shared Summary by Dept_US$'!$B$32+SUMIFS(Q$53:Q$318,$A$53:$A$318,"BD",$C$53:$C$318,$C37)/'Shared Summary by Dept_US$'!$B$33+SUMIFS(Q$53:Q$318,$A$53:$A$318,"Nepal",$C$53:$C$318,$C37)/'Shared Summary by Dept_US$'!$B$34+SUMIFS(Q$53:Q$318,$A$53:$A$318,"US",$C$53:$C$318,$C37)/'Shared Summary by Dept_US$'!$B$35</f>
        <v>0</v>
      </c>
      <c r="S37" s="106"/>
      <c r="T37" s="107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1:34" ht="15.75" customHeight="1" x14ac:dyDescent="0.85">
      <c r="A38" s="32" t="s">
        <v>35</v>
      </c>
      <c r="B38" s="108" t="s">
        <v>116</v>
      </c>
      <c r="C38" s="109" t="s">
        <v>80</v>
      </c>
      <c r="D38" s="110">
        <v>91303</v>
      </c>
      <c r="E38" s="111">
        <f t="shared" ca="1" si="0"/>
        <v>0</v>
      </c>
      <c r="F38" s="71">
        <f ca="1">SUMIFS(F$53:F$318,$A$53:$A$318,"India",$C$53:$C$318,$C38)/'Shared Summary by Dept_US$'!$B$31+SUMIFS(F$53:F$318,$A$53:$A$318,"INDO",$C$53:$C$318,$C38)/'Shared Summary by Dept_US$'!$B$32+SUMIFS(F$53:F$318,$A$53:$A$318,"BD",$C$53:$C$318,$C38)/'Shared Summary by Dept_US$'!$B$33+SUMIFS(F$53:F$318,$A$53:$A$318,"Nepal",$C$53:$C$318,$C38)/'Shared Summary by Dept_US$'!$B$34+SUMIFS(F$53:F$318,$A$53:$A$318,"US",$C$53:$C$318,$C38)/'Shared Summary by Dept_US$'!$B$35</f>
        <v>0</v>
      </c>
      <c r="G38" s="71">
        <f ca="1">SUMIFS(G$53:G$318,$A$53:$A$318,"India",$C$53:$C$318,$C38)/'Shared Summary by Dept_US$'!$B$31+SUMIFS(G$53:G$318,$A$53:$A$318,"INDO",$C$53:$C$318,$C38)/'Shared Summary by Dept_US$'!$B$32+SUMIFS(G$53:G$318,$A$53:$A$318,"BD",$C$53:$C$318,$C38)/'Shared Summary by Dept_US$'!$B$33+SUMIFS(G$53:G$318,$A$53:$A$318,"Nepal",$C$53:$C$318,$C38)/'Shared Summary by Dept_US$'!$B$34+SUMIFS(G$53:G$318,$A$53:$A$318,"US",$C$53:$C$318,$C38)/'Shared Summary by Dept_US$'!$B$35</f>
        <v>0</v>
      </c>
      <c r="H38" s="71">
        <f ca="1">SUMIFS(H$53:H$318,$A$53:$A$318,"India",$C$53:$C$318,$C38)/'Shared Summary by Dept_US$'!$B$31+SUMIFS(H$53:H$318,$A$53:$A$318,"INDO",$C$53:$C$318,$C38)/'Shared Summary by Dept_US$'!$B$32+SUMIFS(H$53:H$318,$A$53:$A$318,"BD",$C$53:$C$318,$C38)/'Shared Summary by Dept_US$'!$B$33+SUMIFS(H$53:H$318,$A$53:$A$318,"Nepal",$C$53:$C$318,$C38)/'Shared Summary by Dept_US$'!$B$34+SUMIFS(H$53:H$318,$A$53:$A$318,"US",$C$53:$C$318,$C38)/'Shared Summary by Dept_US$'!$B$35</f>
        <v>0</v>
      </c>
      <c r="I38" s="71">
        <f ca="1">SUMIFS(I$53:I$318,$A$53:$A$318,"India",$C$53:$C$318,$C38)/'Shared Summary by Dept_US$'!$B$31+SUMIFS(I$53:I$318,$A$53:$A$318,"INDO",$C$53:$C$318,$C38)/'Shared Summary by Dept_US$'!$B$32+SUMIFS(I$53:I$318,$A$53:$A$318,"BD",$C$53:$C$318,$C38)/'Shared Summary by Dept_US$'!$B$33+SUMIFS(I$53:I$318,$A$53:$A$318,"Nepal",$C$53:$C$318,$C38)/'Shared Summary by Dept_US$'!$B$34+SUMIFS(I$53:I$318,$A$53:$A$318,"US",$C$53:$C$318,$C38)/'Shared Summary by Dept_US$'!$B$35</f>
        <v>0</v>
      </c>
      <c r="J38" s="71">
        <f ca="1">SUMIFS(J$53:J$318,$A$53:$A$318,"India",$C$53:$C$318,$C38)/'Shared Summary by Dept_US$'!$B$31+SUMIFS(J$53:J$318,$A$53:$A$318,"INDO",$C$53:$C$318,$C38)/'Shared Summary by Dept_US$'!$B$32+SUMIFS(J$53:J$318,$A$53:$A$318,"BD",$C$53:$C$318,$C38)/'Shared Summary by Dept_US$'!$B$33+SUMIFS(J$53:J$318,$A$53:$A$318,"Nepal",$C$53:$C$318,$C38)/'Shared Summary by Dept_US$'!$B$34+SUMIFS(J$53:J$318,$A$53:$A$318,"US",$C$53:$C$318,$C38)/'Shared Summary by Dept_US$'!$B$35</f>
        <v>0</v>
      </c>
      <c r="K38" s="71">
        <f ca="1">SUMIFS(K$53:K$318,$A$53:$A$318,"India",$C$53:$C$318,$C38)/'Shared Summary by Dept_US$'!$B$31+SUMIFS(K$53:K$318,$A$53:$A$318,"INDO",$C$53:$C$318,$C38)/'Shared Summary by Dept_US$'!$B$32+SUMIFS(K$53:K$318,$A$53:$A$318,"BD",$C$53:$C$318,$C38)/'Shared Summary by Dept_US$'!$B$33+SUMIFS(K$53:K$318,$A$53:$A$318,"Nepal",$C$53:$C$318,$C38)/'Shared Summary by Dept_US$'!$B$34+SUMIFS(K$53:K$318,$A$53:$A$318,"US",$C$53:$C$318,$C38)/'Shared Summary by Dept_US$'!$B$35</f>
        <v>0</v>
      </c>
      <c r="L38" s="71">
        <f ca="1">SUMIFS(L$53:L$318,$A$53:$A$318,"India",$C$53:$C$318,$C38)/'Shared Summary by Dept_US$'!$B$31+SUMIFS(L$53:L$318,$A$53:$A$318,"INDO",$C$53:$C$318,$C38)/'Shared Summary by Dept_US$'!$B$32+SUMIFS(L$53:L$318,$A$53:$A$318,"BD",$C$53:$C$318,$C38)/'Shared Summary by Dept_US$'!$B$33+SUMIFS(L$53:L$318,$A$53:$A$318,"Nepal",$C$53:$C$318,$C38)/'Shared Summary by Dept_US$'!$B$34+SUMIFS(L$53:L$318,$A$53:$A$318,"US",$C$53:$C$318,$C38)/'Shared Summary by Dept_US$'!$B$35</f>
        <v>0</v>
      </c>
      <c r="M38" s="71">
        <f ca="1">SUMIFS(M$53:M$318,$A$53:$A$318,"India",$C$53:$C$318,$C38)/'Shared Summary by Dept_US$'!$B$31+SUMIFS(M$53:M$318,$A$53:$A$318,"INDO",$C$53:$C$318,$C38)/'Shared Summary by Dept_US$'!$B$32+SUMIFS(M$53:M$318,$A$53:$A$318,"BD",$C$53:$C$318,$C38)/'Shared Summary by Dept_US$'!$B$33+SUMIFS(M$53:M$318,$A$53:$A$318,"Nepal",$C$53:$C$318,$C38)/'Shared Summary by Dept_US$'!$B$34+SUMIFS(M$53:M$318,$A$53:$A$318,"US",$C$53:$C$318,$C38)/'Shared Summary by Dept_US$'!$B$35</f>
        <v>0</v>
      </c>
      <c r="N38" s="71">
        <f ca="1">SUMIFS(N$53:N$318,$A$53:$A$318,"India",$C$53:$C$318,$C38)/'Shared Summary by Dept_US$'!$B$31+SUMIFS(N$53:N$318,$A$53:$A$318,"INDO",$C$53:$C$318,$C38)/'Shared Summary by Dept_US$'!$B$32+SUMIFS(N$53:N$318,$A$53:$A$318,"BD",$C$53:$C$318,$C38)/'Shared Summary by Dept_US$'!$B$33+SUMIFS(N$53:N$318,$A$53:$A$318,"Nepal",$C$53:$C$318,$C38)/'Shared Summary by Dept_US$'!$B$34+SUMIFS(N$53:N$318,$A$53:$A$318,"US",$C$53:$C$318,$C38)/'Shared Summary by Dept_US$'!$B$35</f>
        <v>0</v>
      </c>
      <c r="O38" s="71">
        <f ca="1">SUMIFS(O$53:O$318,$A$53:$A$318,"India",$C$53:$C$318,$C38)/'Shared Summary by Dept_US$'!$B$31+SUMIFS(O$53:O$318,$A$53:$A$318,"INDO",$C$53:$C$318,$C38)/'Shared Summary by Dept_US$'!$B$32+SUMIFS(O$53:O$318,$A$53:$A$318,"BD",$C$53:$C$318,$C38)/'Shared Summary by Dept_US$'!$B$33+SUMIFS(O$53:O$318,$A$53:$A$318,"Nepal",$C$53:$C$318,$C38)/'Shared Summary by Dept_US$'!$B$34+SUMIFS(O$53:O$318,$A$53:$A$318,"US",$C$53:$C$318,$C38)/'Shared Summary by Dept_US$'!$B$35</f>
        <v>0</v>
      </c>
      <c r="P38" s="71">
        <f ca="1">SUMIFS(P$53:P$318,$A$53:$A$318,"India",$C$53:$C$318,$C38)/'Shared Summary by Dept_US$'!$B$31+SUMIFS(P$53:P$318,$A$53:$A$318,"INDO",$C$53:$C$318,$C38)/'Shared Summary by Dept_US$'!$B$32+SUMIFS(P$53:P$318,$A$53:$A$318,"BD",$C$53:$C$318,$C38)/'Shared Summary by Dept_US$'!$B$33+SUMIFS(P$53:P$318,$A$53:$A$318,"Nepal",$C$53:$C$318,$C38)/'Shared Summary by Dept_US$'!$B$34+SUMIFS(P$53:P$318,$A$53:$A$318,"US",$C$53:$C$318,$C38)/'Shared Summary by Dept_US$'!$B$35</f>
        <v>0</v>
      </c>
      <c r="Q38" s="71">
        <f ca="1">SUMIFS(Q$53:Q$318,$A$53:$A$318,"India",$C$53:$C$318,$C38)/'Shared Summary by Dept_US$'!$B$31+SUMIFS(Q$53:Q$318,$A$53:$A$318,"INDO",$C$53:$C$318,$C38)/'Shared Summary by Dept_US$'!$B$32+SUMIFS(Q$53:Q$318,$A$53:$A$318,"BD",$C$53:$C$318,$C38)/'Shared Summary by Dept_US$'!$B$33+SUMIFS(Q$53:Q$318,$A$53:$A$318,"Nepal",$C$53:$C$318,$C38)/'Shared Summary by Dept_US$'!$B$34+SUMIFS(Q$53:Q$318,$A$53:$A$318,"US",$C$53:$C$318,$C38)/'Shared Summary by Dept_US$'!$B$35</f>
        <v>0</v>
      </c>
      <c r="S38" s="106"/>
      <c r="T38" s="107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ht="15.75" customHeight="1" x14ac:dyDescent="0.85">
      <c r="A39" s="32" t="s">
        <v>35</v>
      </c>
      <c r="B39" s="108" t="s">
        <v>116</v>
      </c>
      <c r="C39" s="109" t="s">
        <v>82</v>
      </c>
      <c r="D39" s="110">
        <v>91303</v>
      </c>
      <c r="E39" s="111">
        <f t="shared" ca="1" si="0"/>
        <v>0</v>
      </c>
      <c r="F39" s="71">
        <f ca="1">SUMIFS(F$53:F$318,$A$53:$A$318,"India",$C$53:$C$318,$C39)/'Shared Summary by Dept_US$'!$B$31+SUMIFS(F$53:F$318,$A$53:$A$318,"INDO",$C$53:$C$318,$C39)/'Shared Summary by Dept_US$'!$B$32+SUMIFS(F$53:F$318,$A$53:$A$318,"BD",$C$53:$C$318,$C39)/'Shared Summary by Dept_US$'!$B$33+SUMIFS(F$53:F$318,$A$53:$A$318,"Nepal",$C$53:$C$318,$C39)/'Shared Summary by Dept_US$'!$B$34+SUMIFS(F$53:F$318,$A$53:$A$318,"US",$C$53:$C$318,$C39)/'Shared Summary by Dept_US$'!$B$35</f>
        <v>0</v>
      </c>
      <c r="G39" s="71">
        <f ca="1">SUMIFS(G$53:G$318,$A$53:$A$318,"India",$C$53:$C$318,$C39)/'Shared Summary by Dept_US$'!$B$31+SUMIFS(G$53:G$318,$A$53:$A$318,"INDO",$C$53:$C$318,$C39)/'Shared Summary by Dept_US$'!$B$32+SUMIFS(G$53:G$318,$A$53:$A$318,"BD",$C$53:$C$318,$C39)/'Shared Summary by Dept_US$'!$B$33+SUMIFS(G$53:G$318,$A$53:$A$318,"Nepal",$C$53:$C$318,$C39)/'Shared Summary by Dept_US$'!$B$34+SUMIFS(G$53:G$318,$A$53:$A$318,"US",$C$53:$C$318,$C39)/'Shared Summary by Dept_US$'!$B$35</f>
        <v>0</v>
      </c>
      <c r="H39" s="71">
        <f ca="1">SUMIFS(H$53:H$318,$A$53:$A$318,"India",$C$53:$C$318,$C39)/'Shared Summary by Dept_US$'!$B$31+SUMIFS(H$53:H$318,$A$53:$A$318,"INDO",$C$53:$C$318,$C39)/'Shared Summary by Dept_US$'!$B$32+SUMIFS(H$53:H$318,$A$53:$A$318,"BD",$C$53:$C$318,$C39)/'Shared Summary by Dept_US$'!$B$33+SUMIFS(H$53:H$318,$A$53:$A$318,"Nepal",$C$53:$C$318,$C39)/'Shared Summary by Dept_US$'!$B$34+SUMIFS(H$53:H$318,$A$53:$A$318,"US",$C$53:$C$318,$C39)/'Shared Summary by Dept_US$'!$B$35</f>
        <v>0</v>
      </c>
      <c r="I39" s="71">
        <f ca="1">SUMIFS(I$53:I$318,$A$53:$A$318,"India",$C$53:$C$318,$C39)/'Shared Summary by Dept_US$'!$B$31+SUMIFS(I$53:I$318,$A$53:$A$318,"INDO",$C$53:$C$318,$C39)/'Shared Summary by Dept_US$'!$B$32+SUMIFS(I$53:I$318,$A$53:$A$318,"BD",$C$53:$C$318,$C39)/'Shared Summary by Dept_US$'!$B$33+SUMIFS(I$53:I$318,$A$53:$A$318,"Nepal",$C$53:$C$318,$C39)/'Shared Summary by Dept_US$'!$B$34+SUMIFS(I$53:I$318,$A$53:$A$318,"US",$C$53:$C$318,$C39)/'Shared Summary by Dept_US$'!$B$35</f>
        <v>0</v>
      </c>
      <c r="J39" s="71">
        <f ca="1">SUMIFS(J$53:J$318,$A$53:$A$318,"India",$C$53:$C$318,$C39)/'Shared Summary by Dept_US$'!$B$31+SUMIFS(J$53:J$318,$A$53:$A$318,"INDO",$C$53:$C$318,$C39)/'Shared Summary by Dept_US$'!$B$32+SUMIFS(J$53:J$318,$A$53:$A$318,"BD",$C$53:$C$318,$C39)/'Shared Summary by Dept_US$'!$B$33+SUMIFS(J$53:J$318,$A$53:$A$318,"Nepal",$C$53:$C$318,$C39)/'Shared Summary by Dept_US$'!$B$34+SUMIFS(J$53:J$318,$A$53:$A$318,"US",$C$53:$C$318,$C39)/'Shared Summary by Dept_US$'!$B$35</f>
        <v>0</v>
      </c>
      <c r="K39" s="71">
        <f ca="1">SUMIFS(K$53:K$318,$A$53:$A$318,"India",$C$53:$C$318,$C39)/'Shared Summary by Dept_US$'!$B$31+SUMIFS(K$53:K$318,$A$53:$A$318,"INDO",$C$53:$C$318,$C39)/'Shared Summary by Dept_US$'!$B$32+SUMIFS(K$53:K$318,$A$53:$A$318,"BD",$C$53:$C$318,$C39)/'Shared Summary by Dept_US$'!$B$33+SUMIFS(K$53:K$318,$A$53:$A$318,"Nepal",$C$53:$C$318,$C39)/'Shared Summary by Dept_US$'!$B$34+SUMIFS(K$53:K$318,$A$53:$A$318,"US",$C$53:$C$318,$C39)/'Shared Summary by Dept_US$'!$B$35</f>
        <v>0</v>
      </c>
      <c r="L39" s="71">
        <f ca="1">SUMIFS(L$53:L$318,$A$53:$A$318,"India",$C$53:$C$318,$C39)/'Shared Summary by Dept_US$'!$B$31+SUMIFS(L$53:L$318,$A$53:$A$318,"INDO",$C$53:$C$318,$C39)/'Shared Summary by Dept_US$'!$B$32+SUMIFS(L$53:L$318,$A$53:$A$318,"BD",$C$53:$C$318,$C39)/'Shared Summary by Dept_US$'!$B$33+SUMIFS(L$53:L$318,$A$53:$A$318,"Nepal",$C$53:$C$318,$C39)/'Shared Summary by Dept_US$'!$B$34+SUMIFS(L$53:L$318,$A$53:$A$318,"US",$C$53:$C$318,$C39)/'Shared Summary by Dept_US$'!$B$35</f>
        <v>0</v>
      </c>
      <c r="M39" s="71">
        <f ca="1">SUMIFS(M$53:M$318,$A$53:$A$318,"India",$C$53:$C$318,$C39)/'Shared Summary by Dept_US$'!$B$31+SUMIFS(M$53:M$318,$A$53:$A$318,"INDO",$C$53:$C$318,$C39)/'Shared Summary by Dept_US$'!$B$32+SUMIFS(M$53:M$318,$A$53:$A$318,"BD",$C$53:$C$318,$C39)/'Shared Summary by Dept_US$'!$B$33+SUMIFS(M$53:M$318,$A$53:$A$318,"Nepal",$C$53:$C$318,$C39)/'Shared Summary by Dept_US$'!$B$34+SUMIFS(M$53:M$318,$A$53:$A$318,"US",$C$53:$C$318,$C39)/'Shared Summary by Dept_US$'!$B$35</f>
        <v>0</v>
      </c>
      <c r="N39" s="71">
        <f ca="1">SUMIFS(N$53:N$318,$A$53:$A$318,"India",$C$53:$C$318,$C39)/'Shared Summary by Dept_US$'!$B$31+SUMIFS(N$53:N$318,$A$53:$A$318,"INDO",$C$53:$C$318,$C39)/'Shared Summary by Dept_US$'!$B$32+SUMIFS(N$53:N$318,$A$53:$A$318,"BD",$C$53:$C$318,$C39)/'Shared Summary by Dept_US$'!$B$33+SUMIFS(N$53:N$318,$A$53:$A$318,"Nepal",$C$53:$C$318,$C39)/'Shared Summary by Dept_US$'!$B$34+SUMIFS(N$53:N$318,$A$53:$A$318,"US",$C$53:$C$318,$C39)/'Shared Summary by Dept_US$'!$B$35</f>
        <v>0</v>
      </c>
      <c r="O39" s="71">
        <f ca="1">SUMIFS(O$53:O$318,$A$53:$A$318,"India",$C$53:$C$318,$C39)/'Shared Summary by Dept_US$'!$B$31+SUMIFS(O$53:O$318,$A$53:$A$318,"INDO",$C$53:$C$318,$C39)/'Shared Summary by Dept_US$'!$B$32+SUMIFS(O$53:O$318,$A$53:$A$318,"BD",$C$53:$C$318,$C39)/'Shared Summary by Dept_US$'!$B$33+SUMIFS(O$53:O$318,$A$53:$A$318,"Nepal",$C$53:$C$318,$C39)/'Shared Summary by Dept_US$'!$B$34+SUMIFS(O$53:O$318,$A$53:$A$318,"US",$C$53:$C$318,$C39)/'Shared Summary by Dept_US$'!$B$35</f>
        <v>0</v>
      </c>
      <c r="P39" s="71">
        <f ca="1">SUMIFS(P$53:P$318,$A$53:$A$318,"India",$C$53:$C$318,$C39)/'Shared Summary by Dept_US$'!$B$31+SUMIFS(P$53:P$318,$A$53:$A$318,"INDO",$C$53:$C$318,$C39)/'Shared Summary by Dept_US$'!$B$32+SUMIFS(P$53:P$318,$A$53:$A$318,"BD",$C$53:$C$318,$C39)/'Shared Summary by Dept_US$'!$B$33+SUMIFS(P$53:P$318,$A$53:$A$318,"Nepal",$C$53:$C$318,$C39)/'Shared Summary by Dept_US$'!$B$34+SUMIFS(P$53:P$318,$A$53:$A$318,"US",$C$53:$C$318,$C39)/'Shared Summary by Dept_US$'!$B$35</f>
        <v>0</v>
      </c>
      <c r="Q39" s="71">
        <f ca="1">SUMIFS(Q$53:Q$318,$A$53:$A$318,"India",$C$53:$C$318,$C39)/'Shared Summary by Dept_US$'!$B$31+SUMIFS(Q$53:Q$318,$A$53:$A$318,"INDO",$C$53:$C$318,$C39)/'Shared Summary by Dept_US$'!$B$32+SUMIFS(Q$53:Q$318,$A$53:$A$318,"BD",$C$53:$C$318,$C39)/'Shared Summary by Dept_US$'!$B$33+SUMIFS(Q$53:Q$318,$A$53:$A$318,"Nepal",$C$53:$C$318,$C39)/'Shared Summary by Dept_US$'!$B$34+SUMIFS(Q$53:Q$318,$A$53:$A$318,"US",$C$53:$C$318,$C39)/'Shared Summary by Dept_US$'!$B$35</f>
        <v>0</v>
      </c>
      <c r="S39" s="106"/>
      <c r="T39" s="107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1:34" ht="15.75" customHeight="1" x14ac:dyDescent="0.85">
      <c r="A40" s="32" t="s">
        <v>35</v>
      </c>
      <c r="B40" s="108" t="s">
        <v>75</v>
      </c>
      <c r="C40" s="109" t="s">
        <v>83</v>
      </c>
      <c r="D40" s="110">
        <v>91207</v>
      </c>
      <c r="E40" s="111">
        <f t="shared" ca="1" si="0"/>
        <v>0</v>
      </c>
      <c r="F40" s="71">
        <f ca="1">SUMIFS(F$53:F$318,$A$53:$A$318,"India",$C$53:$C$318,$C40)/'Shared Summary by Dept_US$'!$B$31+SUMIFS(F$53:F$318,$A$53:$A$318,"INDO",$C$53:$C$318,$C40)/'Shared Summary by Dept_US$'!$B$32+SUMIFS(F$53:F$318,$A$53:$A$318,"BD",$C$53:$C$318,$C40)/'Shared Summary by Dept_US$'!$B$33+SUMIFS(F$53:F$318,$A$53:$A$318,"Nepal",$C$53:$C$318,$C40)/'Shared Summary by Dept_US$'!$B$34+SUMIFS(F$53:F$318,$A$53:$A$318,"US",$C$53:$C$318,$C40)/'Shared Summary by Dept_US$'!$B$35</f>
        <v>0</v>
      </c>
      <c r="G40" s="71">
        <f ca="1">SUMIFS(G$53:G$318,$A$53:$A$318,"India",$C$53:$C$318,$C40)/'Shared Summary by Dept_US$'!$B$31+SUMIFS(G$53:G$318,$A$53:$A$318,"INDO",$C$53:$C$318,$C40)/'Shared Summary by Dept_US$'!$B$32+SUMIFS(G$53:G$318,$A$53:$A$318,"BD",$C$53:$C$318,$C40)/'Shared Summary by Dept_US$'!$B$33+SUMIFS(G$53:G$318,$A$53:$A$318,"Nepal",$C$53:$C$318,$C40)/'Shared Summary by Dept_US$'!$B$34+SUMIFS(G$53:G$318,$A$53:$A$318,"US",$C$53:$C$318,$C40)/'Shared Summary by Dept_US$'!$B$35</f>
        <v>0</v>
      </c>
      <c r="H40" s="71">
        <f ca="1">SUMIFS(H$53:H$318,$A$53:$A$318,"India",$C$53:$C$318,$C40)/'Shared Summary by Dept_US$'!$B$31+SUMIFS(H$53:H$318,$A$53:$A$318,"INDO",$C$53:$C$318,$C40)/'Shared Summary by Dept_US$'!$B$32+SUMIFS(H$53:H$318,$A$53:$A$318,"BD",$C$53:$C$318,$C40)/'Shared Summary by Dept_US$'!$B$33+SUMIFS(H$53:H$318,$A$53:$A$318,"Nepal",$C$53:$C$318,$C40)/'Shared Summary by Dept_US$'!$B$34+SUMIFS(H$53:H$318,$A$53:$A$318,"US",$C$53:$C$318,$C40)/'Shared Summary by Dept_US$'!$B$35</f>
        <v>0</v>
      </c>
      <c r="I40" s="71">
        <f ca="1">SUMIFS(I$53:I$318,$A$53:$A$318,"India",$C$53:$C$318,$C40)/'Shared Summary by Dept_US$'!$B$31+SUMIFS(I$53:I$318,$A$53:$A$318,"INDO",$C$53:$C$318,$C40)/'Shared Summary by Dept_US$'!$B$32+SUMIFS(I$53:I$318,$A$53:$A$318,"BD",$C$53:$C$318,$C40)/'Shared Summary by Dept_US$'!$B$33+SUMIFS(I$53:I$318,$A$53:$A$318,"Nepal",$C$53:$C$318,$C40)/'Shared Summary by Dept_US$'!$B$34+SUMIFS(I$53:I$318,$A$53:$A$318,"US",$C$53:$C$318,$C40)/'Shared Summary by Dept_US$'!$B$35</f>
        <v>0</v>
      </c>
      <c r="J40" s="71">
        <f ca="1">SUMIFS(J$53:J$318,$A$53:$A$318,"India",$C$53:$C$318,$C40)/'Shared Summary by Dept_US$'!$B$31+SUMIFS(J$53:J$318,$A$53:$A$318,"INDO",$C$53:$C$318,$C40)/'Shared Summary by Dept_US$'!$B$32+SUMIFS(J$53:J$318,$A$53:$A$318,"BD",$C$53:$C$318,$C40)/'Shared Summary by Dept_US$'!$B$33+SUMIFS(J$53:J$318,$A$53:$A$318,"Nepal",$C$53:$C$318,$C40)/'Shared Summary by Dept_US$'!$B$34+SUMIFS(J$53:J$318,$A$53:$A$318,"US",$C$53:$C$318,$C40)/'Shared Summary by Dept_US$'!$B$35</f>
        <v>0</v>
      </c>
      <c r="K40" s="71">
        <f ca="1">SUMIFS(K$53:K$318,$A$53:$A$318,"India",$C$53:$C$318,$C40)/'Shared Summary by Dept_US$'!$B$31+SUMIFS(K$53:K$318,$A$53:$A$318,"INDO",$C$53:$C$318,$C40)/'Shared Summary by Dept_US$'!$B$32+SUMIFS(K$53:K$318,$A$53:$A$318,"BD",$C$53:$C$318,$C40)/'Shared Summary by Dept_US$'!$B$33+SUMIFS(K$53:K$318,$A$53:$A$318,"Nepal",$C$53:$C$318,$C40)/'Shared Summary by Dept_US$'!$B$34+SUMIFS(K$53:K$318,$A$53:$A$318,"US",$C$53:$C$318,$C40)/'Shared Summary by Dept_US$'!$B$35</f>
        <v>0</v>
      </c>
      <c r="L40" s="71">
        <f ca="1">SUMIFS(L$53:L$318,$A$53:$A$318,"India",$C$53:$C$318,$C40)/'Shared Summary by Dept_US$'!$B$31+SUMIFS(L$53:L$318,$A$53:$A$318,"INDO",$C$53:$C$318,$C40)/'Shared Summary by Dept_US$'!$B$32+SUMIFS(L$53:L$318,$A$53:$A$318,"BD",$C$53:$C$318,$C40)/'Shared Summary by Dept_US$'!$B$33+SUMIFS(L$53:L$318,$A$53:$A$318,"Nepal",$C$53:$C$318,$C40)/'Shared Summary by Dept_US$'!$B$34+SUMIFS(L$53:L$318,$A$53:$A$318,"US",$C$53:$C$318,$C40)/'Shared Summary by Dept_US$'!$B$35</f>
        <v>0</v>
      </c>
      <c r="M40" s="71">
        <f ca="1">SUMIFS(M$53:M$318,$A$53:$A$318,"India",$C$53:$C$318,$C40)/'Shared Summary by Dept_US$'!$B$31+SUMIFS(M$53:M$318,$A$53:$A$318,"INDO",$C$53:$C$318,$C40)/'Shared Summary by Dept_US$'!$B$32+SUMIFS(M$53:M$318,$A$53:$A$318,"BD",$C$53:$C$318,$C40)/'Shared Summary by Dept_US$'!$B$33+SUMIFS(M$53:M$318,$A$53:$A$318,"Nepal",$C$53:$C$318,$C40)/'Shared Summary by Dept_US$'!$B$34+SUMIFS(M$53:M$318,$A$53:$A$318,"US",$C$53:$C$318,$C40)/'Shared Summary by Dept_US$'!$B$35</f>
        <v>0</v>
      </c>
      <c r="N40" s="71">
        <f ca="1">SUMIFS(N$53:N$318,$A$53:$A$318,"India",$C$53:$C$318,$C40)/'Shared Summary by Dept_US$'!$B$31+SUMIFS(N$53:N$318,$A$53:$A$318,"INDO",$C$53:$C$318,$C40)/'Shared Summary by Dept_US$'!$B$32+SUMIFS(N$53:N$318,$A$53:$A$318,"BD",$C$53:$C$318,$C40)/'Shared Summary by Dept_US$'!$B$33+SUMIFS(N$53:N$318,$A$53:$A$318,"Nepal",$C$53:$C$318,$C40)/'Shared Summary by Dept_US$'!$B$34+SUMIFS(N$53:N$318,$A$53:$A$318,"US",$C$53:$C$318,$C40)/'Shared Summary by Dept_US$'!$B$35</f>
        <v>0</v>
      </c>
      <c r="O40" s="71">
        <f ca="1">SUMIFS(O$53:O$318,$A$53:$A$318,"India",$C$53:$C$318,$C40)/'Shared Summary by Dept_US$'!$B$31+SUMIFS(O$53:O$318,$A$53:$A$318,"INDO",$C$53:$C$318,$C40)/'Shared Summary by Dept_US$'!$B$32+SUMIFS(O$53:O$318,$A$53:$A$318,"BD",$C$53:$C$318,$C40)/'Shared Summary by Dept_US$'!$B$33+SUMIFS(O$53:O$318,$A$53:$A$318,"Nepal",$C$53:$C$318,$C40)/'Shared Summary by Dept_US$'!$B$34+SUMIFS(O$53:O$318,$A$53:$A$318,"US",$C$53:$C$318,$C40)/'Shared Summary by Dept_US$'!$B$35</f>
        <v>0</v>
      </c>
      <c r="P40" s="71">
        <f ca="1">SUMIFS(P$53:P$318,$A$53:$A$318,"India",$C$53:$C$318,$C40)/'Shared Summary by Dept_US$'!$B$31+SUMIFS(P$53:P$318,$A$53:$A$318,"INDO",$C$53:$C$318,$C40)/'Shared Summary by Dept_US$'!$B$32+SUMIFS(P$53:P$318,$A$53:$A$318,"BD",$C$53:$C$318,$C40)/'Shared Summary by Dept_US$'!$B$33+SUMIFS(P$53:P$318,$A$53:$A$318,"Nepal",$C$53:$C$318,$C40)/'Shared Summary by Dept_US$'!$B$34+SUMIFS(P$53:P$318,$A$53:$A$318,"US",$C$53:$C$318,$C40)/'Shared Summary by Dept_US$'!$B$35</f>
        <v>0</v>
      </c>
      <c r="Q40" s="71">
        <f ca="1">SUMIFS(Q$53:Q$318,$A$53:$A$318,"India",$C$53:$C$318,$C40)/'Shared Summary by Dept_US$'!$B$31+SUMIFS(Q$53:Q$318,$A$53:$A$318,"INDO",$C$53:$C$318,$C40)/'Shared Summary by Dept_US$'!$B$32+SUMIFS(Q$53:Q$318,$A$53:$A$318,"BD",$C$53:$C$318,$C40)/'Shared Summary by Dept_US$'!$B$33+SUMIFS(Q$53:Q$318,$A$53:$A$318,"Nepal",$C$53:$C$318,$C40)/'Shared Summary by Dept_US$'!$B$34+SUMIFS(Q$53:Q$318,$A$53:$A$318,"US",$C$53:$C$318,$C40)/'Shared Summary by Dept_US$'!$B$35</f>
        <v>0</v>
      </c>
      <c r="S40" s="106"/>
      <c r="T40" s="107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1:34" ht="15.75" customHeight="1" x14ac:dyDescent="0.85">
      <c r="A41" s="32" t="s">
        <v>35</v>
      </c>
      <c r="B41" s="108" t="s">
        <v>105</v>
      </c>
      <c r="C41" s="108" t="s">
        <v>124</v>
      </c>
      <c r="D41" s="108"/>
      <c r="E41" s="111">
        <f t="shared" ca="1" si="0"/>
        <v>0</v>
      </c>
      <c r="F41" s="71">
        <f ca="1">SUMIFS(F$53:F$318,$A$53:$A$318,"India",$C$53:$C$318,$C41)/'Shared Summary by Dept_US$'!$B$31+SUMIFS(F$53:F$318,$A$53:$A$318,"INDO",$C$53:$C$318,$C41)/'Shared Summary by Dept_US$'!$B$32+SUMIFS(F$53:F$318,$A$53:$A$318,"BD",$C$53:$C$318,$C41)/'Shared Summary by Dept_US$'!$B$33+SUMIFS(F$53:F$318,$A$53:$A$318,"Nepal",$C$53:$C$318,$C41)/'Shared Summary by Dept_US$'!$B$34+SUMIFS(F$53:F$318,$A$53:$A$318,"US",$C$53:$C$318,$C41)/'Shared Summary by Dept_US$'!$B$35</f>
        <v>0</v>
      </c>
      <c r="G41" s="71">
        <f ca="1">SUMIFS(G$53:G$318,$A$53:$A$318,"India",$C$53:$C$318,$C41)/'Shared Summary by Dept_US$'!$B$31+SUMIFS(G$53:G$318,$A$53:$A$318,"INDO",$C$53:$C$318,$C41)/'Shared Summary by Dept_US$'!$B$32+SUMIFS(G$53:G$318,$A$53:$A$318,"BD",$C$53:$C$318,$C41)/'Shared Summary by Dept_US$'!$B$33+SUMIFS(G$53:G$318,$A$53:$A$318,"Nepal",$C$53:$C$318,$C41)/'Shared Summary by Dept_US$'!$B$34+SUMIFS(G$53:G$318,$A$53:$A$318,"US",$C$53:$C$318,$C41)/'Shared Summary by Dept_US$'!$B$35</f>
        <v>0</v>
      </c>
      <c r="H41" s="71">
        <f ca="1">SUMIFS(H$53:H$318,$A$53:$A$318,"India",$C$53:$C$318,$C41)/'Shared Summary by Dept_US$'!$B$31+SUMIFS(H$53:H$318,$A$53:$A$318,"INDO",$C$53:$C$318,$C41)/'Shared Summary by Dept_US$'!$B$32+SUMIFS(H$53:H$318,$A$53:$A$318,"BD",$C$53:$C$318,$C41)/'Shared Summary by Dept_US$'!$B$33+SUMIFS(H$53:H$318,$A$53:$A$318,"Nepal",$C$53:$C$318,$C41)/'Shared Summary by Dept_US$'!$B$34+SUMIFS(H$53:H$318,$A$53:$A$318,"US",$C$53:$C$318,$C41)/'Shared Summary by Dept_US$'!$B$35</f>
        <v>0</v>
      </c>
      <c r="I41" s="71">
        <f ca="1">SUMIFS(I$53:I$318,$A$53:$A$318,"India",$C$53:$C$318,$C41)/'Shared Summary by Dept_US$'!$B$31+SUMIFS(I$53:I$318,$A$53:$A$318,"INDO",$C$53:$C$318,$C41)/'Shared Summary by Dept_US$'!$B$32+SUMIFS(I$53:I$318,$A$53:$A$318,"BD",$C$53:$C$318,$C41)/'Shared Summary by Dept_US$'!$B$33+SUMIFS(I$53:I$318,$A$53:$A$318,"Nepal",$C$53:$C$318,$C41)/'Shared Summary by Dept_US$'!$B$34+SUMIFS(I$53:I$318,$A$53:$A$318,"US",$C$53:$C$318,$C41)/'Shared Summary by Dept_US$'!$B$35</f>
        <v>0</v>
      </c>
      <c r="J41" s="71">
        <f ca="1">SUMIFS(J$53:J$318,$A$53:$A$318,"India",$C$53:$C$318,$C41)/'Shared Summary by Dept_US$'!$B$31+SUMIFS(J$53:J$318,$A$53:$A$318,"INDO",$C$53:$C$318,$C41)/'Shared Summary by Dept_US$'!$B$32+SUMIFS(J$53:J$318,$A$53:$A$318,"BD",$C$53:$C$318,$C41)/'Shared Summary by Dept_US$'!$B$33+SUMIFS(J$53:J$318,$A$53:$A$318,"Nepal",$C$53:$C$318,$C41)/'Shared Summary by Dept_US$'!$B$34+SUMIFS(J$53:J$318,$A$53:$A$318,"US",$C$53:$C$318,$C41)/'Shared Summary by Dept_US$'!$B$35</f>
        <v>0</v>
      </c>
      <c r="K41" s="71">
        <f ca="1">SUMIFS(K$53:K$318,$A$53:$A$318,"India",$C$53:$C$318,$C41)/'Shared Summary by Dept_US$'!$B$31+SUMIFS(K$53:K$318,$A$53:$A$318,"INDO",$C$53:$C$318,$C41)/'Shared Summary by Dept_US$'!$B$32+SUMIFS(K$53:K$318,$A$53:$A$318,"BD",$C$53:$C$318,$C41)/'Shared Summary by Dept_US$'!$B$33+SUMIFS(K$53:K$318,$A$53:$A$318,"Nepal",$C$53:$C$318,$C41)/'Shared Summary by Dept_US$'!$B$34+SUMIFS(K$53:K$318,$A$53:$A$318,"US",$C$53:$C$318,$C41)/'Shared Summary by Dept_US$'!$B$35</f>
        <v>0</v>
      </c>
      <c r="L41" s="71">
        <f ca="1">SUMIFS(L$53:L$318,$A$53:$A$318,"India",$C$53:$C$318,$C41)/'Shared Summary by Dept_US$'!$B$31+SUMIFS(L$53:L$318,$A$53:$A$318,"INDO",$C$53:$C$318,$C41)/'Shared Summary by Dept_US$'!$B$32+SUMIFS(L$53:L$318,$A$53:$A$318,"BD",$C$53:$C$318,$C41)/'Shared Summary by Dept_US$'!$B$33+SUMIFS(L$53:L$318,$A$53:$A$318,"Nepal",$C$53:$C$318,$C41)/'Shared Summary by Dept_US$'!$B$34+SUMIFS(L$53:L$318,$A$53:$A$318,"US",$C$53:$C$318,$C41)/'Shared Summary by Dept_US$'!$B$35</f>
        <v>0</v>
      </c>
      <c r="M41" s="71">
        <f ca="1">SUMIFS(M$53:M$318,$A$53:$A$318,"India",$C$53:$C$318,$C41)/'Shared Summary by Dept_US$'!$B$31+SUMIFS(M$53:M$318,$A$53:$A$318,"INDO",$C$53:$C$318,$C41)/'Shared Summary by Dept_US$'!$B$32+SUMIFS(M$53:M$318,$A$53:$A$318,"BD",$C$53:$C$318,$C41)/'Shared Summary by Dept_US$'!$B$33+SUMIFS(M$53:M$318,$A$53:$A$318,"Nepal",$C$53:$C$318,$C41)/'Shared Summary by Dept_US$'!$B$34+SUMIFS(M$53:M$318,$A$53:$A$318,"US",$C$53:$C$318,$C41)/'Shared Summary by Dept_US$'!$B$35</f>
        <v>0</v>
      </c>
      <c r="N41" s="71">
        <f ca="1">SUMIFS(N$53:N$318,$A$53:$A$318,"India",$C$53:$C$318,$C41)/'Shared Summary by Dept_US$'!$B$31+SUMIFS(N$53:N$318,$A$53:$A$318,"INDO",$C$53:$C$318,$C41)/'Shared Summary by Dept_US$'!$B$32+SUMIFS(N$53:N$318,$A$53:$A$318,"BD",$C$53:$C$318,$C41)/'Shared Summary by Dept_US$'!$B$33+SUMIFS(N$53:N$318,$A$53:$A$318,"Nepal",$C$53:$C$318,$C41)/'Shared Summary by Dept_US$'!$B$34+SUMIFS(N$53:N$318,$A$53:$A$318,"US",$C$53:$C$318,$C41)/'Shared Summary by Dept_US$'!$B$35</f>
        <v>0</v>
      </c>
      <c r="O41" s="71">
        <f ca="1">SUMIFS(O$53:O$318,$A$53:$A$318,"India",$C$53:$C$318,$C41)/'Shared Summary by Dept_US$'!$B$31+SUMIFS(O$53:O$318,$A$53:$A$318,"INDO",$C$53:$C$318,$C41)/'Shared Summary by Dept_US$'!$B$32+SUMIFS(O$53:O$318,$A$53:$A$318,"BD",$C$53:$C$318,$C41)/'Shared Summary by Dept_US$'!$B$33+SUMIFS(O$53:O$318,$A$53:$A$318,"Nepal",$C$53:$C$318,$C41)/'Shared Summary by Dept_US$'!$B$34+SUMIFS(O$53:O$318,$A$53:$A$318,"US",$C$53:$C$318,$C41)/'Shared Summary by Dept_US$'!$B$35</f>
        <v>0</v>
      </c>
      <c r="P41" s="71">
        <f ca="1">SUMIFS(P$53:P$318,$A$53:$A$318,"India",$C$53:$C$318,$C41)/'Shared Summary by Dept_US$'!$B$31+SUMIFS(P$53:P$318,$A$53:$A$318,"INDO",$C$53:$C$318,$C41)/'Shared Summary by Dept_US$'!$B$32+SUMIFS(P$53:P$318,$A$53:$A$318,"BD",$C$53:$C$318,$C41)/'Shared Summary by Dept_US$'!$B$33+SUMIFS(P$53:P$318,$A$53:$A$318,"Nepal",$C$53:$C$318,$C41)/'Shared Summary by Dept_US$'!$B$34+SUMIFS(P$53:P$318,$A$53:$A$318,"US",$C$53:$C$318,$C41)/'Shared Summary by Dept_US$'!$B$35</f>
        <v>0</v>
      </c>
      <c r="Q41" s="71">
        <f ca="1">SUMIFS(Q$53:Q$318,$A$53:$A$318,"India",$C$53:$C$318,$C41)/'Shared Summary by Dept_US$'!$B$31+SUMIFS(Q$53:Q$318,$A$53:$A$318,"INDO",$C$53:$C$318,$C41)/'Shared Summary by Dept_US$'!$B$32+SUMIFS(Q$53:Q$318,$A$53:$A$318,"BD",$C$53:$C$318,$C41)/'Shared Summary by Dept_US$'!$B$33+SUMIFS(Q$53:Q$318,$A$53:$A$318,"Nepal",$C$53:$C$318,$C41)/'Shared Summary by Dept_US$'!$B$34+SUMIFS(Q$53:Q$318,$A$53:$A$318,"US",$C$53:$C$318,$C41)/'Shared Summary by Dept_US$'!$B$35</f>
        <v>0</v>
      </c>
      <c r="S41" s="106"/>
      <c r="T41" s="107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ht="15.75" customHeight="1" x14ac:dyDescent="0.85">
      <c r="A42" s="32" t="s">
        <v>35</v>
      </c>
      <c r="B42" s="108" t="s">
        <v>126</v>
      </c>
      <c r="C42" s="108" t="s">
        <v>128</v>
      </c>
      <c r="D42" s="275">
        <v>93701</v>
      </c>
      <c r="E42" s="111">
        <f t="shared" ca="1" si="0"/>
        <v>0</v>
      </c>
      <c r="F42" s="71">
        <f ca="1">SUMIFS(F$53:F$318,$A$53:$A$318,"India",$C$53:$C$318,$C42)/'Shared Summary by Dept_US$'!$B$31+SUMIFS(F$53:F$318,$A$53:$A$318,"INDO",$C$53:$C$318,$C42)/'Shared Summary by Dept_US$'!$B$32+SUMIFS(F$53:F$318,$A$53:$A$318,"BD",$C$53:$C$318,$C42)/'Shared Summary by Dept_US$'!$B$33+SUMIFS(F$53:F$318,$A$53:$A$318,"Nepal",$C$53:$C$318,$C42)/'Shared Summary by Dept_US$'!$B$34+SUMIFS(F$53:F$318,$A$53:$A$318,"US",$C$53:$C$318,$C42)/'Shared Summary by Dept_US$'!$B$35</f>
        <v>0</v>
      </c>
      <c r="G42" s="71">
        <f ca="1">SUMIFS(G$53:G$318,$A$53:$A$318,"India",$C$53:$C$318,$C42)/'Shared Summary by Dept_US$'!$B$31+SUMIFS(G$53:G$318,$A$53:$A$318,"INDO",$C$53:$C$318,$C42)/'Shared Summary by Dept_US$'!$B$32+SUMIFS(G$53:G$318,$A$53:$A$318,"BD",$C$53:$C$318,$C42)/'Shared Summary by Dept_US$'!$B$33+SUMIFS(G$53:G$318,$A$53:$A$318,"Nepal",$C$53:$C$318,$C42)/'Shared Summary by Dept_US$'!$B$34+SUMIFS(G$53:G$318,$A$53:$A$318,"US",$C$53:$C$318,$C42)/'Shared Summary by Dept_US$'!$B$35</f>
        <v>0</v>
      </c>
      <c r="H42" s="71">
        <f ca="1">SUMIFS(H$53:H$318,$A$53:$A$318,"India",$C$53:$C$318,$C42)/'Shared Summary by Dept_US$'!$B$31+SUMIFS(H$53:H$318,$A$53:$A$318,"INDO",$C$53:$C$318,$C42)/'Shared Summary by Dept_US$'!$B$32+SUMIFS(H$53:H$318,$A$53:$A$318,"BD",$C$53:$C$318,$C42)/'Shared Summary by Dept_US$'!$B$33+SUMIFS(H$53:H$318,$A$53:$A$318,"Nepal",$C$53:$C$318,$C42)/'Shared Summary by Dept_US$'!$B$34+SUMIFS(H$53:H$318,$A$53:$A$318,"US",$C$53:$C$318,$C42)/'Shared Summary by Dept_US$'!$B$35</f>
        <v>0</v>
      </c>
      <c r="I42" s="71">
        <f ca="1">SUMIFS(I$53:I$318,$A$53:$A$318,"India",$C$53:$C$318,$C42)/'Shared Summary by Dept_US$'!$B$31+SUMIFS(I$53:I$318,$A$53:$A$318,"INDO",$C$53:$C$318,$C42)/'Shared Summary by Dept_US$'!$B$32+SUMIFS(I$53:I$318,$A$53:$A$318,"BD",$C$53:$C$318,$C42)/'Shared Summary by Dept_US$'!$B$33+SUMIFS(I$53:I$318,$A$53:$A$318,"Nepal",$C$53:$C$318,$C42)/'Shared Summary by Dept_US$'!$B$34+SUMIFS(I$53:I$318,$A$53:$A$318,"US",$C$53:$C$318,$C42)/'Shared Summary by Dept_US$'!$B$35</f>
        <v>0</v>
      </c>
      <c r="J42" s="71">
        <f ca="1">SUMIFS(J$53:J$318,$A$53:$A$318,"India",$C$53:$C$318,$C42)/'Shared Summary by Dept_US$'!$B$31+SUMIFS(J$53:J$318,$A$53:$A$318,"INDO",$C$53:$C$318,$C42)/'Shared Summary by Dept_US$'!$B$32+SUMIFS(J$53:J$318,$A$53:$A$318,"BD",$C$53:$C$318,$C42)/'Shared Summary by Dept_US$'!$B$33+SUMIFS(J$53:J$318,$A$53:$A$318,"Nepal",$C$53:$C$318,$C42)/'Shared Summary by Dept_US$'!$B$34+SUMIFS(J$53:J$318,$A$53:$A$318,"US",$C$53:$C$318,$C42)/'Shared Summary by Dept_US$'!$B$35</f>
        <v>0</v>
      </c>
      <c r="K42" s="71">
        <f ca="1">SUMIFS(K$53:K$318,$A$53:$A$318,"India",$C$53:$C$318,$C42)/'Shared Summary by Dept_US$'!$B$31+SUMIFS(K$53:K$318,$A$53:$A$318,"INDO",$C$53:$C$318,$C42)/'Shared Summary by Dept_US$'!$B$32+SUMIFS(K$53:K$318,$A$53:$A$318,"BD",$C$53:$C$318,$C42)/'Shared Summary by Dept_US$'!$B$33+SUMIFS(K$53:K$318,$A$53:$A$318,"Nepal",$C$53:$C$318,$C42)/'Shared Summary by Dept_US$'!$B$34+SUMIFS(K$53:K$318,$A$53:$A$318,"US",$C$53:$C$318,$C42)/'Shared Summary by Dept_US$'!$B$35</f>
        <v>0</v>
      </c>
      <c r="L42" s="71">
        <f ca="1">SUMIFS(L$53:L$318,$A$53:$A$318,"India",$C$53:$C$318,$C42)/'Shared Summary by Dept_US$'!$B$31+SUMIFS(L$53:L$318,$A$53:$A$318,"INDO",$C$53:$C$318,$C42)/'Shared Summary by Dept_US$'!$B$32+SUMIFS(L$53:L$318,$A$53:$A$318,"BD",$C$53:$C$318,$C42)/'Shared Summary by Dept_US$'!$B$33+SUMIFS(L$53:L$318,$A$53:$A$318,"Nepal",$C$53:$C$318,$C42)/'Shared Summary by Dept_US$'!$B$34+SUMIFS(L$53:L$318,$A$53:$A$318,"US",$C$53:$C$318,$C42)/'Shared Summary by Dept_US$'!$B$35</f>
        <v>0</v>
      </c>
      <c r="M42" s="71">
        <f ca="1">SUMIFS(M$53:M$318,$A$53:$A$318,"India",$C$53:$C$318,$C42)/'Shared Summary by Dept_US$'!$B$31+SUMIFS(M$53:M$318,$A$53:$A$318,"INDO",$C$53:$C$318,$C42)/'Shared Summary by Dept_US$'!$B$32+SUMIFS(M$53:M$318,$A$53:$A$318,"BD",$C$53:$C$318,$C42)/'Shared Summary by Dept_US$'!$B$33+SUMIFS(M$53:M$318,$A$53:$A$318,"Nepal",$C$53:$C$318,$C42)/'Shared Summary by Dept_US$'!$B$34+SUMIFS(M$53:M$318,$A$53:$A$318,"US",$C$53:$C$318,$C42)/'Shared Summary by Dept_US$'!$B$35</f>
        <v>0</v>
      </c>
      <c r="N42" s="71">
        <f ca="1">SUMIFS(N$53:N$318,$A$53:$A$318,"India",$C$53:$C$318,$C42)/'Shared Summary by Dept_US$'!$B$31+SUMIFS(N$53:N$318,$A$53:$A$318,"INDO",$C$53:$C$318,$C42)/'Shared Summary by Dept_US$'!$B$32+SUMIFS(N$53:N$318,$A$53:$A$318,"BD",$C$53:$C$318,$C42)/'Shared Summary by Dept_US$'!$B$33+SUMIFS(N$53:N$318,$A$53:$A$318,"Nepal",$C$53:$C$318,$C42)/'Shared Summary by Dept_US$'!$B$34+SUMIFS(N$53:N$318,$A$53:$A$318,"US",$C$53:$C$318,$C42)/'Shared Summary by Dept_US$'!$B$35</f>
        <v>0</v>
      </c>
      <c r="O42" s="71">
        <f ca="1">SUMIFS(O$53:O$318,$A$53:$A$318,"India",$C$53:$C$318,$C42)/'Shared Summary by Dept_US$'!$B$31+SUMIFS(O$53:O$318,$A$53:$A$318,"INDO",$C$53:$C$318,$C42)/'Shared Summary by Dept_US$'!$B$32+SUMIFS(O$53:O$318,$A$53:$A$318,"BD",$C$53:$C$318,$C42)/'Shared Summary by Dept_US$'!$B$33+SUMIFS(O$53:O$318,$A$53:$A$318,"Nepal",$C$53:$C$318,$C42)/'Shared Summary by Dept_US$'!$B$34+SUMIFS(O$53:O$318,$A$53:$A$318,"US",$C$53:$C$318,$C42)/'Shared Summary by Dept_US$'!$B$35</f>
        <v>0</v>
      </c>
      <c r="P42" s="71">
        <f ca="1">SUMIFS(P$53:P$318,$A$53:$A$318,"India",$C$53:$C$318,$C42)/'Shared Summary by Dept_US$'!$B$31+SUMIFS(P$53:P$318,$A$53:$A$318,"INDO",$C$53:$C$318,$C42)/'Shared Summary by Dept_US$'!$B$32+SUMIFS(P$53:P$318,$A$53:$A$318,"BD",$C$53:$C$318,$C42)/'Shared Summary by Dept_US$'!$B$33+SUMIFS(P$53:P$318,$A$53:$A$318,"Nepal",$C$53:$C$318,$C42)/'Shared Summary by Dept_US$'!$B$34+SUMIFS(P$53:P$318,$A$53:$A$318,"US",$C$53:$C$318,$C42)/'Shared Summary by Dept_US$'!$B$35</f>
        <v>0</v>
      </c>
      <c r="Q42" s="71">
        <f ca="1">SUMIFS(Q$53:Q$318,$A$53:$A$318,"India",$C$53:$C$318,$C42)/'Shared Summary by Dept_US$'!$B$31+SUMIFS(Q$53:Q$318,$A$53:$A$318,"INDO",$C$53:$C$318,$C42)/'Shared Summary by Dept_US$'!$B$32+SUMIFS(Q$53:Q$318,$A$53:$A$318,"BD",$C$53:$C$318,$C42)/'Shared Summary by Dept_US$'!$B$33+SUMIFS(Q$53:Q$318,$A$53:$A$318,"Nepal",$C$53:$C$318,$C42)/'Shared Summary by Dept_US$'!$B$34+SUMIFS(Q$53:Q$318,$A$53:$A$318,"US",$C$53:$C$318,$C42)/'Shared Summary by Dept_US$'!$B$35</f>
        <v>0</v>
      </c>
      <c r="S42" s="106"/>
      <c r="T42" s="107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ht="15.75" customHeight="1" x14ac:dyDescent="0.85">
      <c r="A43" s="32" t="s">
        <v>35</v>
      </c>
      <c r="B43" s="108" t="s">
        <v>126</v>
      </c>
      <c r="C43" s="108" t="s">
        <v>129</v>
      </c>
      <c r="D43" s="275">
        <v>93702</v>
      </c>
      <c r="E43" s="111">
        <f t="shared" ca="1" si="0"/>
        <v>0</v>
      </c>
      <c r="F43" s="71">
        <f ca="1">SUMIFS(F$53:F$318,$A$53:$A$318,"India",$C$53:$C$318,$C43)/'Shared Summary by Dept_US$'!$B$31+SUMIFS(F$53:F$318,$A$53:$A$318,"INDO",$C$53:$C$318,$C43)/'Shared Summary by Dept_US$'!$B$32+SUMIFS(F$53:F$318,$A$53:$A$318,"BD",$C$53:$C$318,$C43)/'Shared Summary by Dept_US$'!$B$33+SUMIFS(F$53:F$318,$A$53:$A$318,"Nepal",$C$53:$C$318,$C43)/'Shared Summary by Dept_US$'!$B$34+SUMIFS(F$53:F$318,$A$53:$A$318,"US",$C$53:$C$318,$C43)/'Shared Summary by Dept_US$'!$B$35</f>
        <v>0</v>
      </c>
      <c r="G43" s="71">
        <f ca="1">SUMIFS(G$53:G$318,$A$53:$A$318,"India",$C$53:$C$318,$C43)/'Shared Summary by Dept_US$'!$B$31+SUMIFS(G$53:G$318,$A$53:$A$318,"INDO",$C$53:$C$318,$C43)/'Shared Summary by Dept_US$'!$B$32+SUMIFS(G$53:G$318,$A$53:$A$318,"BD",$C$53:$C$318,$C43)/'Shared Summary by Dept_US$'!$B$33+SUMIFS(G$53:G$318,$A$53:$A$318,"Nepal",$C$53:$C$318,$C43)/'Shared Summary by Dept_US$'!$B$34+SUMIFS(G$53:G$318,$A$53:$A$318,"US",$C$53:$C$318,$C43)/'Shared Summary by Dept_US$'!$B$35</f>
        <v>0</v>
      </c>
      <c r="H43" s="71">
        <f ca="1">SUMIFS(H$53:H$318,$A$53:$A$318,"India",$C$53:$C$318,$C43)/'Shared Summary by Dept_US$'!$B$31+SUMIFS(H$53:H$318,$A$53:$A$318,"INDO",$C$53:$C$318,$C43)/'Shared Summary by Dept_US$'!$B$32+SUMIFS(H$53:H$318,$A$53:$A$318,"BD",$C$53:$C$318,$C43)/'Shared Summary by Dept_US$'!$B$33+SUMIFS(H$53:H$318,$A$53:$A$318,"Nepal",$C$53:$C$318,$C43)/'Shared Summary by Dept_US$'!$B$34+SUMIFS(H$53:H$318,$A$53:$A$318,"US",$C$53:$C$318,$C43)/'Shared Summary by Dept_US$'!$B$35</f>
        <v>0</v>
      </c>
      <c r="I43" s="71">
        <f ca="1">SUMIFS(I$53:I$318,$A$53:$A$318,"India",$C$53:$C$318,$C43)/'Shared Summary by Dept_US$'!$B$31+SUMIFS(I$53:I$318,$A$53:$A$318,"INDO",$C$53:$C$318,$C43)/'Shared Summary by Dept_US$'!$B$32+SUMIFS(I$53:I$318,$A$53:$A$318,"BD",$C$53:$C$318,$C43)/'Shared Summary by Dept_US$'!$B$33+SUMIFS(I$53:I$318,$A$53:$A$318,"Nepal",$C$53:$C$318,$C43)/'Shared Summary by Dept_US$'!$B$34+SUMIFS(I$53:I$318,$A$53:$A$318,"US",$C$53:$C$318,$C43)/'Shared Summary by Dept_US$'!$B$35</f>
        <v>0</v>
      </c>
      <c r="J43" s="71">
        <f ca="1">SUMIFS(J$53:J$318,$A$53:$A$318,"India",$C$53:$C$318,$C43)/'Shared Summary by Dept_US$'!$B$31+SUMIFS(J$53:J$318,$A$53:$A$318,"INDO",$C$53:$C$318,$C43)/'Shared Summary by Dept_US$'!$B$32+SUMIFS(J$53:J$318,$A$53:$A$318,"BD",$C$53:$C$318,$C43)/'Shared Summary by Dept_US$'!$B$33+SUMIFS(J$53:J$318,$A$53:$A$318,"Nepal",$C$53:$C$318,$C43)/'Shared Summary by Dept_US$'!$B$34+SUMIFS(J$53:J$318,$A$53:$A$318,"US",$C$53:$C$318,$C43)/'Shared Summary by Dept_US$'!$B$35</f>
        <v>0</v>
      </c>
      <c r="K43" s="71">
        <f ca="1">SUMIFS(K$53:K$318,$A$53:$A$318,"India",$C$53:$C$318,$C43)/'Shared Summary by Dept_US$'!$B$31+SUMIFS(K$53:K$318,$A$53:$A$318,"INDO",$C$53:$C$318,$C43)/'Shared Summary by Dept_US$'!$B$32+SUMIFS(K$53:K$318,$A$53:$A$318,"BD",$C$53:$C$318,$C43)/'Shared Summary by Dept_US$'!$B$33+SUMIFS(K$53:K$318,$A$53:$A$318,"Nepal",$C$53:$C$318,$C43)/'Shared Summary by Dept_US$'!$B$34+SUMIFS(K$53:K$318,$A$53:$A$318,"US",$C$53:$C$318,$C43)/'Shared Summary by Dept_US$'!$B$35</f>
        <v>0</v>
      </c>
      <c r="L43" s="71">
        <f ca="1">SUMIFS(L$53:L$318,$A$53:$A$318,"India",$C$53:$C$318,$C43)/'Shared Summary by Dept_US$'!$B$31+SUMIFS(L$53:L$318,$A$53:$A$318,"INDO",$C$53:$C$318,$C43)/'Shared Summary by Dept_US$'!$B$32+SUMIFS(L$53:L$318,$A$53:$A$318,"BD",$C$53:$C$318,$C43)/'Shared Summary by Dept_US$'!$B$33+SUMIFS(L$53:L$318,$A$53:$A$318,"Nepal",$C$53:$C$318,$C43)/'Shared Summary by Dept_US$'!$B$34+SUMIFS(L$53:L$318,$A$53:$A$318,"US",$C$53:$C$318,$C43)/'Shared Summary by Dept_US$'!$B$35</f>
        <v>0</v>
      </c>
      <c r="M43" s="71">
        <f ca="1">SUMIFS(M$53:M$318,$A$53:$A$318,"India",$C$53:$C$318,$C43)/'Shared Summary by Dept_US$'!$B$31+SUMIFS(M$53:M$318,$A$53:$A$318,"INDO",$C$53:$C$318,$C43)/'Shared Summary by Dept_US$'!$B$32+SUMIFS(M$53:M$318,$A$53:$A$318,"BD",$C$53:$C$318,$C43)/'Shared Summary by Dept_US$'!$B$33+SUMIFS(M$53:M$318,$A$53:$A$318,"Nepal",$C$53:$C$318,$C43)/'Shared Summary by Dept_US$'!$B$34+SUMIFS(M$53:M$318,$A$53:$A$318,"US",$C$53:$C$318,$C43)/'Shared Summary by Dept_US$'!$B$35</f>
        <v>0</v>
      </c>
      <c r="N43" s="71">
        <f ca="1">SUMIFS(N$53:N$318,$A$53:$A$318,"India",$C$53:$C$318,$C43)/'Shared Summary by Dept_US$'!$B$31+SUMIFS(N$53:N$318,$A$53:$A$318,"INDO",$C$53:$C$318,$C43)/'Shared Summary by Dept_US$'!$B$32+SUMIFS(N$53:N$318,$A$53:$A$318,"BD",$C$53:$C$318,$C43)/'Shared Summary by Dept_US$'!$B$33+SUMIFS(N$53:N$318,$A$53:$A$318,"Nepal",$C$53:$C$318,$C43)/'Shared Summary by Dept_US$'!$B$34+SUMIFS(N$53:N$318,$A$53:$A$318,"US",$C$53:$C$318,$C43)/'Shared Summary by Dept_US$'!$B$35</f>
        <v>0</v>
      </c>
      <c r="O43" s="71">
        <f ca="1">SUMIFS(O$53:O$318,$A$53:$A$318,"India",$C$53:$C$318,$C43)/'Shared Summary by Dept_US$'!$B$31+SUMIFS(O$53:O$318,$A$53:$A$318,"INDO",$C$53:$C$318,$C43)/'Shared Summary by Dept_US$'!$B$32+SUMIFS(O$53:O$318,$A$53:$A$318,"BD",$C$53:$C$318,$C43)/'Shared Summary by Dept_US$'!$B$33+SUMIFS(O$53:O$318,$A$53:$A$318,"Nepal",$C$53:$C$318,$C43)/'Shared Summary by Dept_US$'!$B$34+SUMIFS(O$53:O$318,$A$53:$A$318,"US",$C$53:$C$318,$C43)/'Shared Summary by Dept_US$'!$B$35</f>
        <v>0</v>
      </c>
      <c r="P43" s="71">
        <f ca="1">SUMIFS(P$53:P$318,$A$53:$A$318,"India",$C$53:$C$318,$C43)/'Shared Summary by Dept_US$'!$B$31+SUMIFS(P$53:P$318,$A$53:$A$318,"INDO",$C$53:$C$318,$C43)/'Shared Summary by Dept_US$'!$B$32+SUMIFS(P$53:P$318,$A$53:$A$318,"BD",$C$53:$C$318,$C43)/'Shared Summary by Dept_US$'!$B$33+SUMIFS(P$53:P$318,$A$53:$A$318,"Nepal",$C$53:$C$318,$C43)/'Shared Summary by Dept_US$'!$B$34+SUMIFS(P$53:P$318,$A$53:$A$318,"US",$C$53:$C$318,$C43)/'Shared Summary by Dept_US$'!$B$35</f>
        <v>0</v>
      </c>
      <c r="Q43" s="71">
        <f ca="1">SUMIFS(Q$53:Q$318,$A$53:$A$318,"India",$C$53:$C$318,$C43)/'Shared Summary by Dept_US$'!$B$31+SUMIFS(Q$53:Q$318,$A$53:$A$318,"INDO",$C$53:$C$318,$C43)/'Shared Summary by Dept_US$'!$B$32+SUMIFS(Q$53:Q$318,$A$53:$A$318,"BD",$C$53:$C$318,$C43)/'Shared Summary by Dept_US$'!$B$33+SUMIFS(Q$53:Q$318,$A$53:$A$318,"Nepal",$C$53:$C$318,$C43)/'Shared Summary by Dept_US$'!$B$34+SUMIFS(Q$53:Q$318,$A$53:$A$318,"US",$C$53:$C$318,$C43)/'Shared Summary by Dept_US$'!$B$35</f>
        <v>0</v>
      </c>
      <c r="S43" s="106"/>
      <c r="T43" s="107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4" ht="15.75" customHeight="1" x14ac:dyDescent="0.85">
      <c r="A44" s="32" t="s">
        <v>35</v>
      </c>
      <c r="B44" s="108" t="s">
        <v>126</v>
      </c>
      <c r="C44" s="108" t="s">
        <v>134</v>
      </c>
      <c r="D44" s="275">
        <v>93703</v>
      </c>
      <c r="E44" s="111">
        <f t="shared" ca="1" si="0"/>
        <v>36041.206896551725</v>
      </c>
      <c r="F44" s="71">
        <f ca="1">SUMIFS(F$53:F$318,$A$53:$A$318,"India",$C$53:$C$318,$C44)/'Shared Summary by Dept_US$'!$B$31+SUMIFS(F$53:F$318,$A$53:$A$318,"INDO",$C$53:$C$318,$C44)/'Shared Summary by Dept_US$'!$B$32+SUMIFS(F$53:F$318,$A$53:$A$318,"BD",$C$53:$C$318,$C44)/'Shared Summary by Dept_US$'!$B$33+SUMIFS(F$53:F$318,$A$53:$A$318,"Nepal",$C$53:$C$318,$C44)/'Shared Summary by Dept_US$'!$B$34+SUMIFS(F$53:F$318,$A$53:$A$318,"US",$C$53:$C$318,$C44)/'Shared Summary by Dept_US$'!$B$35</f>
        <v>8253.8505747126437</v>
      </c>
      <c r="G44" s="71">
        <f ca="1">SUMIFS(G$53:G$318,$A$53:$A$318,"India",$C$53:$C$318,$C44)/'Shared Summary by Dept_US$'!$B$31+SUMIFS(G$53:G$318,$A$53:$A$318,"INDO",$C$53:$C$318,$C44)/'Shared Summary by Dept_US$'!$B$32+SUMIFS(G$53:G$318,$A$53:$A$318,"BD",$C$53:$C$318,$C44)/'Shared Summary by Dept_US$'!$B$33+SUMIFS(G$53:G$318,$A$53:$A$318,"Nepal",$C$53:$C$318,$C44)/'Shared Summary by Dept_US$'!$B$34+SUMIFS(G$53:G$318,$A$53:$A$318,"US",$C$53:$C$318,$C44)/'Shared Summary by Dept_US$'!$B$35</f>
        <v>2298.8505747126437</v>
      </c>
      <c r="H44" s="71">
        <f ca="1">SUMIFS(H$53:H$318,$A$53:$A$318,"India",$C$53:$C$318,$C44)/'Shared Summary by Dept_US$'!$B$31+SUMIFS(H$53:H$318,$A$53:$A$318,"INDO",$C$53:$C$318,$C44)/'Shared Summary by Dept_US$'!$B$32+SUMIFS(H$53:H$318,$A$53:$A$318,"BD",$C$53:$C$318,$C44)/'Shared Summary by Dept_US$'!$B$33+SUMIFS(H$53:H$318,$A$53:$A$318,"Nepal",$C$53:$C$318,$C44)/'Shared Summary by Dept_US$'!$B$34+SUMIFS(H$53:H$318,$A$53:$A$318,"US",$C$53:$C$318,$C44)/'Shared Summary by Dept_US$'!$B$35</f>
        <v>2298.8505747126437</v>
      </c>
      <c r="I44" s="71">
        <f ca="1">SUMIFS(I$53:I$318,$A$53:$A$318,"India",$C$53:$C$318,$C44)/'Shared Summary by Dept_US$'!$B$31+SUMIFS(I$53:I$318,$A$53:$A$318,"INDO",$C$53:$C$318,$C44)/'Shared Summary by Dept_US$'!$B$32+SUMIFS(I$53:I$318,$A$53:$A$318,"BD",$C$53:$C$318,$C44)/'Shared Summary by Dept_US$'!$B$33+SUMIFS(I$53:I$318,$A$53:$A$318,"Nepal",$C$53:$C$318,$C44)/'Shared Summary by Dept_US$'!$B$34+SUMIFS(I$53:I$318,$A$53:$A$318,"US",$C$53:$C$318,$C44)/'Shared Summary by Dept_US$'!$B$35</f>
        <v>2298.8505747126437</v>
      </c>
      <c r="J44" s="71">
        <f ca="1">SUMIFS(J$53:J$318,$A$53:$A$318,"India",$C$53:$C$318,$C44)/'Shared Summary by Dept_US$'!$B$31+SUMIFS(J$53:J$318,$A$53:$A$318,"INDO",$C$53:$C$318,$C44)/'Shared Summary by Dept_US$'!$B$32+SUMIFS(J$53:J$318,$A$53:$A$318,"BD",$C$53:$C$318,$C44)/'Shared Summary by Dept_US$'!$B$33+SUMIFS(J$53:J$318,$A$53:$A$318,"Nepal",$C$53:$C$318,$C44)/'Shared Summary by Dept_US$'!$B$34+SUMIFS(J$53:J$318,$A$53:$A$318,"US",$C$53:$C$318,$C44)/'Shared Summary by Dept_US$'!$B$35</f>
        <v>2298.8505747126437</v>
      </c>
      <c r="K44" s="71">
        <f ca="1">SUMIFS(K$53:K$318,$A$53:$A$318,"India",$C$53:$C$318,$C44)/'Shared Summary by Dept_US$'!$B$31+SUMIFS(K$53:K$318,$A$53:$A$318,"INDO",$C$53:$C$318,$C44)/'Shared Summary by Dept_US$'!$B$32+SUMIFS(K$53:K$318,$A$53:$A$318,"BD",$C$53:$C$318,$C44)/'Shared Summary by Dept_US$'!$B$33+SUMIFS(K$53:K$318,$A$53:$A$318,"Nepal",$C$53:$C$318,$C44)/'Shared Summary by Dept_US$'!$B$34+SUMIFS(K$53:K$318,$A$53:$A$318,"US",$C$53:$C$318,$C44)/'Shared Summary by Dept_US$'!$B$35</f>
        <v>2298.8505747126437</v>
      </c>
      <c r="L44" s="71">
        <f ca="1">SUMIFS(L$53:L$318,$A$53:$A$318,"India",$C$53:$C$318,$C44)/'Shared Summary by Dept_US$'!$B$31+SUMIFS(L$53:L$318,$A$53:$A$318,"INDO",$C$53:$C$318,$C44)/'Shared Summary by Dept_US$'!$B$32+SUMIFS(L$53:L$318,$A$53:$A$318,"BD",$C$53:$C$318,$C44)/'Shared Summary by Dept_US$'!$B$33+SUMIFS(L$53:L$318,$A$53:$A$318,"Nepal",$C$53:$C$318,$C44)/'Shared Summary by Dept_US$'!$B$34+SUMIFS(L$53:L$318,$A$53:$A$318,"US",$C$53:$C$318,$C44)/'Shared Summary by Dept_US$'!$B$35</f>
        <v>2298.8505747126437</v>
      </c>
      <c r="M44" s="71">
        <f ca="1">SUMIFS(M$53:M$318,$A$53:$A$318,"India",$C$53:$C$318,$C44)/'Shared Summary by Dept_US$'!$B$31+SUMIFS(M$53:M$318,$A$53:$A$318,"INDO",$C$53:$C$318,$C44)/'Shared Summary by Dept_US$'!$B$32+SUMIFS(M$53:M$318,$A$53:$A$318,"BD",$C$53:$C$318,$C44)/'Shared Summary by Dept_US$'!$B$33+SUMIFS(M$53:M$318,$A$53:$A$318,"Nepal",$C$53:$C$318,$C44)/'Shared Summary by Dept_US$'!$B$34+SUMIFS(M$53:M$318,$A$53:$A$318,"US",$C$53:$C$318,$C44)/'Shared Summary by Dept_US$'!$B$35</f>
        <v>2298.8505747126437</v>
      </c>
      <c r="N44" s="71">
        <f ca="1">SUMIFS(N$53:N$318,$A$53:$A$318,"India",$C$53:$C$318,$C44)/'Shared Summary by Dept_US$'!$B$31+SUMIFS(N$53:N$318,$A$53:$A$318,"INDO",$C$53:$C$318,$C44)/'Shared Summary by Dept_US$'!$B$32+SUMIFS(N$53:N$318,$A$53:$A$318,"BD",$C$53:$C$318,$C44)/'Shared Summary by Dept_US$'!$B$33+SUMIFS(N$53:N$318,$A$53:$A$318,"Nepal",$C$53:$C$318,$C44)/'Shared Summary by Dept_US$'!$B$34+SUMIFS(N$53:N$318,$A$53:$A$318,"US",$C$53:$C$318,$C44)/'Shared Summary by Dept_US$'!$B$35</f>
        <v>2298.8505747126437</v>
      </c>
      <c r="O44" s="71">
        <f ca="1">SUMIFS(O$53:O$318,$A$53:$A$318,"India",$C$53:$C$318,$C44)/'Shared Summary by Dept_US$'!$B$31+SUMIFS(O$53:O$318,$A$53:$A$318,"INDO",$C$53:$C$318,$C44)/'Shared Summary by Dept_US$'!$B$32+SUMIFS(O$53:O$318,$A$53:$A$318,"BD",$C$53:$C$318,$C44)/'Shared Summary by Dept_US$'!$B$33+SUMIFS(O$53:O$318,$A$53:$A$318,"Nepal",$C$53:$C$318,$C44)/'Shared Summary by Dept_US$'!$B$34+SUMIFS(O$53:O$318,$A$53:$A$318,"US",$C$53:$C$318,$C44)/'Shared Summary by Dept_US$'!$B$35</f>
        <v>4798.8505747126437</v>
      </c>
      <c r="P44" s="71">
        <f ca="1">SUMIFS(P$53:P$318,$A$53:$A$318,"India",$C$53:$C$318,$C44)/'Shared Summary by Dept_US$'!$B$31+SUMIFS(P$53:P$318,$A$53:$A$318,"INDO",$C$53:$C$318,$C44)/'Shared Summary by Dept_US$'!$B$32+SUMIFS(P$53:P$318,$A$53:$A$318,"BD",$C$53:$C$318,$C44)/'Shared Summary by Dept_US$'!$B$33+SUMIFS(P$53:P$318,$A$53:$A$318,"Nepal",$C$53:$C$318,$C44)/'Shared Summary by Dept_US$'!$B$34+SUMIFS(P$53:P$318,$A$53:$A$318,"US",$C$53:$C$318,$C44)/'Shared Summary by Dept_US$'!$B$35</f>
        <v>2298.8505747126437</v>
      </c>
      <c r="Q44" s="71">
        <f ca="1">SUMIFS(Q$53:Q$318,$A$53:$A$318,"India",$C$53:$C$318,$C44)/'Shared Summary by Dept_US$'!$B$31+SUMIFS(Q$53:Q$318,$A$53:$A$318,"INDO",$C$53:$C$318,$C44)/'Shared Summary by Dept_US$'!$B$32+SUMIFS(Q$53:Q$318,$A$53:$A$318,"BD",$C$53:$C$318,$C44)/'Shared Summary by Dept_US$'!$B$33+SUMIFS(Q$53:Q$318,$A$53:$A$318,"Nepal",$C$53:$C$318,$C44)/'Shared Summary by Dept_US$'!$B$34+SUMIFS(Q$53:Q$318,$A$53:$A$318,"US",$C$53:$C$318,$C44)/'Shared Summary by Dept_US$'!$B$35</f>
        <v>2298.8505747126437</v>
      </c>
      <c r="S44" s="106"/>
      <c r="T44" s="107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ht="15.75" customHeight="1" x14ac:dyDescent="0.85">
      <c r="A45" s="32" t="s">
        <v>35</v>
      </c>
      <c r="B45" s="108" t="s">
        <v>135</v>
      </c>
      <c r="C45" s="108" t="s">
        <v>138</v>
      </c>
      <c r="D45" s="275">
        <v>11301</v>
      </c>
      <c r="E45" s="111">
        <f t="shared" ca="1" si="0"/>
        <v>45886.494252873563</v>
      </c>
      <c r="F45" s="71">
        <f ca="1">SUMIFS(F$53:F$318,$A$53:$A$318,"India",$C$53:$C$318,$C45)/'Shared Summary by Dept_US$'!$B$31+SUMIFS(F$53:F$318,$A$53:$A$318,"INDO",$C$53:$C$318,$C45)/'Shared Summary by Dept_US$'!$B$32+SUMIFS(F$53:F$318,$A$53:$A$318,"BD",$C$53:$C$318,$C45)/'Shared Summary by Dept_US$'!$B$33+SUMIFS(F$53:F$318,$A$53:$A$318,"Nepal",$C$53:$C$318,$C45)/'Shared Summary by Dept_US$'!$B$34+SUMIFS(F$53:F$318,$A$53:$A$318,"US",$C$53:$C$318,$C45)/'Shared Summary by Dept_US$'!$B$35</f>
        <v>0</v>
      </c>
      <c r="G45" s="71">
        <f ca="1">SUMIFS(G$53:G$318,$A$53:$A$318,"India",$C$53:$C$318,$C45)/'Shared Summary by Dept_US$'!$B$31+SUMIFS(G$53:G$318,$A$53:$A$318,"INDO",$C$53:$C$318,$C45)/'Shared Summary by Dept_US$'!$B$32+SUMIFS(G$53:G$318,$A$53:$A$318,"BD",$C$53:$C$318,$C45)/'Shared Summary by Dept_US$'!$B$33+SUMIFS(G$53:G$318,$A$53:$A$318,"Nepal",$C$53:$C$318,$C45)/'Shared Summary by Dept_US$'!$B$34+SUMIFS(G$53:G$318,$A$53:$A$318,"US",$C$53:$C$318,$C45)/'Shared Summary by Dept_US$'!$B$35</f>
        <v>11166.666666666666</v>
      </c>
      <c r="H45" s="71">
        <f ca="1">SUMIFS(H$53:H$318,$A$53:$A$318,"India",$C$53:$C$318,$C45)/'Shared Summary by Dept_US$'!$B$31+SUMIFS(H$53:H$318,$A$53:$A$318,"INDO",$C$53:$C$318,$C45)/'Shared Summary by Dept_US$'!$B$32+SUMIFS(H$53:H$318,$A$53:$A$318,"BD",$C$53:$C$318,$C45)/'Shared Summary by Dept_US$'!$B$33+SUMIFS(H$53:H$318,$A$53:$A$318,"Nepal",$C$53:$C$318,$C45)/'Shared Summary by Dept_US$'!$B$34+SUMIFS(H$53:H$318,$A$53:$A$318,"US",$C$53:$C$318,$C45)/'Shared Summary by Dept_US$'!$B$35</f>
        <v>14080.459770114943</v>
      </c>
      <c r="I45" s="71">
        <f ca="1">SUMIFS(I$53:I$318,$A$53:$A$318,"India",$C$53:$C$318,$C45)/'Shared Summary by Dept_US$'!$B$31+SUMIFS(I$53:I$318,$A$53:$A$318,"INDO",$C$53:$C$318,$C45)/'Shared Summary by Dept_US$'!$B$32+SUMIFS(I$53:I$318,$A$53:$A$318,"BD",$C$53:$C$318,$C45)/'Shared Summary by Dept_US$'!$B$33+SUMIFS(I$53:I$318,$A$53:$A$318,"Nepal",$C$53:$C$318,$C45)/'Shared Summary by Dept_US$'!$B$34+SUMIFS(I$53:I$318,$A$53:$A$318,"US",$C$53:$C$318,$C45)/'Shared Summary by Dept_US$'!$B$35</f>
        <v>20639.367816091952</v>
      </c>
      <c r="J45" s="71">
        <f ca="1">SUMIFS(J$53:J$318,$A$53:$A$318,"India",$C$53:$C$318,$C45)/'Shared Summary by Dept_US$'!$B$31+SUMIFS(J$53:J$318,$A$53:$A$318,"INDO",$C$53:$C$318,$C45)/'Shared Summary by Dept_US$'!$B$32+SUMIFS(J$53:J$318,$A$53:$A$318,"BD",$C$53:$C$318,$C45)/'Shared Summary by Dept_US$'!$B$33+SUMIFS(J$53:J$318,$A$53:$A$318,"Nepal",$C$53:$C$318,$C45)/'Shared Summary by Dept_US$'!$B$34+SUMIFS(J$53:J$318,$A$53:$A$318,"US",$C$53:$C$318,$C45)/'Shared Summary by Dept_US$'!$B$35</f>
        <v>0</v>
      </c>
      <c r="K45" s="71">
        <f ca="1">SUMIFS(K$53:K$318,$A$53:$A$318,"India",$C$53:$C$318,$C45)/'Shared Summary by Dept_US$'!$B$31+SUMIFS(K$53:K$318,$A$53:$A$318,"INDO",$C$53:$C$318,$C45)/'Shared Summary by Dept_US$'!$B$32+SUMIFS(K$53:K$318,$A$53:$A$318,"BD",$C$53:$C$318,$C45)/'Shared Summary by Dept_US$'!$B$33+SUMIFS(K$53:K$318,$A$53:$A$318,"Nepal",$C$53:$C$318,$C45)/'Shared Summary by Dept_US$'!$B$34+SUMIFS(K$53:K$318,$A$53:$A$318,"US",$C$53:$C$318,$C45)/'Shared Summary by Dept_US$'!$B$35</f>
        <v>0</v>
      </c>
      <c r="L45" s="71">
        <f ca="1">SUMIFS(L$53:L$318,$A$53:$A$318,"India",$C$53:$C$318,$C45)/'Shared Summary by Dept_US$'!$B$31+SUMIFS(L$53:L$318,$A$53:$A$318,"INDO",$C$53:$C$318,$C45)/'Shared Summary by Dept_US$'!$B$32+SUMIFS(L$53:L$318,$A$53:$A$318,"BD",$C$53:$C$318,$C45)/'Shared Summary by Dept_US$'!$B$33+SUMIFS(L$53:L$318,$A$53:$A$318,"Nepal",$C$53:$C$318,$C45)/'Shared Summary by Dept_US$'!$B$34+SUMIFS(L$53:L$318,$A$53:$A$318,"US",$C$53:$C$318,$C45)/'Shared Summary by Dept_US$'!$B$35</f>
        <v>0</v>
      </c>
      <c r="M45" s="71">
        <f ca="1">SUMIFS(M$53:M$318,$A$53:$A$318,"India",$C$53:$C$318,$C45)/'Shared Summary by Dept_US$'!$B$31+SUMIFS(M$53:M$318,$A$53:$A$318,"INDO",$C$53:$C$318,$C45)/'Shared Summary by Dept_US$'!$B$32+SUMIFS(M$53:M$318,$A$53:$A$318,"BD",$C$53:$C$318,$C45)/'Shared Summary by Dept_US$'!$B$33+SUMIFS(M$53:M$318,$A$53:$A$318,"Nepal",$C$53:$C$318,$C45)/'Shared Summary by Dept_US$'!$B$34+SUMIFS(M$53:M$318,$A$53:$A$318,"US",$C$53:$C$318,$C45)/'Shared Summary by Dept_US$'!$B$35</f>
        <v>0</v>
      </c>
      <c r="N45" s="71">
        <f ca="1">SUMIFS(N$53:N$318,$A$53:$A$318,"India",$C$53:$C$318,$C45)/'Shared Summary by Dept_US$'!$B$31+SUMIFS(N$53:N$318,$A$53:$A$318,"INDO",$C$53:$C$318,$C45)/'Shared Summary by Dept_US$'!$B$32+SUMIFS(N$53:N$318,$A$53:$A$318,"BD",$C$53:$C$318,$C45)/'Shared Summary by Dept_US$'!$B$33+SUMIFS(N$53:N$318,$A$53:$A$318,"Nepal",$C$53:$C$318,$C45)/'Shared Summary by Dept_US$'!$B$34+SUMIFS(N$53:N$318,$A$53:$A$318,"US",$C$53:$C$318,$C45)/'Shared Summary by Dept_US$'!$B$35</f>
        <v>0</v>
      </c>
      <c r="O45" s="71">
        <f ca="1">SUMIFS(O$53:O$318,$A$53:$A$318,"India",$C$53:$C$318,$C45)/'Shared Summary by Dept_US$'!$B$31+SUMIFS(O$53:O$318,$A$53:$A$318,"INDO",$C$53:$C$318,$C45)/'Shared Summary by Dept_US$'!$B$32+SUMIFS(O$53:O$318,$A$53:$A$318,"BD",$C$53:$C$318,$C45)/'Shared Summary by Dept_US$'!$B$33+SUMIFS(O$53:O$318,$A$53:$A$318,"Nepal",$C$53:$C$318,$C45)/'Shared Summary by Dept_US$'!$B$34+SUMIFS(O$53:O$318,$A$53:$A$318,"US",$C$53:$C$318,$C45)/'Shared Summary by Dept_US$'!$B$35</f>
        <v>0</v>
      </c>
      <c r="P45" s="71">
        <f ca="1">SUMIFS(P$53:P$318,$A$53:$A$318,"India",$C$53:$C$318,$C45)/'Shared Summary by Dept_US$'!$B$31+SUMIFS(P$53:P$318,$A$53:$A$318,"INDO",$C$53:$C$318,$C45)/'Shared Summary by Dept_US$'!$B$32+SUMIFS(P$53:P$318,$A$53:$A$318,"BD",$C$53:$C$318,$C45)/'Shared Summary by Dept_US$'!$B$33+SUMIFS(P$53:P$318,$A$53:$A$318,"Nepal",$C$53:$C$318,$C45)/'Shared Summary by Dept_US$'!$B$34+SUMIFS(P$53:P$318,$A$53:$A$318,"US",$C$53:$C$318,$C45)/'Shared Summary by Dept_US$'!$B$35</f>
        <v>0</v>
      </c>
      <c r="Q45" s="71">
        <f ca="1">SUMIFS(Q$53:Q$318,$A$53:$A$318,"India",$C$53:$C$318,$C45)/'Shared Summary by Dept_US$'!$B$31+SUMIFS(Q$53:Q$318,$A$53:$A$318,"INDO",$C$53:$C$318,$C45)/'Shared Summary by Dept_US$'!$B$32+SUMIFS(Q$53:Q$318,$A$53:$A$318,"BD",$C$53:$C$318,$C45)/'Shared Summary by Dept_US$'!$B$33+SUMIFS(Q$53:Q$318,$A$53:$A$318,"Nepal",$C$53:$C$318,$C45)/'Shared Summary by Dept_US$'!$B$34+SUMIFS(Q$53:Q$318,$A$53:$A$318,"US",$C$53:$C$318,$C45)/'Shared Summary by Dept_US$'!$B$35</f>
        <v>0</v>
      </c>
      <c r="S45" s="106"/>
      <c r="T45" s="107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spans="1:34" ht="15.75" customHeight="1" x14ac:dyDescent="0.85">
      <c r="A46" s="32" t="s">
        <v>35</v>
      </c>
      <c r="B46" s="206" t="s">
        <v>105</v>
      </c>
      <c r="C46" s="108" t="s">
        <v>125</v>
      </c>
      <c r="D46" s="108"/>
      <c r="E46" s="111">
        <f t="shared" ca="1" si="0"/>
        <v>0</v>
      </c>
      <c r="F46" s="71">
        <f ca="1">SUMIFS(F$53:F$318,$A$53:$A$318,"India",$C$53:$C$318,$C46)/'Shared Summary by Dept_US$'!$B$31+SUMIFS(F$53:F$318,$A$53:$A$318,"INDO",$C$53:$C$318,$C46)/'Shared Summary by Dept_US$'!$B$32+SUMIFS(F$53:F$318,$A$53:$A$318,"BD",$C$53:$C$318,$C46)/'Shared Summary by Dept_US$'!$B$33+SUMIFS(F$53:F$318,$A$53:$A$318,"Nepal",$C$53:$C$318,$C46)/'Shared Summary by Dept_US$'!$B$34+SUMIFS(F$53:F$318,$A$53:$A$318,"US",$C$53:$C$318,$C46)/'Shared Summary by Dept_US$'!$B$35</f>
        <v>0</v>
      </c>
      <c r="G46" s="71">
        <f ca="1">SUMIFS(G$53:G$318,$A$53:$A$318,"India",$C$53:$C$318,$C46)/'Shared Summary by Dept_US$'!$B$31+SUMIFS(G$53:G$318,$A$53:$A$318,"INDO",$C$53:$C$318,$C46)/'Shared Summary by Dept_US$'!$B$32+SUMIFS(G$53:G$318,$A$53:$A$318,"BD",$C$53:$C$318,$C46)/'Shared Summary by Dept_US$'!$B$33+SUMIFS(G$53:G$318,$A$53:$A$318,"Nepal",$C$53:$C$318,$C46)/'Shared Summary by Dept_US$'!$B$34+SUMIFS(G$53:G$318,$A$53:$A$318,"US",$C$53:$C$318,$C46)/'Shared Summary by Dept_US$'!$B$35</f>
        <v>0</v>
      </c>
      <c r="H46" s="71">
        <f ca="1">SUMIFS(H$53:H$318,$A$53:$A$318,"India",$C$53:$C$318,$C46)/'Shared Summary by Dept_US$'!$B$31+SUMIFS(H$53:H$318,$A$53:$A$318,"INDO",$C$53:$C$318,$C46)/'Shared Summary by Dept_US$'!$B$32+SUMIFS(H$53:H$318,$A$53:$A$318,"BD",$C$53:$C$318,$C46)/'Shared Summary by Dept_US$'!$B$33+SUMIFS(H$53:H$318,$A$53:$A$318,"Nepal",$C$53:$C$318,$C46)/'Shared Summary by Dept_US$'!$B$34+SUMIFS(H$53:H$318,$A$53:$A$318,"US",$C$53:$C$318,$C46)/'Shared Summary by Dept_US$'!$B$35</f>
        <v>0</v>
      </c>
      <c r="I46" s="71">
        <f ca="1">SUMIFS(I$53:I$318,$A$53:$A$318,"India",$C$53:$C$318,$C46)/'Shared Summary by Dept_US$'!$B$31+SUMIFS(I$53:I$318,$A$53:$A$318,"INDO",$C$53:$C$318,$C46)/'Shared Summary by Dept_US$'!$B$32+SUMIFS(I$53:I$318,$A$53:$A$318,"BD",$C$53:$C$318,$C46)/'Shared Summary by Dept_US$'!$B$33+SUMIFS(I$53:I$318,$A$53:$A$318,"Nepal",$C$53:$C$318,$C46)/'Shared Summary by Dept_US$'!$B$34+SUMIFS(I$53:I$318,$A$53:$A$318,"US",$C$53:$C$318,$C46)/'Shared Summary by Dept_US$'!$B$35</f>
        <v>0</v>
      </c>
      <c r="J46" s="71">
        <f ca="1">SUMIFS(J$53:J$318,$A$53:$A$318,"India",$C$53:$C$318,$C46)/'Shared Summary by Dept_US$'!$B$31+SUMIFS(J$53:J$318,$A$53:$A$318,"INDO",$C$53:$C$318,$C46)/'Shared Summary by Dept_US$'!$B$32+SUMIFS(J$53:J$318,$A$53:$A$318,"BD",$C$53:$C$318,$C46)/'Shared Summary by Dept_US$'!$B$33+SUMIFS(J$53:J$318,$A$53:$A$318,"Nepal",$C$53:$C$318,$C46)/'Shared Summary by Dept_US$'!$B$34+SUMIFS(J$53:J$318,$A$53:$A$318,"US",$C$53:$C$318,$C46)/'Shared Summary by Dept_US$'!$B$35</f>
        <v>0</v>
      </c>
      <c r="K46" s="71">
        <f ca="1">SUMIFS(K$53:K$318,$A$53:$A$318,"India",$C$53:$C$318,$C46)/'Shared Summary by Dept_US$'!$B$31+SUMIFS(K$53:K$318,$A$53:$A$318,"INDO",$C$53:$C$318,$C46)/'Shared Summary by Dept_US$'!$B$32+SUMIFS(K$53:K$318,$A$53:$A$318,"BD",$C$53:$C$318,$C46)/'Shared Summary by Dept_US$'!$B$33+SUMIFS(K$53:K$318,$A$53:$A$318,"Nepal",$C$53:$C$318,$C46)/'Shared Summary by Dept_US$'!$B$34+SUMIFS(K$53:K$318,$A$53:$A$318,"US",$C$53:$C$318,$C46)/'Shared Summary by Dept_US$'!$B$35</f>
        <v>0</v>
      </c>
      <c r="L46" s="71">
        <f ca="1">SUMIFS(L$53:L$318,$A$53:$A$318,"India",$C$53:$C$318,$C46)/'Shared Summary by Dept_US$'!$B$31+SUMIFS(L$53:L$318,$A$53:$A$318,"INDO",$C$53:$C$318,$C46)/'Shared Summary by Dept_US$'!$B$32+SUMIFS(L$53:L$318,$A$53:$A$318,"BD",$C$53:$C$318,$C46)/'Shared Summary by Dept_US$'!$B$33+SUMIFS(L$53:L$318,$A$53:$A$318,"Nepal",$C$53:$C$318,$C46)/'Shared Summary by Dept_US$'!$B$34+SUMIFS(L$53:L$318,$A$53:$A$318,"US",$C$53:$C$318,$C46)/'Shared Summary by Dept_US$'!$B$35</f>
        <v>0</v>
      </c>
      <c r="M46" s="71">
        <f ca="1">SUMIFS(M$53:M$318,$A$53:$A$318,"India",$C$53:$C$318,$C46)/'Shared Summary by Dept_US$'!$B$31+SUMIFS(M$53:M$318,$A$53:$A$318,"INDO",$C$53:$C$318,$C46)/'Shared Summary by Dept_US$'!$B$32+SUMIFS(M$53:M$318,$A$53:$A$318,"BD",$C$53:$C$318,$C46)/'Shared Summary by Dept_US$'!$B$33+SUMIFS(M$53:M$318,$A$53:$A$318,"Nepal",$C$53:$C$318,$C46)/'Shared Summary by Dept_US$'!$B$34+SUMIFS(M$53:M$318,$A$53:$A$318,"US",$C$53:$C$318,$C46)/'Shared Summary by Dept_US$'!$B$35</f>
        <v>0</v>
      </c>
      <c r="N46" s="71">
        <f ca="1">SUMIFS(N$53:N$318,$A$53:$A$318,"India",$C$53:$C$318,$C46)/'Shared Summary by Dept_US$'!$B$31+SUMIFS(N$53:N$318,$A$53:$A$318,"INDO",$C$53:$C$318,$C46)/'Shared Summary by Dept_US$'!$B$32+SUMIFS(N$53:N$318,$A$53:$A$318,"BD",$C$53:$C$318,$C46)/'Shared Summary by Dept_US$'!$B$33+SUMIFS(N$53:N$318,$A$53:$A$318,"Nepal",$C$53:$C$318,$C46)/'Shared Summary by Dept_US$'!$B$34+SUMIFS(N$53:N$318,$A$53:$A$318,"US",$C$53:$C$318,$C46)/'Shared Summary by Dept_US$'!$B$35</f>
        <v>0</v>
      </c>
      <c r="O46" s="71">
        <f ca="1">SUMIFS(O$53:O$318,$A$53:$A$318,"India",$C$53:$C$318,$C46)/'Shared Summary by Dept_US$'!$B$31+SUMIFS(O$53:O$318,$A$53:$A$318,"INDO",$C$53:$C$318,$C46)/'Shared Summary by Dept_US$'!$B$32+SUMIFS(O$53:O$318,$A$53:$A$318,"BD",$C$53:$C$318,$C46)/'Shared Summary by Dept_US$'!$B$33+SUMIFS(O$53:O$318,$A$53:$A$318,"Nepal",$C$53:$C$318,$C46)/'Shared Summary by Dept_US$'!$B$34+SUMIFS(O$53:O$318,$A$53:$A$318,"US",$C$53:$C$318,$C46)/'Shared Summary by Dept_US$'!$B$35</f>
        <v>0</v>
      </c>
      <c r="P46" s="71">
        <f ca="1">SUMIFS(P$53:P$318,$A$53:$A$318,"India",$C$53:$C$318,$C46)/'Shared Summary by Dept_US$'!$B$31+SUMIFS(P$53:P$318,$A$53:$A$318,"INDO",$C$53:$C$318,$C46)/'Shared Summary by Dept_US$'!$B$32+SUMIFS(P$53:P$318,$A$53:$A$318,"BD",$C$53:$C$318,$C46)/'Shared Summary by Dept_US$'!$B$33+SUMIFS(P$53:P$318,$A$53:$A$318,"Nepal",$C$53:$C$318,$C46)/'Shared Summary by Dept_US$'!$B$34+SUMIFS(P$53:P$318,$A$53:$A$318,"US",$C$53:$C$318,$C46)/'Shared Summary by Dept_US$'!$B$35</f>
        <v>0</v>
      </c>
      <c r="Q46" s="71">
        <f ca="1">SUMIFS(Q$53:Q$318,$A$53:$A$318,"India",$C$53:$C$318,$C46)/'Shared Summary by Dept_US$'!$B$31+SUMIFS(Q$53:Q$318,$A$53:$A$318,"INDO",$C$53:$C$318,$C46)/'Shared Summary by Dept_US$'!$B$32+SUMIFS(Q$53:Q$318,$A$53:$A$318,"BD",$C$53:$C$318,$C46)/'Shared Summary by Dept_US$'!$B$33+SUMIFS(Q$53:Q$318,$A$53:$A$318,"Nepal",$C$53:$C$318,$C46)/'Shared Summary by Dept_US$'!$B$34+SUMIFS(Q$53:Q$318,$A$53:$A$318,"US",$C$53:$C$318,$C46)/'Shared Summary by Dept_US$'!$B$35</f>
        <v>0</v>
      </c>
      <c r="S46" s="106"/>
      <c r="T46" s="107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spans="1:34" ht="15.75" customHeight="1" x14ac:dyDescent="0.85">
      <c r="A47" s="32" t="s">
        <v>35</v>
      </c>
      <c r="B47" s="64" t="s">
        <v>210</v>
      </c>
      <c r="C47" s="64" t="s">
        <v>211</v>
      </c>
      <c r="D47" s="108"/>
      <c r="E47" s="111">
        <f t="shared" ca="1" si="0"/>
        <v>0</v>
      </c>
      <c r="F47" s="71">
        <f ca="1">SUMIFS(F$53:F$318,$A$53:$A$318,"India",$C$53:$C$318,$C47)/'Shared Summary by Dept_US$'!$B$31+SUMIFS(F$53:F$318,$A$53:$A$318,"INDO",$C$53:$C$318,$C47)/'Shared Summary by Dept_US$'!$B$32+SUMIFS(F$53:F$318,$A$53:$A$318,"BD",$C$53:$C$318,$C47)/'Shared Summary by Dept_US$'!$B$33+SUMIFS(F$53:F$318,$A$53:$A$318,"Nepal",$C$53:$C$318,$C47)/'Shared Summary by Dept_US$'!$B$34+SUMIFS(F$53:F$318,$A$53:$A$318,"US",$C$53:$C$318,$C47)/'Shared Summary by Dept_US$'!$B$35</f>
        <v>0</v>
      </c>
      <c r="G47" s="71">
        <f ca="1">SUMIFS(G$53:G$318,$A$53:$A$318,"India",$C$53:$C$318,$C47)/'Shared Summary by Dept_US$'!$B$31+SUMIFS(G$53:G$318,$A$53:$A$318,"INDO",$C$53:$C$318,$C47)/'Shared Summary by Dept_US$'!$B$32+SUMIFS(G$53:G$318,$A$53:$A$318,"BD",$C$53:$C$318,$C47)/'Shared Summary by Dept_US$'!$B$33+SUMIFS(G$53:G$318,$A$53:$A$318,"Nepal",$C$53:$C$318,$C47)/'Shared Summary by Dept_US$'!$B$34+SUMIFS(G$53:G$318,$A$53:$A$318,"US",$C$53:$C$318,$C47)/'Shared Summary by Dept_US$'!$B$35</f>
        <v>0</v>
      </c>
      <c r="H47" s="71">
        <f ca="1">SUMIFS(H$53:H$318,$A$53:$A$318,"India",$C$53:$C$318,$C47)/'Shared Summary by Dept_US$'!$B$31+SUMIFS(H$53:H$318,$A$53:$A$318,"INDO",$C$53:$C$318,$C47)/'Shared Summary by Dept_US$'!$B$32+SUMIFS(H$53:H$318,$A$53:$A$318,"BD",$C$53:$C$318,$C47)/'Shared Summary by Dept_US$'!$B$33+SUMIFS(H$53:H$318,$A$53:$A$318,"Nepal",$C$53:$C$318,$C47)/'Shared Summary by Dept_US$'!$B$34+SUMIFS(H$53:H$318,$A$53:$A$318,"US",$C$53:$C$318,$C47)/'Shared Summary by Dept_US$'!$B$35</f>
        <v>0</v>
      </c>
      <c r="I47" s="71">
        <f ca="1">SUMIFS(I$53:I$318,$A$53:$A$318,"India",$C$53:$C$318,$C47)/'Shared Summary by Dept_US$'!$B$31+SUMIFS(I$53:I$318,$A$53:$A$318,"INDO",$C$53:$C$318,$C47)/'Shared Summary by Dept_US$'!$B$32+SUMIFS(I$53:I$318,$A$53:$A$318,"BD",$C$53:$C$318,$C47)/'Shared Summary by Dept_US$'!$B$33+SUMIFS(I$53:I$318,$A$53:$A$318,"Nepal",$C$53:$C$318,$C47)/'Shared Summary by Dept_US$'!$B$34+SUMIFS(I$53:I$318,$A$53:$A$318,"US",$C$53:$C$318,$C47)/'Shared Summary by Dept_US$'!$B$35</f>
        <v>0</v>
      </c>
      <c r="J47" s="71">
        <f ca="1">SUMIFS(J$53:J$318,$A$53:$A$318,"India",$C$53:$C$318,$C47)/'Shared Summary by Dept_US$'!$B$31+SUMIFS(J$53:J$318,$A$53:$A$318,"INDO",$C$53:$C$318,$C47)/'Shared Summary by Dept_US$'!$B$32+SUMIFS(J$53:J$318,$A$53:$A$318,"BD",$C$53:$C$318,$C47)/'Shared Summary by Dept_US$'!$B$33+SUMIFS(J$53:J$318,$A$53:$A$318,"Nepal",$C$53:$C$318,$C47)/'Shared Summary by Dept_US$'!$B$34+SUMIFS(J$53:J$318,$A$53:$A$318,"US",$C$53:$C$318,$C47)/'Shared Summary by Dept_US$'!$B$35</f>
        <v>0</v>
      </c>
      <c r="K47" s="71">
        <f ca="1">SUMIFS(K$53:K$318,$A$53:$A$318,"India",$C$53:$C$318,$C47)/'Shared Summary by Dept_US$'!$B$31+SUMIFS(K$53:K$318,$A$53:$A$318,"INDO",$C$53:$C$318,$C47)/'Shared Summary by Dept_US$'!$B$32+SUMIFS(K$53:K$318,$A$53:$A$318,"BD",$C$53:$C$318,$C47)/'Shared Summary by Dept_US$'!$B$33+SUMIFS(K$53:K$318,$A$53:$A$318,"Nepal",$C$53:$C$318,$C47)/'Shared Summary by Dept_US$'!$B$34+SUMIFS(K$53:K$318,$A$53:$A$318,"US",$C$53:$C$318,$C47)/'Shared Summary by Dept_US$'!$B$35</f>
        <v>0</v>
      </c>
      <c r="L47" s="71">
        <f ca="1">SUMIFS(L$53:L$318,$A$53:$A$318,"India",$C$53:$C$318,$C47)/'Shared Summary by Dept_US$'!$B$31+SUMIFS(L$53:L$318,$A$53:$A$318,"INDO",$C$53:$C$318,$C47)/'Shared Summary by Dept_US$'!$B$32+SUMIFS(L$53:L$318,$A$53:$A$318,"BD",$C$53:$C$318,$C47)/'Shared Summary by Dept_US$'!$B$33+SUMIFS(L$53:L$318,$A$53:$A$318,"Nepal",$C$53:$C$318,$C47)/'Shared Summary by Dept_US$'!$B$34+SUMIFS(L$53:L$318,$A$53:$A$318,"US",$C$53:$C$318,$C47)/'Shared Summary by Dept_US$'!$B$35</f>
        <v>0</v>
      </c>
      <c r="M47" s="71">
        <f ca="1">SUMIFS(M$53:M$318,$A$53:$A$318,"India",$C$53:$C$318,$C47)/'Shared Summary by Dept_US$'!$B$31+SUMIFS(M$53:M$318,$A$53:$A$318,"INDO",$C$53:$C$318,$C47)/'Shared Summary by Dept_US$'!$B$32+SUMIFS(M$53:M$318,$A$53:$A$318,"BD",$C$53:$C$318,$C47)/'Shared Summary by Dept_US$'!$B$33+SUMIFS(M$53:M$318,$A$53:$A$318,"Nepal",$C$53:$C$318,$C47)/'Shared Summary by Dept_US$'!$B$34+SUMIFS(M$53:M$318,$A$53:$A$318,"US",$C$53:$C$318,$C47)/'Shared Summary by Dept_US$'!$B$35</f>
        <v>0</v>
      </c>
      <c r="N47" s="71">
        <f ca="1">SUMIFS(N$53:N$318,$A$53:$A$318,"India",$C$53:$C$318,$C47)/'Shared Summary by Dept_US$'!$B$31+SUMIFS(N$53:N$318,$A$53:$A$318,"INDO",$C$53:$C$318,$C47)/'Shared Summary by Dept_US$'!$B$32+SUMIFS(N$53:N$318,$A$53:$A$318,"BD",$C$53:$C$318,$C47)/'Shared Summary by Dept_US$'!$B$33+SUMIFS(N$53:N$318,$A$53:$A$318,"Nepal",$C$53:$C$318,$C47)/'Shared Summary by Dept_US$'!$B$34+SUMIFS(N$53:N$318,$A$53:$A$318,"US",$C$53:$C$318,$C47)/'Shared Summary by Dept_US$'!$B$35</f>
        <v>0</v>
      </c>
      <c r="O47" s="71">
        <f ca="1">SUMIFS(O$53:O$318,$A$53:$A$318,"India",$C$53:$C$318,$C47)/'Shared Summary by Dept_US$'!$B$31+SUMIFS(O$53:O$318,$A$53:$A$318,"INDO",$C$53:$C$318,$C47)/'Shared Summary by Dept_US$'!$B$32+SUMIFS(O$53:O$318,$A$53:$A$318,"BD",$C$53:$C$318,$C47)/'Shared Summary by Dept_US$'!$B$33+SUMIFS(O$53:O$318,$A$53:$A$318,"Nepal",$C$53:$C$318,$C47)/'Shared Summary by Dept_US$'!$B$34+SUMIFS(O$53:O$318,$A$53:$A$318,"US",$C$53:$C$318,$C47)/'Shared Summary by Dept_US$'!$B$35</f>
        <v>0</v>
      </c>
      <c r="P47" s="71">
        <f ca="1">SUMIFS(P$53:P$318,$A$53:$A$318,"India",$C$53:$C$318,$C47)/'Shared Summary by Dept_US$'!$B$31+SUMIFS(P$53:P$318,$A$53:$A$318,"INDO",$C$53:$C$318,$C47)/'Shared Summary by Dept_US$'!$B$32+SUMIFS(P$53:P$318,$A$53:$A$318,"BD",$C$53:$C$318,$C47)/'Shared Summary by Dept_US$'!$B$33+SUMIFS(P$53:P$318,$A$53:$A$318,"Nepal",$C$53:$C$318,$C47)/'Shared Summary by Dept_US$'!$B$34+SUMIFS(P$53:P$318,$A$53:$A$318,"US",$C$53:$C$318,$C47)/'Shared Summary by Dept_US$'!$B$35</f>
        <v>0</v>
      </c>
      <c r="Q47" s="71">
        <f ca="1">SUMIFS(Q$53:Q$318,$A$53:$A$318,"India",$C$53:$C$318,$C47)/'Shared Summary by Dept_US$'!$B$31+SUMIFS(Q$53:Q$318,$A$53:$A$318,"INDO",$C$53:$C$318,$C47)/'Shared Summary by Dept_US$'!$B$32+SUMIFS(Q$53:Q$318,$A$53:$A$318,"BD",$C$53:$C$318,$C47)/'Shared Summary by Dept_US$'!$B$33+SUMIFS(Q$53:Q$318,$A$53:$A$318,"Nepal",$C$53:$C$318,$C47)/'Shared Summary by Dept_US$'!$B$34+SUMIFS(Q$53:Q$318,$A$53:$A$318,"US",$C$53:$C$318,$C47)/'Shared Summary by Dept_US$'!$B$35</f>
        <v>0</v>
      </c>
      <c r="S47" s="106"/>
      <c r="T47" s="107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ht="15.75" customHeight="1" x14ac:dyDescent="0.85">
      <c r="A48" s="225"/>
      <c r="B48" s="129"/>
      <c r="C48" s="129"/>
      <c r="D48" s="129"/>
      <c r="E48" s="111">
        <f t="shared" ca="1" si="0"/>
        <v>0</v>
      </c>
      <c r="F48" s="71">
        <f ca="1">SUMIFS(F$53:F$318,$A$53:$A$318,"India",$C$53:$C$318,$C48)/'Shared Summary by Dept_US$'!$B$31+SUMIFS(F$53:F$318,$A$53:$A$318,"INDO",$C$53:$C$318,$C48)/'Shared Summary by Dept_US$'!$B$32+SUMIFS(F$53:F$318,$A$53:$A$318,"BD",$C$53:$C$318,$C48)/'Shared Summary by Dept_US$'!$B$33+SUMIFS(F$53:F$318,$A$53:$A$318,"Nepal",$C$53:$C$318,$C48)/'Shared Summary by Dept_US$'!$B$34+SUMIFS(F$53:F$318,$A$53:$A$318,"US",$C$53:$C$318,$C48)/'Shared Summary by Dept_US$'!$B$35</f>
        <v>0</v>
      </c>
      <c r="G48" s="71">
        <f ca="1">SUMIFS(G$53:G$318,$A$53:$A$318,"India",$C$53:$C$318,$C48)/'Shared Summary by Dept_US$'!$B$31+SUMIFS(G$53:G$318,$A$53:$A$318,"INDO",$C$53:$C$318,$C48)/'Shared Summary by Dept_US$'!$B$32+SUMIFS(G$53:G$318,$A$53:$A$318,"BD",$C$53:$C$318,$C48)/'Shared Summary by Dept_US$'!$B$33+SUMIFS(G$53:G$318,$A$53:$A$318,"Nepal",$C$53:$C$318,$C48)/'Shared Summary by Dept_US$'!$B$34+SUMIFS(G$53:G$318,$A$53:$A$318,"US",$C$53:$C$318,$C48)/'Shared Summary by Dept_US$'!$B$35</f>
        <v>0</v>
      </c>
      <c r="H48" s="71">
        <f ca="1">SUMIFS(H$53:H$318,$A$53:$A$318,"India",$C$53:$C$318,$C48)/'Shared Summary by Dept_US$'!$B$31+SUMIFS(H$53:H$318,$A$53:$A$318,"INDO",$C$53:$C$318,$C48)/'Shared Summary by Dept_US$'!$B$32+SUMIFS(H$53:H$318,$A$53:$A$318,"BD",$C$53:$C$318,$C48)/'Shared Summary by Dept_US$'!$B$33+SUMIFS(H$53:H$318,$A$53:$A$318,"Nepal",$C$53:$C$318,$C48)/'Shared Summary by Dept_US$'!$B$34+SUMIFS(H$53:H$318,$A$53:$A$318,"US",$C$53:$C$318,$C48)/'Shared Summary by Dept_US$'!$B$35</f>
        <v>0</v>
      </c>
      <c r="I48" s="71">
        <f ca="1">SUMIFS(I$53:I$318,$A$53:$A$318,"India",$C$53:$C$318,$C48)/'Shared Summary by Dept_US$'!$B$31+SUMIFS(I$53:I$318,$A$53:$A$318,"INDO",$C$53:$C$318,$C48)/'Shared Summary by Dept_US$'!$B$32+SUMIFS(I$53:I$318,$A$53:$A$318,"BD",$C$53:$C$318,$C48)/'Shared Summary by Dept_US$'!$B$33+SUMIFS(I$53:I$318,$A$53:$A$318,"Nepal",$C$53:$C$318,$C48)/'Shared Summary by Dept_US$'!$B$34+SUMIFS(I$53:I$318,$A$53:$A$318,"US",$C$53:$C$318,$C48)/'Shared Summary by Dept_US$'!$B$35</f>
        <v>0</v>
      </c>
      <c r="J48" s="71">
        <f ca="1">SUMIFS(J$53:J$318,$A$53:$A$318,"India",$C$53:$C$318,$C48)/'Shared Summary by Dept_US$'!$B$31+SUMIFS(J$53:J$318,$A$53:$A$318,"INDO",$C$53:$C$318,$C48)/'Shared Summary by Dept_US$'!$B$32+SUMIFS(J$53:J$318,$A$53:$A$318,"BD",$C$53:$C$318,$C48)/'Shared Summary by Dept_US$'!$B$33+SUMIFS(J$53:J$318,$A$53:$A$318,"Nepal",$C$53:$C$318,$C48)/'Shared Summary by Dept_US$'!$B$34+SUMIFS(J$53:J$318,$A$53:$A$318,"US",$C$53:$C$318,$C48)/'Shared Summary by Dept_US$'!$B$35</f>
        <v>0</v>
      </c>
      <c r="K48" s="71">
        <f ca="1">SUMIFS(K$53:K$318,$A$53:$A$318,"India",$C$53:$C$318,$C48)/'Shared Summary by Dept_US$'!$B$31+SUMIFS(K$53:K$318,$A$53:$A$318,"INDO",$C$53:$C$318,$C48)/'Shared Summary by Dept_US$'!$B$32+SUMIFS(K$53:K$318,$A$53:$A$318,"BD",$C$53:$C$318,$C48)/'Shared Summary by Dept_US$'!$B$33+SUMIFS(K$53:K$318,$A$53:$A$318,"Nepal",$C$53:$C$318,$C48)/'Shared Summary by Dept_US$'!$B$34+SUMIFS(K$53:K$318,$A$53:$A$318,"US",$C$53:$C$318,$C48)/'Shared Summary by Dept_US$'!$B$35</f>
        <v>0</v>
      </c>
      <c r="L48" s="71">
        <f ca="1">SUMIFS(L$53:L$318,$A$53:$A$318,"India",$C$53:$C$318,$C48)/'Shared Summary by Dept_US$'!$B$31+SUMIFS(L$53:L$318,$A$53:$A$318,"INDO",$C$53:$C$318,$C48)/'Shared Summary by Dept_US$'!$B$32+SUMIFS(L$53:L$318,$A$53:$A$318,"BD",$C$53:$C$318,$C48)/'Shared Summary by Dept_US$'!$B$33+SUMIFS(L$53:L$318,$A$53:$A$318,"Nepal",$C$53:$C$318,$C48)/'Shared Summary by Dept_US$'!$B$34+SUMIFS(L$53:L$318,$A$53:$A$318,"US",$C$53:$C$318,$C48)/'Shared Summary by Dept_US$'!$B$35</f>
        <v>0</v>
      </c>
      <c r="M48" s="71">
        <f ca="1">SUMIFS(M$53:M$318,$A$53:$A$318,"India",$C$53:$C$318,$C48)/'Shared Summary by Dept_US$'!$B$31+SUMIFS(M$53:M$318,$A$53:$A$318,"INDO",$C$53:$C$318,$C48)/'Shared Summary by Dept_US$'!$B$32+SUMIFS(M$53:M$318,$A$53:$A$318,"BD",$C$53:$C$318,$C48)/'Shared Summary by Dept_US$'!$B$33+SUMIFS(M$53:M$318,$A$53:$A$318,"Nepal",$C$53:$C$318,$C48)/'Shared Summary by Dept_US$'!$B$34+SUMIFS(M$53:M$318,$A$53:$A$318,"US",$C$53:$C$318,$C48)/'Shared Summary by Dept_US$'!$B$35</f>
        <v>0</v>
      </c>
      <c r="N48" s="71">
        <f ca="1">SUMIFS(N$53:N$318,$A$53:$A$318,"India",$C$53:$C$318,$C48)/'Shared Summary by Dept_US$'!$B$31+SUMIFS(N$53:N$318,$A$53:$A$318,"INDO",$C$53:$C$318,$C48)/'Shared Summary by Dept_US$'!$B$32+SUMIFS(N$53:N$318,$A$53:$A$318,"BD",$C$53:$C$318,$C48)/'Shared Summary by Dept_US$'!$B$33+SUMIFS(N$53:N$318,$A$53:$A$318,"Nepal",$C$53:$C$318,$C48)/'Shared Summary by Dept_US$'!$B$34+SUMIFS(N$53:N$318,$A$53:$A$318,"US",$C$53:$C$318,$C48)/'Shared Summary by Dept_US$'!$B$35</f>
        <v>0</v>
      </c>
      <c r="O48" s="71">
        <f ca="1">SUMIFS(O$53:O$318,$A$53:$A$318,"India",$C$53:$C$318,$C48)/'Shared Summary by Dept_US$'!$B$31+SUMIFS(O$53:O$318,$A$53:$A$318,"INDO",$C$53:$C$318,$C48)/'Shared Summary by Dept_US$'!$B$32+SUMIFS(O$53:O$318,$A$53:$A$318,"BD",$C$53:$C$318,$C48)/'Shared Summary by Dept_US$'!$B$33+SUMIFS(O$53:O$318,$A$53:$A$318,"Nepal",$C$53:$C$318,$C48)/'Shared Summary by Dept_US$'!$B$34+SUMIFS(O$53:O$318,$A$53:$A$318,"US",$C$53:$C$318,$C48)/'Shared Summary by Dept_US$'!$B$35</f>
        <v>0</v>
      </c>
      <c r="P48" s="71">
        <f ca="1">SUMIFS(P$53:P$318,$A$53:$A$318,"India",$C$53:$C$318,$C48)/'Shared Summary by Dept_US$'!$B$31+SUMIFS(P$53:P$318,$A$53:$A$318,"INDO",$C$53:$C$318,$C48)/'Shared Summary by Dept_US$'!$B$32+SUMIFS(P$53:P$318,$A$53:$A$318,"BD",$C$53:$C$318,$C48)/'Shared Summary by Dept_US$'!$B$33+SUMIFS(P$53:P$318,$A$53:$A$318,"Nepal",$C$53:$C$318,$C48)/'Shared Summary by Dept_US$'!$B$34+SUMIFS(P$53:P$318,$A$53:$A$318,"US",$C$53:$C$318,$C48)/'Shared Summary by Dept_US$'!$B$35</f>
        <v>0</v>
      </c>
      <c r="Q48" s="71">
        <f ca="1">SUMIFS(Q$53:Q$318,$A$53:$A$318,"India",$C$53:$C$318,$C48)/'Shared Summary by Dept_US$'!$B$31+SUMIFS(Q$53:Q$318,$A$53:$A$318,"INDO",$C$53:$C$318,$C48)/'Shared Summary by Dept_US$'!$B$32+SUMIFS(Q$53:Q$318,$A$53:$A$318,"BD",$C$53:$C$318,$C48)/'Shared Summary by Dept_US$'!$B$33+SUMIFS(Q$53:Q$318,$A$53:$A$318,"Nepal",$C$53:$C$318,$C48)/'Shared Summary by Dept_US$'!$B$34+SUMIFS(Q$53:Q$318,$A$53:$A$318,"US",$C$53:$C$318,$C48)/'Shared Summary by Dept_US$'!$B$35</f>
        <v>0</v>
      </c>
      <c r="S48" s="106"/>
      <c r="T48" s="107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ht="15.75" customHeight="1" x14ac:dyDescent="0.85">
      <c r="A49" s="276"/>
      <c r="B49" s="276"/>
      <c r="C49" s="277" t="s">
        <v>212</v>
      </c>
      <c r="D49" s="276"/>
      <c r="E49" s="278">
        <f t="shared" ref="E49:Q49" ca="1" si="1">SUM(E3:E48)</f>
        <v>2182266.500256462</v>
      </c>
      <c r="F49" s="278">
        <f t="shared" ca="1" si="1"/>
        <v>160226.86466147794</v>
      </c>
      <c r="G49" s="278">
        <f t="shared" ca="1" si="1"/>
        <v>162618.1100077423</v>
      </c>
      <c r="H49" s="278">
        <f t="shared" ca="1" si="1"/>
        <v>192222.15098068296</v>
      </c>
      <c r="I49" s="278">
        <f t="shared" ca="1" si="1"/>
        <v>202430.57982551045</v>
      </c>
      <c r="J49" s="278">
        <f t="shared" ca="1" si="1"/>
        <v>190849.69762747403</v>
      </c>
      <c r="K49" s="278">
        <f t="shared" ca="1" si="1"/>
        <v>186137.2076135852</v>
      </c>
      <c r="L49" s="278">
        <f t="shared" ca="1" si="1"/>
        <v>183599.44720242626</v>
      </c>
      <c r="M49" s="278">
        <f t="shared" ca="1" si="1"/>
        <v>179985.0184373401</v>
      </c>
      <c r="N49" s="278">
        <f t="shared" ca="1" si="1"/>
        <v>185642.67636909295</v>
      </c>
      <c r="O49" s="278">
        <f t="shared" ca="1" si="1"/>
        <v>180806.09208892056</v>
      </c>
      <c r="P49" s="278">
        <f t="shared" ca="1" si="1"/>
        <v>179626.56335328837</v>
      </c>
      <c r="Q49" s="278">
        <f t="shared" ca="1" si="1"/>
        <v>178122.09208892056</v>
      </c>
      <c r="S49" s="279"/>
      <c r="T49" s="107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spans="1:34" ht="15.75" customHeight="1" x14ac:dyDescent="0.3">
      <c r="C50" s="121" t="s">
        <v>102</v>
      </c>
      <c r="D50" s="280"/>
      <c r="E50" s="281">
        <f ca="1">E49-'Shared Summary by Dept_US$'!C21</f>
        <v>0</v>
      </c>
      <c r="F50" s="281">
        <f ca="1">F49-'Shared Summary by Dept_US$'!D21</f>
        <v>0</v>
      </c>
      <c r="G50" s="281">
        <f ca="1">G49-'Shared Summary by Dept_US$'!E21</f>
        <v>0</v>
      </c>
      <c r="H50" s="281">
        <f ca="1">H49-'Shared Summary by Dept_US$'!F21</f>
        <v>0</v>
      </c>
      <c r="I50" s="281">
        <f ca="1">I49-'Shared Summary by Dept_US$'!G21</f>
        <v>0</v>
      </c>
      <c r="J50" s="281">
        <f ca="1">J49-'Shared Summary by Dept_US$'!H21</f>
        <v>0</v>
      </c>
      <c r="K50" s="281">
        <f ca="1">K49-'Shared Summary by Dept_US$'!I21</f>
        <v>0</v>
      </c>
      <c r="L50" s="281">
        <f ca="1">L49-'Shared Summary by Dept_US$'!J21</f>
        <v>0</v>
      </c>
      <c r="M50" s="281">
        <f ca="1">M49-'Shared Summary by Dept_US$'!K21</f>
        <v>0</v>
      </c>
      <c r="N50" s="281">
        <f ca="1">N49-'Shared Summary by Dept_US$'!L21</f>
        <v>0</v>
      </c>
      <c r="O50" s="281">
        <f ca="1">O49-'Shared Summary by Dept_US$'!M21</f>
        <v>0</v>
      </c>
      <c r="P50" s="281">
        <f ca="1">P49-'Shared Summary by Dept_US$'!N21</f>
        <v>0</v>
      </c>
      <c r="Q50" s="281">
        <f ca="1">Q49-'Shared Summary by Dept_US$'!O21</f>
        <v>0</v>
      </c>
      <c r="S50" s="282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ht="15.75" customHeight="1" x14ac:dyDescent="0.25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282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spans="1:34" ht="23.25" customHeight="1" x14ac:dyDescent="0.25">
      <c r="A52" s="283"/>
      <c r="B52" s="284" t="str">
        <f ca="1">IFERROR(__xludf.DUMMYFUNCTION("query({'India- Tech Build Out'!F1:U23;'India- Tech Build Out'!F26:U46;'India- Tech Build Out'!F49:U69;'India- Tech Build Out'!F72:U91;'India- Tech Build Out'!F95:U114;'INDO- Tech Build-Out'!F3:U22;'INDO- Tech Build-Out'!F26:U45;'BD- Tech Build-Out'!F3:U22"&amp;";'BD- Tech Build-Out'!F26:U45;'India- Tech Build Out'!F117:U118;'Nepal- Tech Build Out'!F3:U22;'US- Tech Build Out'!F3:U22;'US- Tech Build Out'!F26:U45;'India- Tech Build Out'!F122:U141},""Select*"",1)"),"Parent account")</f>
        <v>Parent account</v>
      </c>
      <c r="C52" s="284" t="str">
        <f ca="1">IFERROR(__xludf.DUMMYFUNCTION("""COMPUTED_VALUE"""),"GL Description")</f>
        <v>GL Description</v>
      </c>
      <c r="D52" s="285" t="str">
        <f ca="1">IFERROR(__xludf.DUMMYFUNCTION("""COMPUTED_VALUE"""),"Ledger Code")</f>
        <v>Ledger Code</v>
      </c>
      <c r="E52" s="285" t="str">
        <f ca="1">IFERROR(__xludf.DUMMYFUNCTION("""COMPUTED_VALUE"""),"Total 
CY-2026")</f>
        <v>Total 
CY-2026</v>
      </c>
      <c r="F52" s="7" t="str">
        <f ca="1">IFERROR(__xludf.DUMMYFUNCTION("""COMPUTED_VALUE"""),"Jan-2026")</f>
        <v>Jan-2026</v>
      </c>
      <c r="G52" s="7" t="str">
        <f ca="1">IFERROR(__xludf.DUMMYFUNCTION("""COMPUTED_VALUE"""),"Feb-2026")</f>
        <v>Feb-2026</v>
      </c>
      <c r="H52" s="7" t="str">
        <f ca="1">IFERROR(__xludf.DUMMYFUNCTION("""COMPUTED_VALUE"""),"Mar-2026")</f>
        <v>Mar-2026</v>
      </c>
      <c r="I52" s="7" t="str">
        <f ca="1">IFERROR(__xludf.DUMMYFUNCTION("""COMPUTED_VALUE"""),"Apr-2026")</f>
        <v>Apr-2026</v>
      </c>
      <c r="J52" s="7" t="str">
        <f ca="1">IFERROR(__xludf.DUMMYFUNCTION("""COMPUTED_VALUE"""),"May-2026")</f>
        <v>May-2026</v>
      </c>
      <c r="K52" s="7" t="str">
        <f ca="1">IFERROR(__xludf.DUMMYFUNCTION("""COMPUTED_VALUE"""),"Jun-2026")</f>
        <v>Jun-2026</v>
      </c>
      <c r="L52" s="7" t="str">
        <f ca="1">IFERROR(__xludf.DUMMYFUNCTION("""COMPUTED_VALUE"""),"Jul-2026")</f>
        <v>Jul-2026</v>
      </c>
      <c r="M52" s="7" t="str">
        <f ca="1">IFERROR(__xludf.DUMMYFUNCTION("""COMPUTED_VALUE"""),"Aug-2026")</f>
        <v>Aug-2026</v>
      </c>
      <c r="N52" s="7" t="str">
        <f ca="1">IFERROR(__xludf.DUMMYFUNCTION("""COMPUTED_VALUE"""),"Sep-2026")</f>
        <v>Sep-2026</v>
      </c>
      <c r="O52" s="7" t="str">
        <f ca="1">IFERROR(__xludf.DUMMYFUNCTION("""COMPUTED_VALUE"""),"Oct-2026")</f>
        <v>Oct-2026</v>
      </c>
      <c r="P52" s="7" t="str">
        <f ca="1">IFERROR(__xludf.DUMMYFUNCTION("""COMPUTED_VALUE"""),"Nov-2026")</f>
        <v>Nov-2026</v>
      </c>
      <c r="Q52" s="7" t="str">
        <f ca="1">IFERROR(__xludf.DUMMYFUNCTION("""COMPUTED_VALUE"""),"Dec-2026")</f>
        <v>Dec-2026</v>
      </c>
      <c r="R52" s="286"/>
      <c r="S52" s="285" t="s">
        <v>213</v>
      </c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</row>
    <row r="53" spans="1:34" ht="15.75" customHeight="1" x14ac:dyDescent="0.25">
      <c r="A53" s="81"/>
      <c r="B53" s="64"/>
      <c r="C53" s="81"/>
      <c r="D53" s="141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288"/>
      <c r="R53" s="286"/>
      <c r="S53" s="289"/>
      <c r="T53" s="287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ht="15.75" customHeight="1" x14ac:dyDescent="0.25">
      <c r="A54" s="81" t="s">
        <v>14</v>
      </c>
      <c r="B54" s="64" t="str">
        <f ca="1">IFERROR(__xludf.DUMMYFUNCTION("""COMPUTED_VALUE"""),"Salaries and Wages")</f>
        <v>Salaries and Wages</v>
      </c>
      <c r="C54" s="64" t="str">
        <f ca="1">IFERROR(__xludf.DUMMYFUNCTION("""COMPUTED_VALUE"""),"Salaries and Wages")</f>
        <v>Salaries and Wages</v>
      </c>
      <c r="D54" s="290"/>
      <c r="E54" s="140">
        <f ca="1">IFERROR(__xludf.DUMMYFUNCTION("""COMPUTED_VALUE"""),451493.679)</f>
        <v>451493.679</v>
      </c>
      <c r="F54" s="140">
        <f ca="1">IFERROR(__xludf.DUMMYFUNCTION("""COMPUTED_VALUE"""),150497.893)</f>
        <v>150497.89300000001</v>
      </c>
      <c r="G54" s="140">
        <f ca="1">IFERROR(__xludf.DUMMYFUNCTION("""COMPUTED_VALUE"""),150497.893)</f>
        <v>150497.89300000001</v>
      </c>
      <c r="H54" s="140">
        <f ca="1">IFERROR(__xludf.DUMMYFUNCTION("""COMPUTED_VALUE"""),150497.893)</f>
        <v>150497.89300000001</v>
      </c>
      <c r="I54" s="140">
        <f ca="1">IFERROR(__xludf.DUMMYFUNCTION("""COMPUTED_VALUE"""),0)</f>
        <v>0</v>
      </c>
      <c r="J54" s="140">
        <f ca="1">IFERROR(__xludf.DUMMYFUNCTION("""COMPUTED_VALUE"""),0)</f>
        <v>0</v>
      </c>
      <c r="K54" s="140">
        <f ca="1">IFERROR(__xludf.DUMMYFUNCTION("""COMPUTED_VALUE"""),0)</f>
        <v>0</v>
      </c>
      <c r="L54" s="140">
        <f ca="1">IFERROR(__xludf.DUMMYFUNCTION("""COMPUTED_VALUE"""),0)</f>
        <v>0</v>
      </c>
      <c r="M54" s="140">
        <f ca="1">IFERROR(__xludf.DUMMYFUNCTION("""COMPUTED_VALUE"""),0)</f>
        <v>0</v>
      </c>
      <c r="N54" s="140">
        <f ca="1">IFERROR(__xludf.DUMMYFUNCTION("""COMPUTED_VALUE"""),0)</f>
        <v>0</v>
      </c>
      <c r="O54" s="140">
        <f ca="1">IFERROR(__xludf.DUMMYFUNCTION("""COMPUTED_VALUE"""),0)</f>
        <v>0</v>
      </c>
      <c r="P54" s="140">
        <f ca="1">IFERROR(__xludf.DUMMYFUNCTION("""COMPUTED_VALUE"""),0)</f>
        <v>0</v>
      </c>
      <c r="Q54" s="288">
        <f ca="1">IFERROR(__xludf.DUMMYFUNCTION("""COMPUTED_VALUE"""),0)</f>
        <v>0</v>
      </c>
      <c r="R54" s="286"/>
      <c r="S54" s="291" t="e">
        <f ca="1">_xludf.ifs(A54="INDIA",E54/'Shared Summary by Dept_US$'!$B$31,A54="INDO",E54/'Shared Summary by Dept_US$'!$B$32,A54="BD",E54/'Shared Summary by Dept_US$'!$B$33,A54="Nepal",E54/'Shared Summary by Dept_US$'!$B$34,A54="US",E54/'Shared Summary by Dept_US$'!$B$35)</f>
        <v>#NAME?</v>
      </c>
      <c r="T54" s="292" t="s">
        <v>169</v>
      </c>
      <c r="U54" s="15"/>
      <c r="V54" s="15"/>
      <c r="W54" s="107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spans="1:34" ht="15.75" customHeight="1" x14ac:dyDescent="0.25">
      <c r="A55" s="81" t="s">
        <v>14</v>
      </c>
      <c r="B55" s="64" t="str">
        <f ca="1">IFERROR(__xludf.DUMMYFUNCTION("""COMPUTED_VALUE"""),"Health and Retirement Benefits")</f>
        <v>Health and Retirement Benefits</v>
      </c>
      <c r="C55" s="64" t="str">
        <f ca="1">IFERROR(__xludf.DUMMYFUNCTION("""COMPUTED_VALUE"""),"Gratuity &amp; Bonus")</f>
        <v>Gratuity &amp; Bonus</v>
      </c>
      <c r="D55" s="290"/>
      <c r="E55" s="140">
        <f ca="1">IFERROR(__xludf.DUMMYFUNCTION("""COMPUTED_VALUE"""),0)</f>
        <v>0</v>
      </c>
      <c r="F55" s="140">
        <f ca="1">IFERROR(__xludf.DUMMYFUNCTION("""COMPUTED_VALUE"""),0)</f>
        <v>0</v>
      </c>
      <c r="G55" s="140">
        <f ca="1">IFERROR(__xludf.DUMMYFUNCTION("""COMPUTED_VALUE"""),0)</f>
        <v>0</v>
      </c>
      <c r="H55" s="140">
        <f ca="1">IFERROR(__xludf.DUMMYFUNCTION("""COMPUTED_VALUE"""),0)</f>
        <v>0</v>
      </c>
      <c r="I55" s="140">
        <f ca="1">IFERROR(__xludf.DUMMYFUNCTION("""COMPUTED_VALUE"""),0)</f>
        <v>0</v>
      </c>
      <c r="J55" s="140">
        <f ca="1">IFERROR(__xludf.DUMMYFUNCTION("""COMPUTED_VALUE"""),0)</f>
        <v>0</v>
      </c>
      <c r="K55" s="140">
        <f ca="1">IFERROR(__xludf.DUMMYFUNCTION("""COMPUTED_VALUE"""),0)</f>
        <v>0</v>
      </c>
      <c r="L55" s="140">
        <f ca="1">IFERROR(__xludf.DUMMYFUNCTION("""COMPUTED_VALUE"""),0)</f>
        <v>0</v>
      </c>
      <c r="M55" s="140">
        <f ca="1">IFERROR(__xludf.DUMMYFUNCTION("""COMPUTED_VALUE"""),0)</f>
        <v>0</v>
      </c>
      <c r="N55" s="140">
        <f ca="1">IFERROR(__xludf.DUMMYFUNCTION("""COMPUTED_VALUE"""),0)</f>
        <v>0</v>
      </c>
      <c r="O55" s="140">
        <f ca="1">IFERROR(__xludf.DUMMYFUNCTION("""COMPUTED_VALUE"""),0)</f>
        <v>0</v>
      </c>
      <c r="P55" s="140">
        <f ca="1">IFERROR(__xludf.DUMMYFUNCTION("""COMPUTED_VALUE"""),0)</f>
        <v>0</v>
      </c>
      <c r="Q55" s="288">
        <f ca="1">IFERROR(__xludf.DUMMYFUNCTION("""COMPUTED_VALUE"""),0)</f>
        <v>0</v>
      </c>
      <c r="R55" s="286"/>
      <c r="S55" s="291" t="e">
        <f ca="1">_xludf.ifs(A55="INDIA",E55/'Shared Summary by Dept_US$'!$B$31,A55="INDO",E55/'Shared Summary by Dept_US$'!$B$32,A55="BD",E55/'Shared Summary by Dept_US$'!$B$33,A55="Nepal",E55/'Shared Summary by Dept_US$'!$B$34,A55="US",E55/'Shared Summary by Dept_US$'!$B$35)</f>
        <v>#NAME?</v>
      </c>
      <c r="T55" s="292" t="s">
        <v>169</v>
      </c>
      <c r="U55" s="15"/>
      <c r="V55" s="15"/>
      <c r="W55" s="107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spans="1:34" ht="15.75" customHeight="1" x14ac:dyDescent="0.25">
      <c r="A56" s="81" t="s">
        <v>14</v>
      </c>
      <c r="B56" s="64" t="str">
        <f ca="1">IFERROR(__xludf.DUMMYFUNCTION("""COMPUTED_VALUE"""),"Other Staff Expenses")</f>
        <v>Other Staff Expenses</v>
      </c>
      <c r="C56" s="64" t="str">
        <f ca="1">IFERROR(__xludf.DUMMYFUNCTION("""COMPUTED_VALUE"""),"Staff Training, Learning &amp; Development Exp")</f>
        <v>Staff Training, Learning &amp; Development Exp</v>
      </c>
      <c r="D56" s="290">
        <f ca="1">IFERROR(__xludf.DUMMYFUNCTION("""COMPUTED_VALUE"""),91302)</f>
        <v>91302</v>
      </c>
      <c r="E56" s="140">
        <f ca="1">IFERROR(__xludf.DUMMYFUNCTION("""COMPUTED_VALUE"""),0)</f>
        <v>0</v>
      </c>
      <c r="F56" s="140">
        <f ca="1">IFERROR(__xludf.DUMMYFUNCTION("""COMPUTED_VALUE"""),0)</f>
        <v>0</v>
      </c>
      <c r="G56" s="140">
        <f ca="1">IFERROR(__xludf.DUMMYFUNCTION("""COMPUTED_VALUE"""),0)</f>
        <v>0</v>
      </c>
      <c r="H56" s="140">
        <f ca="1">IFERROR(__xludf.DUMMYFUNCTION("""COMPUTED_VALUE"""),0)</f>
        <v>0</v>
      </c>
      <c r="I56" s="140">
        <f ca="1">IFERROR(__xludf.DUMMYFUNCTION("""COMPUTED_VALUE"""),0)</f>
        <v>0</v>
      </c>
      <c r="J56" s="140">
        <f ca="1">IFERROR(__xludf.DUMMYFUNCTION("""COMPUTED_VALUE"""),0)</f>
        <v>0</v>
      </c>
      <c r="K56" s="140">
        <f ca="1">IFERROR(__xludf.DUMMYFUNCTION("""COMPUTED_VALUE"""),0)</f>
        <v>0</v>
      </c>
      <c r="L56" s="140">
        <f ca="1">IFERROR(__xludf.DUMMYFUNCTION("""COMPUTED_VALUE"""),0)</f>
        <v>0</v>
      </c>
      <c r="M56" s="140">
        <f ca="1">IFERROR(__xludf.DUMMYFUNCTION("""COMPUTED_VALUE"""),0)</f>
        <v>0</v>
      </c>
      <c r="N56" s="140">
        <f ca="1">IFERROR(__xludf.DUMMYFUNCTION("""COMPUTED_VALUE"""),0)</f>
        <v>0</v>
      </c>
      <c r="O56" s="140">
        <f ca="1">IFERROR(__xludf.DUMMYFUNCTION("""COMPUTED_VALUE"""),0)</f>
        <v>0</v>
      </c>
      <c r="P56" s="140">
        <f ca="1">IFERROR(__xludf.DUMMYFUNCTION("""COMPUTED_VALUE"""),0)</f>
        <v>0</v>
      </c>
      <c r="Q56" s="288">
        <f ca="1">IFERROR(__xludf.DUMMYFUNCTION("""COMPUTED_VALUE"""),0)</f>
        <v>0</v>
      </c>
      <c r="R56" s="286"/>
      <c r="S56" s="291" t="e">
        <f ca="1">_xludf.ifs(A56="INDIA",E56/'Shared Summary by Dept_US$'!$B$31,A56="INDO",E56/'Shared Summary by Dept_US$'!$B$32,A56="BD",E56/'Shared Summary by Dept_US$'!$B$33,A56="Nepal",E56/'Shared Summary by Dept_US$'!$B$34,A56="US",E56/'Shared Summary by Dept_US$'!$B$35)</f>
        <v>#NAME?</v>
      </c>
      <c r="T56" s="292" t="s">
        <v>169</v>
      </c>
      <c r="U56" s="15"/>
      <c r="V56" s="15"/>
      <c r="W56" s="107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ht="15.75" customHeight="1" x14ac:dyDescent="0.25">
      <c r="A57" s="81" t="s">
        <v>14</v>
      </c>
      <c r="B57" s="64" t="str">
        <f ca="1">IFERROR(__xludf.DUMMYFUNCTION("""COMPUTED_VALUE"""),"Resource Persons")</f>
        <v>Resource Persons</v>
      </c>
      <c r="C57" s="64" t="str">
        <f ca="1">IFERROR(__xludf.DUMMYFUNCTION("""COMPUTED_VALUE"""),"Program Resource Consultant (EHA)")</f>
        <v>Program Resource Consultant (EHA)</v>
      </c>
      <c r="D57" s="290">
        <f ca="1">IFERROR(__xludf.DUMMYFUNCTION("""COMPUTED_VALUE"""),92101)</f>
        <v>92101</v>
      </c>
      <c r="E57" s="140">
        <f ca="1">IFERROR(__xludf.DUMMYFUNCTION("""COMPUTED_VALUE"""),0)</f>
        <v>0</v>
      </c>
      <c r="F57" s="140">
        <f ca="1">IFERROR(__xludf.DUMMYFUNCTION("""COMPUTED_VALUE"""),0)</f>
        <v>0</v>
      </c>
      <c r="G57" s="140">
        <f ca="1">IFERROR(__xludf.DUMMYFUNCTION("""COMPUTED_VALUE"""),0)</f>
        <v>0</v>
      </c>
      <c r="H57" s="140">
        <f ca="1">IFERROR(__xludf.DUMMYFUNCTION("""COMPUTED_VALUE"""),0)</f>
        <v>0</v>
      </c>
      <c r="I57" s="140">
        <f ca="1">IFERROR(__xludf.DUMMYFUNCTION("""COMPUTED_VALUE"""),0)</f>
        <v>0</v>
      </c>
      <c r="J57" s="140">
        <f ca="1">IFERROR(__xludf.DUMMYFUNCTION("""COMPUTED_VALUE"""),0)</f>
        <v>0</v>
      </c>
      <c r="K57" s="140">
        <f ca="1">IFERROR(__xludf.DUMMYFUNCTION("""COMPUTED_VALUE"""),0)</f>
        <v>0</v>
      </c>
      <c r="L57" s="140">
        <f ca="1">IFERROR(__xludf.DUMMYFUNCTION("""COMPUTED_VALUE"""),0)</f>
        <v>0</v>
      </c>
      <c r="M57" s="140">
        <f ca="1">IFERROR(__xludf.DUMMYFUNCTION("""COMPUTED_VALUE"""),0)</f>
        <v>0</v>
      </c>
      <c r="N57" s="140">
        <f ca="1">IFERROR(__xludf.DUMMYFUNCTION("""COMPUTED_VALUE"""),0)</f>
        <v>0</v>
      </c>
      <c r="O57" s="140">
        <f ca="1">IFERROR(__xludf.DUMMYFUNCTION("""COMPUTED_VALUE"""),0)</f>
        <v>0</v>
      </c>
      <c r="P57" s="140">
        <f ca="1">IFERROR(__xludf.DUMMYFUNCTION("""COMPUTED_VALUE"""),0)</f>
        <v>0</v>
      </c>
      <c r="Q57" s="288">
        <f ca="1">IFERROR(__xludf.DUMMYFUNCTION("""COMPUTED_VALUE"""),0)</f>
        <v>0</v>
      </c>
      <c r="R57" s="286"/>
      <c r="S57" s="291" t="e">
        <f ca="1">_xludf.ifs(A57="INDIA",E57/'Shared Summary by Dept_US$'!$B$31,A57="INDO",E57/'Shared Summary by Dept_US$'!$B$32,A57="BD",E57/'Shared Summary by Dept_US$'!$B$33,A57="Nepal",E57/'Shared Summary by Dept_US$'!$B$34,A57="US",E57/'Shared Summary by Dept_US$'!$B$35)</f>
        <v>#NAME?</v>
      </c>
      <c r="T57" s="292" t="s">
        <v>169</v>
      </c>
      <c r="U57" s="15"/>
      <c r="V57" s="15"/>
      <c r="W57" s="107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ht="15.75" customHeight="1" x14ac:dyDescent="0.25">
      <c r="A58" s="81" t="s">
        <v>14</v>
      </c>
      <c r="B58" s="64" t="str">
        <f ca="1">IFERROR(__xludf.DUMMYFUNCTION("""COMPUTED_VALUE"""),"Travel &amp; Lodging Expenses")</f>
        <v>Travel &amp; Lodging Expenses</v>
      </c>
      <c r="C58" s="64" t="str">
        <f ca="1">IFERROR(__xludf.DUMMYFUNCTION("""COMPUTED_VALUE"""),"Hotel Accomodation")</f>
        <v>Hotel Accomodation</v>
      </c>
      <c r="D58" s="290">
        <f ca="1">IFERROR(__xludf.DUMMYFUNCTION("""COMPUTED_VALUE"""),93101)</f>
        <v>93101</v>
      </c>
      <c r="E58" s="140">
        <f ca="1">IFERROR(__xludf.DUMMYFUNCTION("""COMPUTED_VALUE"""),0)</f>
        <v>0</v>
      </c>
      <c r="F58" s="140">
        <f ca="1">IFERROR(__xludf.DUMMYFUNCTION("""COMPUTED_VALUE"""),0)</f>
        <v>0</v>
      </c>
      <c r="G58" s="140">
        <f ca="1">IFERROR(__xludf.DUMMYFUNCTION("""COMPUTED_VALUE"""),0)</f>
        <v>0</v>
      </c>
      <c r="H58" s="140">
        <f ca="1">IFERROR(__xludf.DUMMYFUNCTION("""COMPUTED_VALUE"""),0)</f>
        <v>0</v>
      </c>
      <c r="I58" s="140">
        <f ca="1">IFERROR(__xludf.DUMMYFUNCTION("""COMPUTED_VALUE"""),0)</f>
        <v>0</v>
      </c>
      <c r="J58" s="140">
        <f ca="1">IFERROR(__xludf.DUMMYFUNCTION("""COMPUTED_VALUE"""),0)</f>
        <v>0</v>
      </c>
      <c r="K58" s="140">
        <f ca="1">IFERROR(__xludf.DUMMYFUNCTION("""COMPUTED_VALUE"""),0)</f>
        <v>0</v>
      </c>
      <c r="L58" s="140">
        <f ca="1">IFERROR(__xludf.DUMMYFUNCTION("""COMPUTED_VALUE"""),0)</f>
        <v>0</v>
      </c>
      <c r="M58" s="140">
        <f ca="1">IFERROR(__xludf.DUMMYFUNCTION("""COMPUTED_VALUE"""),0)</f>
        <v>0</v>
      </c>
      <c r="N58" s="140">
        <f ca="1">IFERROR(__xludf.DUMMYFUNCTION("""COMPUTED_VALUE"""),0)</f>
        <v>0</v>
      </c>
      <c r="O58" s="140">
        <f ca="1">IFERROR(__xludf.DUMMYFUNCTION("""COMPUTED_VALUE"""),0)</f>
        <v>0</v>
      </c>
      <c r="P58" s="140">
        <f ca="1">IFERROR(__xludf.DUMMYFUNCTION("""COMPUTED_VALUE"""),0)</f>
        <v>0</v>
      </c>
      <c r="Q58" s="288">
        <f ca="1">IFERROR(__xludf.DUMMYFUNCTION("""COMPUTED_VALUE"""),0)</f>
        <v>0</v>
      </c>
      <c r="R58" s="286"/>
      <c r="S58" s="291" t="e">
        <f ca="1">_xludf.ifs(A58="INDIA",E58/'Shared Summary by Dept_US$'!$B$31,A58="INDO",E58/'Shared Summary by Dept_US$'!$B$32,A58="BD",E58/'Shared Summary by Dept_US$'!$B$33,A58="Nepal",E58/'Shared Summary by Dept_US$'!$B$34,A58="US",E58/'Shared Summary by Dept_US$'!$B$35)</f>
        <v>#NAME?</v>
      </c>
      <c r="T58" s="292" t="s">
        <v>169</v>
      </c>
      <c r="U58" s="15"/>
      <c r="V58" s="15"/>
      <c r="W58" s="107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customHeight="1" x14ac:dyDescent="0.25">
      <c r="A59" s="81" t="s">
        <v>14</v>
      </c>
      <c r="B59" s="64" t="str">
        <f ca="1">IFERROR(__xludf.DUMMYFUNCTION("""COMPUTED_VALUE"""),"Travel &amp; Lodging Expenses")</f>
        <v>Travel &amp; Lodging Expenses</v>
      </c>
      <c r="C59" s="64" t="str">
        <f ca="1">IFERROR(__xludf.DUMMYFUNCTION("""COMPUTED_VALUE"""),"Food Expenses")</f>
        <v>Food Expenses</v>
      </c>
      <c r="D59" s="290">
        <f ca="1">IFERROR(__xludf.DUMMYFUNCTION("""COMPUTED_VALUE"""),93102)</f>
        <v>93102</v>
      </c>
      <c r="E59" s="140">
        <f ca="1">IFERROR(__xludf.DUMMYFUNCTION("""COMPUTED_VALUE"""),0)</f>
        <v>0</v>
      </c>
      <c r="F59" s="140">
        <f ca="1">IFERROR(__xludf.DUMMYFUNCTION("""COMPUTED_VALUE"""),0)</f>
        <v>0</v>
      </c>
      <c r="G59" s="140">
        <f ca="1">IFERROR(__xludf.DUMMYFUNCTION("""COMPUTED_VALUE"""),0)</f>
        <v>0</v>
      </c>
      <c r="H59" s="140">
        <f ca="1">IFERROR(__xludf.DUMMYFUNCTION("""COMPUTED_VALUE"""),0)</f>
        <v>0</v>
      </c>
      <c r="I59" s="140">
        <f ca="1">IFERROR(__xludf.DUMMYFUNCTION("""COMPUTED_VALUE"""),0)</f>
        <v>0</v>
      </c>
      <c r="J59" s="140">
        <f ca="1">IFERROR(__xludf.DUMMYFUNCTION("""COMPUTED_VALUE"""),0)</f>
        <v>0</v>
      </c>
      <c r="K59" s="140">
        <f ca="1">IFERROR(__xludf.DUMMYFUNCTION("""COMPUTED_VALUE"""),0)</f>
        <v>0</v>
      </c>
      <c r="L59" s="140">
        <f ca="1">IFERROR(__xludf.DUMMYFUNCTION("""COMPUTED_VALUE"""),0)</f>
        <v>0</v>
      </c>
      <c r="M59" s="140">
        <f ca="1">IFERROR(__xludf.DUMMYFUNCTION("""COMPUTED_VALUE"""),0)</f>
        <v>0</v>
      </c>
      <c r="N59" s="140">
        <f ca="1">IFERROR(__xludf.DUMMYFUNCTION("""COMPUTED_VALUE"""),0)</f>
        <v>0</v>
      </c>
      <c r="O59" s="140">
        <f ca="1">IFERROR(__xludf.DUMMYFUNCTION("""COMPUTED_VALUE"""),0)</f>
        <v>0</v>
      </c>
      <c r="P59" s="140">
        <f ca="1">IFERROR(__xludf.DUMMYFUNCTION("""COMPUTED_VALUE"""),0)</f>
        <v>0</v>
      </c>
      <c r="Q59" s="288">
        <f ca="1">IFERROR(__xludf.DUMMYFUNCTION("""COMPUTED_VALUE"""),0)</f>
        <v>0</v>
      </c>
      <c r="R59" s="286"/>
      <c r="S59" s="291" t="e">
        <f ca="1">_xludf.ifs(A59="INDIA",E59/'Shared Summary by Dept_US$'!$B$31,A59="INDO",E59/'Shared Summary by Dept_US$'!$B$32,A59="BD",E59/'Shared Summary by Dept_US$'!$B$33,A59="Nepal",E59/'Shared Summary by Dept_US$'!$B$34,A59="US",E59/'Shared Summary by Dept_US$'!$B$35)</f>
        <v>#NAME?</v>
      </c>
      <c r="T59" s="292" t="s">
        <v>169</v>
      </c>
      <c r="U59" s="15"/>
      <c r="V59" s="15"/>
      <c r="W59" s="107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ht="15.75" customHeight="1" x14ac:dyDescent="0.25">
      <c r="A60" s="81" t="s">
        <v>14</v>
      </c>
      <c r="B60" s="64" t="str">
        <f ca="1">IFERROR(__xludf.DUMMYFUNCTION("""COMPUTED_VALUE"""),"Travel &amp; Lodging Expenses")</f>
        <v>Travel &amp; Lodging Expenses</v>
      </c>
      <c r="C60" s="64" t="str">
        <f ca="1">IFERROR(__xludf.DUMMYFUNCTION("""COMPUTED_VALUE"""),"Air fare")</f>
        <v>Air fare</v>
      </c>
      <c r="D60" s="290">
        <f ca="1">IFERROR(__xludf.DUMMYFUNCTION("""COMPUTED_VALUE"""),93103)</f>
        <v>93103</v>
      </c>
      <c r="E60" s="140">
        <f ca="1">IFERROR(__xludf.DUMMYFUNCTION("""COMPUTED_VALUE"""),0)</f>
        <v>0</v>
      </c>
      <c r="F60" s="140">
        <f ca="1">IFERROR(__xludf.DUMMYFUNCTION("""COMPUTED_VALUE"""),0)</f>
        <v>0</v>
      </c>
      <c r="G60" s="140">
        <f ca="1">IFERROR(__xludf.DUMMYFUNCTION("""COMPUTED_VALUE"""),0)</f>
        <v>0</v>
      </c>
      <c r="H60" s="140">
        <f ca="1">IFERROR(__xludf.DUMMYFUNCTION("""COMPUTED_VALUE"""),0)</f>
        <v>0</v>
      </c>
      <c r="I60" s="140">
        <f ca="1">IFERROR(__xludf.DUMMYFUNCTION("""COMPUTED_VALUE"""),0)</f>
        <v>0</v>
      </c>
      <c r="J60" s="140">
        <f ca="1">IFERROR(__xludf.DUMMYFUNCTION("""COMPUTED_VALUE"""),0)</f>
        <v>0</v>
      </c>
      <c r="K60" s="140">
        <f ca="1">IFERROR(__xludf.DUMMYFUNCTION("""COMPUTED_VALUE"""),0)</f>
        <v>0</v>
      </c>
      <c r="L60" s="140">
        <f ca="1">IFERROR(__xludf.DUMMYFUNCTION("""COMPUTED_VALUE"""),0)</f>
        <v>0</v>
      </c>
      <c r="M60" s="140">
        <f ca="1">IFERROR(__xludf.DUMMYFUNCTION("""COMPUTED_VALUE"""),0)</f>
        <v>0</v>
      </c>
      <c r="N60" s="140">
        <f ca="1">IFERROR(__xludf.DUMMYFUNCTION("""COMPUTED_VALUE"""),0)</f>
        <v>0</v>
      </c>
      <c r="O60" s="140">
        <f ca="1">IFERROR(__xludf.DUMMYFUNCTION("""COMPUTED_VALUE"""),0)</f>
        <v>0</v>
      </c>
      <c r="P60" s="140">
        <f ca="1">IFERROR(__xludf.DUMMYFUNCTION("""COMPUTED_VALUE"""),0)</f>
        <v>0</v>
      </c>
      <c r="Q60" s="288">
        <f ca="1">IFERROR(__xludf.DUMMYFUNCTION("""COMPUTED_VALUE"""),0)</f>
        <v>0</v>
      </c>
      <c r="R60" s="286"/>
      <c r="S60" s="291" t="e">
        <f ca="1">_xludf.ifs(A60="INDIA",E60/'Shared Summary by Dept_US$'!$B$31,A60="INDO",E60/'Shared Summary by Dept_US$'!$B$32,A60="BD",E60/'Shared Summary by Dept_US$'!$B$33,A60="Nepal",E60/'Shared Summary by Dept_US$'!$B$34,A60="US",E60/'Shared Summary by Dept_US$'!$B$35)</f>
        <v>#NAME?</v>
      </c>
      <c r="T60" s="292" t="s">
        <v>169</v>
      </c>
      <c r="U60" s="15"/>
      <c r="V60" s="15"/>
      <c r="W60" s="107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spans="1:34" ht="15.75" customHeight="1" x14ac:dyDescent="0.25">
      <c r="A61" s="81" t="s">
        <v>14</v>
      </c>
      <c r="B61" s="64" t="str">
        <f ca="1">IFERROR(__xludf.DUMMYFUNCTION("""COMPUTED_VALUE"""),"Travel &amp; Lodging Expenses")</f>
        <v>Travel &amp; Lodging Expenses</v>
      </c>
      <c r="C61" s="64" t="str">
        <f ca="1">IFERROR(__xludf.DUMMYFUNCTION("""COMPUTED_VALUE"""),"Cab/Auto")</f>
        <v>Cab/Auto</v>
      </c>
      <c r="D61" s="290">
        <f ca="1">IFERROR(__xludf.DUMMYFUNCTION("""COMPUTED_VALUE"""),93104)</f>
        <v>93104</v>
      </c>
      <c r="E61" s="140">
        <f ca="1">IFERROR(__xludf.DUMMYFUNCTION("""COMPUTED_VALUE"""),0)</f>
        <v>0</v>
      </c>
      <c r="F61" s="140">
        <f ca="1">IFERROR(__xludf.DUMMYFUNCTION("""COMPUTED_VALUE"""),0)</f>
        <v>0</v>
      </c>
      <c r="G61" s="140">
        <f ca="1">IFERROR(__xludf.DUMMYFUNCTION("""COMPUTED_VALUE"""),0)</f>
        <v>0</v>
      </c>
      <c r="H61" s="140">
        <f ca="1">IFERROR(__xludf.DUMMYFUNCTION("""COMPUTED_VALUE"""),0)</f>
        <v>0</v>
      </c>
      <c r="I61" s="140">
        <f ca="1">IFERROR(__xludf.DUMMYFUNCTION("""COMPUTED_VALUE"""),0)</f>
        <v>0</v>
      </c>
      <c r="J61" s="140">
        <f ca="1">IFERROR(__xludf.DUMMYFUNCTION("""COMPUTED_VALUE"""),0)</f>
        <v>0</v>
      </c>
      <c r="K61" s="140">
        <f ca="1">IFERROR(__xludf.DUMMYFUNCTION("""COMPUTED_VALUE"""),0)</f>
        <v>0</v>
      </c>
      <c r="L61" s="140">
        <f ca="1">IFERROR(__xludf.DUMMYFUNCTION("""COMPUTED_VALUE"""),0)</f>
        <v>0</v>
      </c>
      <c r="M61" s="140">
        <f ca="1">IFERROR(__xludf.DUMMYFUNCTION("""COMPUTED_VALUE"""),0)</f>
        <v>0</v>
      </c>
      <c r="N61" s="140">
        <f ca="1">IFERROR(__xludf.DUMMYFUNCTION("""COMPUTED_VALUE"""),0)</f>
        <v>0</v>
      </c>
      <c r="O61" s="140">
        <f ca="1">IFERROR(__xludf.DUMMYFUNCTION("""COMPUTED_VALUE"""),0)</f>
        <v>0</v>
      </c>
      <c r="P61" s="140">
        <f ca="1">IFERROR(__xludf.DUMMYFUNCTION("""COMPUTED_VALUE"""),0)</f>
        <v>0</v>
      </c>
      <c r="Q61" s="288">
        <f ca="1">IFERROR(__xludf.DUMMYFUNCTION("""COMPUTED_VALUE"""),0)</f>
        <v>0</v>
      </c>
      <c r="R61" s="286"/>
      <c r="S61" s="291" t="e">
        <f ca="1">_xludf.ifs(A61="INDIA",E61/'Shared Summary by Dept_US$'!$B$31,A61="INDO",E61/'Shared Summary by Dept_US$'!$B$32,A61="BD",E61/'Shared Summary by Dept_US$'!$B$33,A61="Nepal",E61/'Shared Summary by Dept_US$'!$B$34,A61="US",E61/'Shared Summary by Dept_US$'!$B$35)</f>
        <v>#NAME?</v>
      </c>
      <c r="T61" s="292" t="s">
        <v>169</v>
      </c>
      <c r="U61" s="15"/>
      <c r="V61" s="15"/>
      <c r="W61" s="107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ht="15.75" customHeight="1" x14ac:dyDescent="0.25">
      <c r="A62" s="81" t="s">
        <v>14</v>
      </c>
      <c r="B62" s="64" t="str">
        <f ca="1">IFERROR(__xludf.DUMMYFUNCTION("""COMPUTED_VALUE"""),"Travel &amp; Lodging Expenses")</f>
        <v>Travel &amp; Lodging Expenses</v>
      </c>
      <c r="C62" s="64" t="str">
        <f ca="1">IFERROR(__xludf.DUMMYFUNCTION("""COMPUTED_VALUE"""),"Bus/Train")</f>
        <v>Bus/Train</v>
      </c>
      <c r="D62" s="290">
        <f ca="1">IFERROR(__xludf.DUMMYFUNCTION("""COMPUTED_VALUE"""),93105)</f>
        <v>93105</v>
      </c>
      <c r="E62" s="140">
        <f ca="1">IFERROR(__xludf.DUMMYFUNCTION("""COMPUTED_VALUE"""),0)</f>
        <v>0</v>
      </c>
      <c r="F62" s="140">
        <f ca="1">IFERROR(__xludf.DUMMYFUNCTION("""COMPUTED_VALUE"""),0)</f>
        <v>0</v>
      </c>
      <c r="G62" s="140">
        <f ca="1">IFERROR(__xludf.DUMMYFUNCTION("""COMPUTED_VALUE"""),0)</f>
        <v>0</v>
      </c>
      <c r="H62" s="140">
        <f ca="1">IFERROR(__xludf.DUMMYFUNCTION("""COMPUTED_VALUE"""),0)</f>
        <v>0</v>
      </c>
      <c r="I62" s="140">
        <f ca="1">IFERROR(__xludf.DUMMYFUNCTION("""COMPUTED_VALUE"""),0)</f>
        <v>0</v>
      </c>
      <c r="J62" s="140">
        <f ca="1">IFERROR(__xludf.DUMMYFUNCTION("""COMPUTED_VALUE"""),0)</f>
        <v>0</v>
      </c>
      <c r="K62" s="140">
        <f ca="1">IFERROR(__xludf.DUMMYFUNCTION("""COMPUTED_VALUE"""),0)</f>
        <v>0</v>
      </c>
      <c r="L62" s="140">
        <f ca="1">IFERROR(__xludf.DUMMYFUNCTION("""COMPUTED_VALUE"""),0)</f>
        <v>0</v>
      </c>
      <c r="M62" s="140">
        <f ca="1">IFERROR(__xludf.DUMMYFUNCTION("""COMPUTED_VALUE"""),0)</f>
        <v>0</v>
      </c>
      <c r="N62" s="140">
        <f ca="1">IFERROR(__xludf.DUMMYFUNCTION("""COMPUTED_VALUE"""),0)</f>
        <v>0</v>
      </c>
      <c r="O62" s="140">
        <f ca="1">IFERROR(__xludf.DUMMYFUNCTION("""COMPUTED_VALUE"""),0)</f>
        <v>0</v>
      </c>
      <c r="P62" s="140">
        <f ca="1">IFERROR(__xludf.DUMMYFUNCTION("""COMPUTED_VALUE"""),0)</f>
        <v>0</v>
      </c>
      <c r="Q62" s="288">
        <f ca="1">IFERROR(__xludf.DUMMYFUNCTION("""COMPUTED_VALUE"""),0)</f>
        <v>0</v>
      </c>
      <c r="R62" s="286"/>
      <c r="S62" s="291" t="e">
        <f ca="1">_xludf.ifs(A62="INDIA",E62/'Shared Summary by Dept_US$'!$B$31,A62="INDO",E62/'Shared Summary by Dept_US$'!$B$32,A62="BD",E62/'Shared Summary by Dept_US$'!$B$33,A62="Nepal",E62/'Shared Summary by Dept_US$'!$B$34,A62="US",E62/'Shared Summary by Dept_US$'!$B$35)</f>
        <v>#NAME?</v>
      </c>
      <c r="T62" s="292" t="s">
        <v>169</v>
      </c>
      <c r="U62" s="15"/>
      <c r="V62" s="15"/>
      <c r="W62" s="107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ht="15.75" customHeight="1" x14ac:dyDescent="0.25">
      <c r="A63" s="81" t="s">
        <v>14</v>
      </c>
      <c r="B63" s="64" t="str">
        <f ca="1">IFERROR(__xludf.DUMMYFUNCTION("""COMPUTED_VALUE"""),"Travel &amp; Lodging Expenses")</f>
        <v>Travel &amp; Lodging Expenses</v>
      </c>
      <c r="C63" s="64" t="str">
        <f ca="1">IFERROR(__xludf.DUMMYFUNCTION("""COMPUTED_VALUE"""),"Other incidental travel costs")</f>
        <v>Other incidental travel costs</v>
      </c>
      <c r="D63" s="290">
        <f ca="1">IFERROR(__xludf.DUMMYFUNCTION("""COMPUTED_VALUE"""),93106)</f>
        <v>93106</v>
      </c>
      <c r="E63" s="140">
        <f ca="1">IFERROR(__xludf.DUMMYFUNCTION("""COMPUTED_VALUE"""),0)</f>
        <v>0</v>
      </c>
      <c r="F63" s="140">
        <f ca="1">IFERROR(__xludf.DUMMYFUNCTION("""COMPUTED_VALUE"""),0)</f>
        <v>0</v>
      </c>
      <c r="G63" s="140">
        <f ca="1">IFERROR(__xludf.DUMMYFUNCTION("""COMPUTED_VALUE"""),0)</f>
        <v>0</v>
      </c>
      <c r="H63" s="140">
        <f ca="1">IFERROR(__xludf.DUMMYFUNCTION("""COMPUTED_VALUE"""),0)</f>
        <v>0</v>
      </c>
      <c r="I63" s="140">
        <f ca="1">IFERROR(__xludf.DUMMYFUNCTION("""COMPUTED_VALUE"""),0)</f>
        <v>0</v>
      </c>
      <c r="J63" s="140">
        <f ca="1">IFERROR(__xludf.DUMMYFUNCTION("""COMPUTED_VALUE"""),0)</f>
        <v>0</v>
      </c>
      <c r="K63" s="140">
        <f ca="1">IFERROR(__xludf.DUMMYFUNCTION("""COMPUTED_VALUE"""),0)</f>
        <v>0</v>
      </c>
      <c r="L63" s="140">
        <f ca="1">IFERROR(__xludf.DUMMYFUNCTION("""COMPUTED_VALUE"""),0)</f>
        <v>0</v>
      </c>
      <c r="M63" s="140">
        <f ca="1">IFERROR(__xludf.DUMMYFUNCTION("""COMPUTED_VALUE"""),0)</f>
        <v>0</v>
      </c>
      <c r="N63" s="140">
        <f ca="1">IFERROR(__xludf.DUMMYFUNCTION("""COMPUTED_VALUE"""),0)</f>
        <v>0</v>
      </c>
      <c r="O63" s="140">
        <f ca="1">IFERROR(__xludf.DUMMYFUNCTION("""COMPUTED_VALUE"""),0)</f>
        <v>0</v>
      </c>
      <c r="P63" s="140">
        <f ca="1">IFERROR(__xludf.DUMMYFUNCTION("""COMPUTED_VALUE"""),0)</f>
        <v>0</v>
      </c>
      <c r="Q63" s="288">
        <f ca="1">IFERROR(__xludf.DUMMYFUNCTION("""COMPUTED_VALUE"""),0)</f>
        <v>0</v>
      </c>
      <c r="R63" s="286"/>
      <c r="S63" s="291" t="e">
        <f ca="1">_xludf.ifs(A63="INDIA",E63/'Shared Summary by Dept_US$'!$B$31,A63="INDO",E63/'Shared Summary by Dept_US$'!$B$32,A63="BD",E63/'Shared Summary by Dept_US$'!$B$33,A63="Nepal",E63/'Shared Summary by Dept_US$'!$B$34,A63="US",E63/'Shared Summary by Dept_US$'!$B$35)</f>
        <v>#NAME?</v>
      </c>
      <c r="T63" s="292" t="s">
        <v>169</v>
      </c>
      <c r="U63" s="15"/>
      <c r="V63" s="15"/>
      <c r="W63" s="107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1:34" ht="15.75" customHeight="1" x14ac:dyDescent="0.25">
      <c r="A64" s="81" t="s">
        <v>14</v>
      </c>
      <c r="B64" s="64" t="str">
        <f ca="1">IFERROR(__xludf.DUMMYFUNCTION("""COMPUTED_VALUE"""),"Supplies &amp; Printing Costs")</f>
        <v>Supplies &amp; Printing Costs</v>
      </c>
      <c r="C64" s="64" t="str">
        <f ca="1">IFERROR(__xludf.DUMMYFUNCTION("""COMPUTED_VALUE"""),"Other Direct Expenses")</f>
        <v>Other Direct Expenses</v>
      </c>
      <c r="D64" s="290">
        <f ca="1">IFERROR(__xludf.DUMMYFUNCTION("""COMPUTED_VALUE"""),93201)</f>
        <v>93201</v>
      </c>
      <c r="E64" s="140">
        <f ca="1">IFERROR(__xludf.DUMMYFUNCTION("""COMPUTED_VALUE"""),0)</f>
        <v>0</v>
      </c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288"/>
      <c r="R64" s="286"/>
      <c r="S64" s="291" t="e">
        <f ca="1">_xludf.ifs(A64="INDIA",E64/'Shared Summary by Dept_US$'!$B$31,A64="INDO",E64/'Shared Summary by Dept_US$'!$B$32,A64="BD",E64/'Shared Summary by Dept_US$'!$B$33,A64="Nepal",E64/'Shared Summary by Dept_US$'!$B$34,A64="US",E64/'Shared Summary by Dept_US$'!$B$35)</f>
        <v>#NAME?</v>
      </c>
      <c r="T64" s="292" t="s">
        <v>169</v>
      </c>
      <c r="U64" s="15"/>
      <c r="V64" s="15"/>
      <c r="W64" s="107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34" ht="15.75" customHeight="1" x14ac:dyDescent="0.25">
      <c r="A65" s="81" t="s">
        <v>14</v>
      </c>
      <c r="B65" s="64" t="str">
        <f ca="1">IFERROR(__xludf.DUMMYFUNCTION("""COMPUTED_VALUE"""),"Supplies &amp; Printing Costs")</f>
        <v>Supplies &amp; Printing Costs</v>
      </c>
      <c r="C65" s="64" t="str">
        <f ca="1">IFERROR(__xludf.DUMMYFUNCTION("""COMPUTED_VALUE"""),"Printing expenses")</f>
        <v>Printing expenses</v>
      </c>
      <c r="D65" s="290">
        <f ca="1">IFERROR(__xludf.DUMMYFUNCTION("""COMPUTED_VALUE"""),93204)</f>
        <v>93204</v>
      </c>
      <c r="E65" s="140">
        <f ca="1">IFERROR(__xludf.DUMMYFUNCTION("""COMPUTED_VALUE"""),0)</f>
        <v>0</v>
      </c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288"/>
      <c r="R65" s="286"/>
      <c r="S65" s="291" t="e">
        <f ca="1">_xludf.ifs(A65="INDIA",E65/'Shared Summary by Dept_US$'!$B$31,A65="INDO",E65/'Shared Summary by Dept_US$'!$B$32,A65="BD",E65/'Shared Summary by Dept_US$'!$B$33,A65="Nepal",E65/'Shared Summary by Dept_US$'!$B$34,A65="US",E65/'Shared Summary by Dept_US$'!$B$35)</f>
        <v>#NAME?</v>
      </c>
      <c r="T65" s="292" t="s">
        <v>169</v>
      </c>
      <c r="U65" s="15"/>
      <c r="V65" s="15"/>
      <c r="W65" s="107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ht="15.75" customHeight="1" x14ac:dyDescent="0.25">
      <c r="A66" s="81" t="s">
        <v>14</v>
      </c>
      <c r="B66" s="64" t="str">
        <f ca="1">IFERROR(__xludf.DUMMYFUNCTION("""COMPUTED_VALUE"""),"Communication Cost")</f>
        <v>Communication Cost</v>
      </c>
      <c r="C66" s="64" t="str">
        <f ca="1">IFERROR(__xludf.DUMMYFUNCTION("""COMPUTED_VALUE"""),"Internet Expenses")</f>
        <v>Internet Expenses</v>
      </c>
      <c r="D66" s="290">
        <f ca="1">IFERROR(__xludf.DUMMYFUNCTION("""COMPUTED_VALUE"""),93301)</f>
        <v>93301</v>
      </c>
      <c r="E66" s="140">
        <f ca="1">IFERROR(__xludf.DUMMYFUNCTION("""COMPUTED_VALUE"""),0)</f>
        <v>0</v>
      </c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288"/>
      <c r="R66" s="286"/>
      <c r="S66" s="291" t="e">
        <f ca="1">_xludf.ifs(A66="INDIA",E66/'Shared Summary by Dept_US$'!$B$31,A66="INDO",E66/'Shared Summary by Dept_US$'!$B$32,A66="BD",E66/'Shared Summary by Dept_US$'!$B$33,A66="Nepal",E66/'Shared Summary by Dept_US$'!$B$34,A66="US",E66/'Shared Summary by Dept_US$'!$B$35)</f>
        <v>#NAME?</v>
      </c>
      <c r="T66" s="292" t="s">
        <v>169</v>
      </c>
      <c r="U66" s="15"/>
      <c r="V66" s="15"/>
      <c r="W66" s="107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spans="1:34" ht="15.75" customHeight="1" x14ac:dyDescent="0.25">
      <c r="A67" s="81" t="s">
        <v>14</v>
      </c>
      <c r="B67" s="64" t="str">
        <f ca="1">IFERROR(__xludf.DUMMYFUNCTION("""COMPUTED_VALUE"""),"Communication Cost")</f>
        <v>Communication Cost</v>
      </c>
      <c r="C67" s="64" t="str">
        <f ca="1">IFERROR(__xludf.DUMMYFUNCTION("""COMPUTED_VALUE"""),"Postage &amp; Courier Expenses")</f>
        <v>Postage &amp; Courier Expenses</v>
      </c>
      <c r="D67" s="290">
        <f ca="1">IFERROR(__xludf.DUMMYFUNCTION("""COMPUTED_VALUE"""),93302)</f>
        <v>93302</v>
      </c>
      <c r="E67" s="140">
        <f ca="1">IFERROR(__xludf.DUMMYFUNCTION("""COMPUTED_VALUE"""),0)</f>
        <v>0</v>
      </c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288"/>
      <c r="R67" s="286"/>
      <c r="S67" s="291" t="e">
        <f ca="1">_xludf.ifs(A67="INDIA",E67/'Shared Summary by Dept_US$'!$B$31,A67="INDO",E67/'Shared Summary by Dept_US$'!$B$32,A67="BD",E67/'Shared Summary by Dept_US$'!$B$33,A67="Nepal",E67/'Shared Summary by Dept_US$'!$B$34,A67="US",E67/'Shared Summary by Dept_US$'!$B$35)</f>
        <v>#NAME?</v>
      </c>
      <c r="T67" s="292" t="s">
        <v>169</v>
      </c>
      <c r="U67" s="15"/>
      <c r="V67" s="15"/>
      <c r="W67" s="107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34" ht="15.75" customHeight="1" x14ac:dyDescent="0.25">
      <c r="A68" s="81" t="s">
        <v>14</v>
      </c>
      <c r="B68" s="64" t="str">
        <f ca="1">IFERROR(__xludf.DUMMYFUNCTION("""COMPUTED_VALUE"""),"Communication Cost")</f>
        <v>Communication Cost</v>
      </c>
      <c r="C68" s="64" t="str">
        <f ca="1">IFERROR(__xludf.DUMMYFUNCTION("""COMPUTED_VALUE"""),"Telecommunication expenses")</f>
        <v>Telecommunication expenses</v>
      </c>
      <c r="D68" s="290">
        <f ca="1">IFERROR(__xludf.DUMMYFUNCTION("""COMPUTED_VALUE"""),93303)</f>
        <v>93303</v>
      </c>
      <c r="E68" s="140">
        <f ca="1">IFERROR(__xludf.DUMMYFUNCTION("""COMPUTED_VALUE"""),0)</f>
        <v>0</v>
      </c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288"/>
      <c r="R68" s="286"/>
      <c r="S68" s="291" t="e">
        <f ca="1">_xludf.ifs(A68="INDIA",E68/'Shared Summary by Dept_US$'!$B$31,A68="INDO",E68/'Shared Summary by Dept_US$'!$B$32,A68="BD",E68/'Shared Summary by Dept_US$'!$B$33,A68="Nepal",E68/'Shared Summary by Dept_US$'!$B$34,A68="US",E68/'Shared Summary by Dept_US$'!$B$35)</f>
        <v>#NAME?</v>
      </c>
      <c r="T68" s="292" t="s">
        <v>169</v>
      </c>
      <c r="U68" s="15"/>
      <c r="V68" s="15"/>
      <c r="W68" s="107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ht="15.75" customHeight="1" x14ac:dyDescent="0.25">
      <c r="A69" s="81" t="s">
        <v>14</v>
      </c>
      <c r="B69" s="64" t="str">
        <f ca="1">IFERROR(__xludf.DUMMYFUNCTION("""COMPUTED_VALUE"""),"Office Expenses")</f>
        <v>Office Expenses</v>
      </c>
      <c r="C69" s="64" t="str">
        <f ca="1">IFERROR(__xludf.DUMMYFUNCTION("""COMPUTED_VALUE"""),"Software and Subscriptions")</f>
        <v>Software and Subscriptions</v>
      </c>
      <c r="D69" s="290">
        <f ca="1">IFERROR(__xludf.DUMMYFUNCTION("""COMPUTED_VALUE"""),93401)</f>
        <v>93401</v>
      </c>
      <c r="E69" s="140">
        <f ca="1">IFERROR(__xludf.DUMMYFUNCTION("""COMPUTED_VALUE"""),0)</f>
        <v>0</v>
      </c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288"/>
      <c r="R69" s="286"/>
      <c r="S69" s="291" t="e">
        <f ca="1">_xludf.ifs(A69="INDIA",E69/'Shared Summary by Dept_US$'!$B$31,A69="INDO",E69/'Shared Summary by Dept_US$'!$B$32,A69="BD",E69/'Shared Summary by Dept_US$'!$B$33,A69="Nepal",E69/'Shared Summary by Dept_US$'!$B$34,A69="US",E69/'Shared Summary by Dept_US$'!$B$35)</f>
        <v>#NAME?</v>
      </c>
      <c r="T69" s="292" t="s">
        <v>169</v>
      </c>
      <c r="U69" s="15"/>
      <c r="V69" s="15"/>
      <c r="W69" s="107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1:34" ht="15.75" customHeight="1" x14ac:dyDescent="0.25">
      <c r="A70" s="81" t="s">
        <v>14</v>
      </c>
      <c r="B70" s="64" t="str">
        <f ca="1">IFERROR(__xludf.DUMMYFUNCTION("""COMPUTED_VALUE"""),"Office Expenses")</f>
        <v>Office Expenses</v>
      </c>
      <c r="C70" s="64" t="str">
        <f ca="1">IFERROR(__xludf.DUMMYFUNCTION("""COMPUTED_VALUE"""),"Stationery &amp; Consumables")</f>
        <v>Stationery &amp; Consumables</v>
      </c>
      <c r="D70" s="290">
        <f ca="1">IFERROR(__xludf.DUMMYFUNCTION("""COMPUTED_VALUE"""),93404)</f>
        <v>93404</v>
      </c>
      <c r="E70" s="140">
        <f ca="1">IFERROR(__xludf.DUMMYFUNCTION("""COMPUTED_VALUE"""),0)</f>
        <v>0</v>
      </c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288"/>
      <c r="R70" s="286"/>
      <c r="S70" s="291" t="e">
        <f ca="1">_xludf.ifs(A70="INDIA",E70/'Shared Summary by Dept_US$'!$B$31,A70="INDO",E70/'Shared Summary by Dept_US$'!$B$32,A70="BD",E70/'Shared Summary by Dept_US$'!$B$33,A70="Nepal",E70/'Shared Summary by Dept_US$'!$B$34,A70="US",E70/'Shared Summary by Dept_US$'!$B$35)</f>
        <v>#NAME?</v>
      </c>
      <c r="T70" s="292" t="s">
        <v>169</v>
      </c>
      <c r="U70" s="15"/>
      <c r="V70" s="15"/>
      <c r="W70" s="107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1:34" ht="15.75" customHeight="1" x14ac:dyDescent="0.25">
      <c r="A71" s="81" t="s">
        <v>14</v>
      </c>
      <c r="B71" s="64" t="str">
        <f ca="1">IFERROR(__xludf.DUMMYFUNCTION("""COMPUTED_VALUE"""),"Office Expenses")</f>
        <v>Office Expenses</v>
      </c>
      <c r="C71" s="64" t="str">
        <f ca="1">IFERROR(__xludf.DUMMYFUNCTION("""COMPUTED_VALUE"""),"Office Equipment Expense")</f>
        <v>Office Equipment Expense</v>
      </c>
      <c r="D71" s="290">
        <f ca="1">IFERROR(__xludf.DUMMYFUNCTION("""COMPUTED_VALUE"""),93405)</f>
        <v>93405</v>
      </c>
      <c r="E71" s="140">
        <f ca="1">IFERROR(__xludf.DUMMYFUNCTION("""COMPUTED_VALUE"""),0)</f>
        <v>0</v>
      </c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288"/>
      <c r="R71" s="286"/>
      <c r="S71" s="291" t="e">
        <f ca="1">_xludf.ifs(A71="INDIA",E71/'Shared Summary by Dept_US$'!$B$31,A71="INDO",E71/'Shared Summary by Dept_US$'!$B$32,A71="BD",E71/'Shared Summary by Dept_US$'!$B$33,A71="Nepal",E71/'Shared Summary by Dept_US$'!$B$34,A71="US",E71/'Shared Summary by Dept_US$'!$B$35)</f>
        <v>#NAME?</v>
      </c>
      <c r="T71" s="292" t="s">
        <v>169</v>
      </c>
      <c r="U71" s="15"/>
      <c r="V71" s="15"/>
      <c r="W71" s="107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1:34" ht="15.75" customHeight="1" x14ac:dyDescent="0.25">
      <c r="A72" s="81" t="s">
        <v>14</v>
      </c>
      <c r="B72" s="64" t="str">
        <f ca="1">IFERROR(__xludf.DUMMYFUNCTION("""COMPUTED_VALUE"""),"Professional &amp; Consultancy Charges")</f>
        <v>Professional &amp; Consultancy Charges</v>
      </c>
      <c r="C72" s="64" t="str">
        <f ca="1">IFERROR(__xludf.DUMMYFUNCTION("""COMPUTED_VALUE"""),"Admin Consultants")</f>
        <v>Admin Consultants</v>
      </c>
      <c r="D72" s="290">
        <f ca="1">IFERROR(__xludf.DUMMYFUNCTION("""COMPUTED_VALUE"""),93703)</f>
        <v>93703</v>
      </c>
      <c r="E72" s="140">
        <f ca="1">IFERROR(__xludf.DUMMYFUNCTION("""COMPUTED_VALUE"""),0)</f>
        <v>0</v>
      </c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288"/>
      <c r="R72" s="286"/>
      <c r="S72" s="291" t="e">
        <f ca="1">_xludf.ifs(A72="INDIA",E72/'Shared Summary by Dept_US$'!$B$31,A72="INDO",E72/'Shared Summary by Dept_US$'!$B$32,A72="BD",E72/'Shared Summary by Dept_US$'!$B$33,A72="Nepal",E72/'Shared Summary by Dept_US$'!$B$34,A72="US",E72/'Shared Summary by Dept_US$'!$B$35)</f>
        <v>#NAME?</v>
      </c>
      <c r="T72" s="292" t="s">
        <v>169</v>
      </c>
      <c r="U72" s="15"/>
      <c r="V72" s="15"/>
      <c r="W72" s="107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spans="1:34" ht="15.75" customHeight="1" x14ac:dyDescent="0.25">
      <c r="A73" s="81" t="s">
        <v>14</v>
      </c>
      <c r="B73" s="64" t="str">
        <f ca="1">IFERROR(__xludf.DUMMYFUNCTION("""COMPUTED_VALUE"""),"Supplies &amp; Printing Costs")</f>
        <v>Supplies &amp; Printing Costs</v>
      </c>
      <c r="C73" s="64" t="str">
        <f ca="1">IFERROR(__xludf.DUMMYFUNCTION("""COMPUTED_VALUE"""),"RES (Exotel Expensess)")</f>
        <v>RES (Exotel Expensess)</v>
      </c>
      <c r="D73" s="290">
        <f ca="1">IFERROR(__xludf.DUMMYFUNCTION("""COMPUTED_VALUE"""),93202)</f>
        <v>93202</v>
      </c>
      <c r="E73" s="140">
        <f ca="1">IFERROR(__xludf.DUMMYFUNCTION("""COMPUTED_VALUE"""),0)</f>
        <v>0</v>
      </c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288"/>
      <c r="R73" s="286"/>
      <c r="S73" s="291" t="e">
        <f ca="1">_xludf.ifs(A73="INDIA",E73/'Shared Summary by Dept_US$'!$B$31,A73="INDO",E73/'Shared Summary by Dept_US$'!$B$32,A73="BD",E73/'Shared Summary by Dept_US$'!$B$33,A73="Nepal",E73/'Shared Summary by Dept_US$'!$B$34,A73="US",E73/'Shared Summary by Dept_US$'!$B$35)</f>
        <v>#NAME?</v>
      </c>
      <c r="T73" s="292" t="s">
        <v>169</v>
      </c>
      <c r="U73" s="15"/>
      <c r="V73" s="15"/>
      <c r="W73" s="107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spans="1:34" ht="15.75" customHeight="1" x14ac:dyDescent="0.25">
      <c r="A74" s="81" t="s">
        <v>14</v>
      </c>
      <c r="B74" s="64" t="str">
        <f ca="1">IFERROR(__xludf.DUMMYFUNCTION("""COMPUTED_VALUE"""),"Fixed Assets")</f>
        <v>Fixed Assets</v>
      </c>
      <c r="C74" s="64" t="str">
        <f ca="1">IFERROR(__xludf.DUMMYFUNCTION("""COMPUTED_VALUE"""),"Laptop/ Printer")</f>
        <v>Laptop/ Printer</v>
      </c>
      <c r="D74" s="290">
        <f ca="1">IFERROR(__xludf.DUMMYFUNCTION("""COMPUTED_VALUE"""),11301)</f>
        <v>11301</v>
      </c>
      <c r="E74" s="140">
        <f ca="1">IFERROR(__xludf.DUMMYFUNCTION("""COMPUTED_VALUE"""),0)</f>
        <v>0</v>
      </c>
      <c r="F74" s="140">
        <f ca="1">IFERROR(__xludf.DUMMYFUNCTION("""COMPUTED_VALUE"""),0)</f>
        <v>0</v>
      </c>
      <c r="G74" s="140">
        <f ca="1">IFERROR(__xludf.DUMMYFUNCTION("""COMPUTED_VALUE"""),0)</f>
        <v>0</v>
      </c>
      <c r="H74" s="140">
        <f ca="1">IFERROR(__xludf.DUMMYFUNCTION("""COMPUTED_VALUE"""),0)</f>
        <v>0</v>
      </c>
      <c r="I74" s="140">
        <f ca="1">IFERROR(__xludf.DUMMYFUNCTION("""COMPUTED_VALUE"""),0)</f>
        <v>0</v>
      </c>
      <c r="J74" s="140">
        <f ca="1">IFERROR(__xludf.DUMMYFUNCTION("""COMPUTED_VALUE"""),0)</f>
        <v>0</v>
      </c>
      <c r="K74" s="140">
        <f ca="1">IFERROR(__xludf.DUMMYFUNCTION("""COMPUTED_VALUE"""),0)</f>
        <v>0</v>
      </c>
      <c r="L74" s="140">
        <f ca="1">IFERROR(__xludf.DUMMYFUNCTION("""COMPUTED_VALUE"""),0)</f>
        <v>0</v>
      </c>
      <c r="M74" s="140">
        <f ca="1">IFERROR(__xludf.DUMMYFUNCTION("""COMPUTED_VALUE"""),0)</f>
        <v>0</v>
      </c>
      <c r="N74" s="140">
        <f ca="1">IFERROR(__xludf.DUMMYFUNCTION("""COMPUTED_VALUE"""),0)</f>
        <v>0</v>
      </c>
      <c r="O74" s="140">
        <f ca="1">IFERROR(__xludf.DUMMYFUNCTION("""COMPUTED_VALUE"""),0)</f>
        <v>0</v>
      </c>
      <c r="P74" s="140">
        <f ca="1">IFERROR(__xludf.DUMMYFUNCTION("""COMPUTED_VALUE"""),0)</f>
        <v>0</v>
      </c>
      <c r="Q74" s="288">
        <f ca="1">IFERROR(__xludf.DUMMYFUNCTION("""COMPUTED_VALUE"""),0)</f>
        <v>0</v>
      </c>
      <c r="R74" s="286"/>
      <c r="S74" s="291" t="e">
        <f ca="1">_xludf.ifs(A74="INDIA",E74/'Shared Summary by Dept_US$'!$B$31,A74="INDO",E74/'Shared Summary by Dept_US$'!$B$32,A74="BD",E74/'Shared Summary by Dept_US$'!$B$33,A74="Nepal",E74/'Shared Summary by Dept_US$'!$B$34,A74="US",E74/'Shared Summary by Dept_US$'!$B$35)</f>
        <v>#NAME?</v>
      </c>
      <c r="T74" s="292" t="s">
        <v>169</v>
      </c>
      <c r="U74" s="15"/>
      <c r="V74" s="15"/>
      <c r="W74" s="107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1:34" ht="15.75" customHeight="1" x14ac:dyDescent="0.25">
      <c r="A75" s="81" t="s">
        <v>14</v>
      </c>
      <c r="B75" s="64" t="str">
        <f ca="1">IFERROR(__xludf.DUMMYFUNCTION("""COMPUTED_VALUE"""),"Salaries and Wages")</f>
        <v>Salaries and Wages</v>
      </c>
      <c r="C75" s="64" t="str">
        <f ca="1">IFERROR(__xludf.DUMMYFUNCTION("""COMPUTED_VALUE"""),"Salaries and Wages")</f>
        <v>Salaries and Wages</v>
      </c>
      <c r="D75" s="290"/>
      <c r="E75" s="140">
        <f ca="1">IFERROR(__xludf.DUMMYFUNCTION("""COMPUTED_VALUE"""),16607391.2224999)</f>
        <v>16607391.2224999</v>
      </c>
      <c r="F75" s="140">
        <f ca="1">IFERROR(__xludf.DUMMYFUNCTION("""COMPUTED_VALUE"""),1519307.57666666)</f>
        <v>1519307.5766666599</v>
      </c>
      <c r="G75" s="140">
        <f ca="1">IFERROR(__xludf.DUMMYFUNCTION("""COMPUTED_VALUE"""),1519307.57666666)</f>
        <v>1519307.5766666599</v>
      </c>
      <c r="H75" s="140">
        <f ca="1">IFERROR(__xludf.DUMMYFUNCTION("""COMPUTED_VALUE"""),1519307.57666666)</f>
        <v>1519307.5766666599</v>
      </c>
      <c r="I75" s="140">
        <f ca="1">IFERROR(__xludf.DUMMYFUNCTION("""COMPUTED_VALUE"""),1338829.8325)</f>
        <v>1338829.8325</v>
      </c>
      <c r="J75" s="140">
        <f ca="1">IFERROR(__xludf.DUMMYFUNCTION("""COMPUTED_VALUE"""),1338829.8325)</f>
        <v>1338829.8325</v>
      </c>
      <c r="K75" s="140">
        <f ca="1">IFERROR(__xludf.DUMMYFUNCTION("""COMPUTED_VALUE"""),1338829.8325)</f>
        <v>1338829.8325</v>
      </c>
      <c r="L75" s="140">
        <f ca="1">IFERROR(__xludf.DUMMYFUNCTION("""COMPUTED_VALUE"""),1338829.8325)</f>
        <v>1338829.8325</v>
      </c>
      <c r="M75" s="140">
        <f ca="1">IFERROR(__xludf.DUMMYFUNCTION("""COMPUTED_VALUE"""),1338829.8325)</f>
        <v>1338829.8325</v>
      </c>
      <c r="N75" s="140">
        <f ca="1">IFERROR(__xludf.DUMMYFUNCTION("""COMPUTED_VALUE"""),1338829.8325)</f>
        <v>1338829.8325</v>
      </c>
      <c r="O75" s="140">
        <f ca="1">IFERROR(__xludf.DUMMYFUNCTION("""COMPUTED_VALUE"""),1338829.8325)</f>
        <v>1338829.8325</v>
      </c>
      <c r="P75" s="140">
        <f ca="1">IFERROR(__xludf.DUMMYFUNCTION("""COMPUTED_VALUE"""),1338829.8325)</f>
        <v>1338829.8325</v>
      </c>
      <c r="Q75" s="288">
        <f ca="1">IFERROR(__xludf.DUMMYFUNCTION("""COMPUTED_VALUE"""),1338829.8325)</f>
        <v>1338829.8325</v>
      </c>
      <c r="R75" s="286"/>
      <c r="S75" s="291" t="e">
        <f ca="1">_xludf.ifs(A75="INDIA",E75/'Shared Summary by Dept_US$'!$B$31,A75="INDO",E75/'Shared Summary by Dept_US$'!$B$32,A75="BD",E75/'Shared Summary by Dept_US$'!$B$33,A75="Nepal",E75/'Shared Summary by Dept_US$'!$B$34,A75="US",E75/'Shared Summary by Dept_US$'!$B$35)</f>
        <v>#NAME?</v>
      </c>
      <c r="T75" s="292" t="s">
        <v>169</v>
      </c>
      <c r="U75" s="15"/>
      <c r="V75" s="15"/>
      <c r="W75" s="107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1:34" ht="15.75" customHeight="1" x14ac:dyDescent="0.25">
      <c r="A76" s="81" t="s">
        <v>14</v>
      </c>
      <c r="B76" s="64" t="str">
        <f ca="1">IFERROR(__xludf.DUMMYFUNCTION("""COMPUTED_VALUE"""),"Health and Retirement Benefits")</f>
        <v>Health and Retirement Benefits</v>
      </c>
      <c r="C76" s="64" t="str">
        <f ca="1">IFERROR(__xludf.DUMMYFUNCTION("""COMPUTED_VALUE"""),"Gratuity &amp; Bonus")</f>
        <v>Gratuity &amp; Bonus</v>
      </c>
      <c r="D76" s="290"/>
      <c r="E76" s="140">
        <f ca="1">IFERROR(__xludf.DUMMYFUNCTION("""COMPUTED_VALUE"""),1593093.4)</f>
        <v>1593093.4</v>
      </c>
      <c r="F76" s="140">
        <f ca="1">IFERROR(__xludf.DUMMYFUNCTION("""COMPUTED_VALUE"""),129730)</f>
        <v>129730</v>
      </c>
      <c r="G76" s="140">
        <f ca="1">IFERROR(__xludf.DUMMYFUNCTION("""COMPUTED_VALUE"""),72836.4)</f>
        <v>72836.399999999994</v>
      </c>
      <c r="H76" s="140">
        <f ca="1">IFERROR(__xludf.DUMMYFUNCTION("""COMPUTED_VALUE"""),1322800)</f>
        <v>1322800</v>
      </c>
      <c r="I76" s="140">
        <f ca="1">IFERROR(__xludf.DUMMYFUNCTION("""COMPUTED_VALUE"""),0)</f>
        <v>0</v>
      </c>
      <c r="J76" s="140">
        <f ca="1">IFERROR(__xludf.DUMMYFUNCTION("""COMPUTED_VALUE"""),0)</f>
        <v>0</v>
      </c>
      <c r="K76" s="140">
        <f ca="1">IFERROR(__xludf.DUMMYFUNCTION("""COMPUTED_VALUE"""),0)</f>
        <v>0</v>
      </c>
      <c r="L76" s="140">
        <f ca="1">IFERROR(__xludf.DUMMYFUNCTION("""COMPUTED_VALUE"""),0)</f>
        <v>0</v>
      </c>
      <c r="M76" s="140">
        <f ca="1">IFERROR(__xludf.DUMMYFUNCTION("""COMPUTED_VALUE"""),0)</f>
        <v>0</v>
      </c>
      <c r="N76" s="140">
        <f ca="1">IFERROR(__xludf.DUMMYFUNCTION("""COMPUTED_VALUE"""),0)</f>
        <v>0</v>
      </c>
      <c r="O76" s="140">
        <f ca="1">IFERROR(__xludf.DUMMYFUNCTION("""COMPUTED_VALUE"""),0)</f>
        <v>0</v>
      </c>
      <c r="P76" s="140">
        <f ca="1">IFERROR(__xludf.DUMMYFUNCTION("""COMPUTED_VALUE"""),67727)</f>
        <v>67727</v>
      </c>
      <c r="Q76" s="288">
        <f ca="1">IFERROR(__xludf.DUMMYFUNCTION("""COMPUTED_VALUE"""),0)</f>
        <v>0</v>
      </c>
      <c r="R76" s="286"/>
      <c r="S76" s="291" t="e">
        <f ca="1">_xludf.ifs(A76="INDIA",E76/'Shared Summary by Dept_US$'!$B$31,A76="INDO",E76/'Shared Summary by Dept_US$'!$B$32,A76="BD",E76/'Shared Summary by Dept_US$'!$B$33,A76="Nepal",E76/'Shared Summary by Dept_US$'!$B$34,A76="US",E76/'Shared Summary by Dept_US$'!$B$35)</f>
        <v>#NAME?</v>
      </c>
      <c r="T76" s="292" t="s">
        <v>169</v>
      </c>
      <c r="U76" s="15"/>
      <c r="V76" s="15"/>
      <c r="W76" s="107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1:34" ht="15.75" customHeight="1" x14ac:dyDescent="0.25">
      <c r="A77" s="81" t="s">
        <v>14</v>
      </c>
      <c r="B77" s="64" t="str">
        <f ca="1">IFERROR(__xludf.DUMMYFUNCTION("""COMPUTED_VALUE"""),"Other Staff Expenses")</f>
        <v>Other Staff Expenses</v>
      </c>
      <c r="C77" s="64" t="str">
        <f ca="1">IFERROR(__xludf.DUMMYFUNCTION("""COMPUTED_VALUE"""),"Staff Training, Learning &amp; Development Exp")</f>
        <v>Staff Training, Learning &amp; Development Exp</v>
      </c>
      <c r="D77" s="290">
        <f ca="1">IFERROR(__xludf.DUMMYFUNCTION("""COMPUTED_VALUE"""),91302)</f>
        <v>91302</v>
      </c>
      <c r="E77" s="140">
        <f ca="1">IFERROR(__xludf.DUMMYFUNCTION("""COMPUTED_VALUE"""),0)</f>
        <v>0</v>
      </c>
      <c r="F77" s="140">
        <f ca="1">IFERROR(__xludf.DUMMYFUNCTION("""COMPUTED_VALUE"""),0)</f>
        <v>0</v>
      </c>
      <c r="G77" s="140">
        <f ca="1">IFERROR(__xludf.DUMMYFUNCTION("""COMPUTED_VALUE"""),0)</f>
        <v>0</v>
      </c>
      <c r="H77" s="140">
        <f ca="1">IFERROR(__xludf.DUMMYFUNCTION("""COMPUTED_VALUE"""),0)</f>
        <v>0</v>
      </c>
      <c r="I77" s="140">
        <f ca="1">IFERROR(__xludf.DUMMYFUNCTION("""COMPUTED_VALUE"""),0)</f>
        <v>0</v>
      </c>
      <c r="J77" s="140">
        <f ca="1">IFERROR(__xludf.DUMMYFUNCTION("""COMPUTED_VALUE"""),0)</f>
        <v>0</v>
      </c>
      <c r="K77" s="140">
        <f ca="1">IFERROR(__xludf.DUMMYFUNCTION("""COMPUTED_VALUE"""),0)</f>
        <v>0</v>
      </c>
      <c r="L77" s="140">
        <f ca="1">IFERROR(__xludf.DUMMYFUNCTION("""COMPUTED_VALUE"""),0)</f>
        <v>0</v>
      </c>
      <c r="M77" s="140">
        <f ca="1">IFERROR(__xludf.DUMMYFUNCTION("""COMPUTED_VALUE"""),0)</f>
        <v>0</v>
      </c>
      <c r="N77" s="140">
        <f ca="1">IFERROR(__xludf.DUMMYFUNCTION("""COMPUTED_VALUE"""),0)</f>
        <v>0</v>
      </c>
      <c r="O77" s="140">
        <f ca="1">IFERROR(__xludf.DUMMYFUNCTION("""COMPUTED_VALUE"""),0)</f>
        <v>0</v>
      </c>
      <c r="P77" s="140">
        <f ca="1">IFERROR(__xludf.DUMMYFUNCTION("""COMPUTED_VALUE"""),0)</f>
        <v>0</v>
      </c>
      <c r="Q77" s="288">
        <f ca="1">IFERROR(__xludf.DUMMYFUNCTION("""COMPUTED_VALUE"""),0)</f>
        <v>0</v>
      </c>
      <c r="R77" s="286"/>
      <c r="S77" s="291" t="e">
        <f ca="1">_xludf.ifs(A77="INDIA",E77/'Shared Summary by Dept_US$'!$B$31,A77="INDO",E77/'Shared Summary by Dept_US$'!$B$32,A77="BD",E77/'Shared Summary by Dept_US$'!$B$33,A77="Nepal",E77/'Shared Summary by Dept_US$'!$B$34,A77="US",E77/'Shared Summary by Dept_US$'!$B$35)</f>
        <v>#NAME?</v>
      </c>
      <c r="T77" s="292" t="s">
        <v>169</v>
      </c>
      <c r="U77" s="15"/>
      <c r="V77" s="15"/>
      <c r="W77" s="107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1:34" ht="15.75" customHeight="1" x14ac:dyDescent="0.25">
      <c r="A78" s="81" t="s">
        <v>14</v>
      </c>
      <c r="B78" s="64" t="str">
        <f ca="1">IFERROR(__xludf.DUMMYFUNCTION("""COMPUTED_VALUE"""),"Resource Persons")</f>
        <v>Resource Persons</v>
      </c>
      <c r="C78" s="64" t="str">
        <f ca="1">IFERROR(__xludf.DUMMYFUNCTION("""COMPUTED_VALUE"""),"Program Resource Consultant (EHA)")</f>
        <v>Program Resource Consultant (EHA)</v>
      </c>
      <c r="D78" s="290">
        <f ca="1">IFERROR(__xludf.DUMMYFUNCTION("""COMPUTED_VALUE"""),92101)</f>
        <v>92101</v>
      </c>
      <c r="E78" s="140">
        <f ca="1">IFERROR(__xludf.DUMMYFUNCTION("""COMPUTED_VALUE"""),3061126.2)</f>
        <v>3061126.2</v>
      </c>
      <c r="F78" s="140">
        <f ca="1">IFERROR(__xludf.DUMMYFUNCTION("""COMPUTED_VALUE"""),674946.6)</f>
        <v>674946.6</v>
      </c>
      <c r="G78" s="140">
        <f ca="1">IFERROR(__xludf.DUMMYFUNCTION("""COMPUTED_VALUE"""),265209.6)</f>
        <v>265209.59999999998</v>
      </c>
      <c r="H78" s="140">
        <f ca="1">IFERROR(__xludf.DUMMYFUNCTION("""COMPUTED_VALUE"""),265209.6)</f>
        <v>265209.59999999998</v>
      </c>
      <c r="I78" s="140">
        <f ca="1">IFERROR(__xludf.DUMMYFUNCTION("""COMPUTED_VALUE"""),206195.6)</f>
        <v>206195.6</v>
      </c>
      <c r="J78" s="140">
        <f ca="1">IFERROR(__xludf.DUMMYFUNCTION("""COMPUTED_VALUE"""),206195.6)</f>
        <v>206195.6</v>
      </c>
      <c r="K78" s="140">
        <f ca="1">IFERROR(__xludf.DUMMYFUNCTION("""COMPUTED_VALUE"""),206195.6)</f>
        <v>206195.6</v>
      </c>
      <c r="L78" s="140">
        <f ca="1">IFERROR(__xludf.DUMMYFUNCTION("""COMPUTED_VALUE"""),206195.6)</f>
        <v>206195.6</v>
      </c>
      <c r="M78" s="140">
        <f ca="1">IFERROR(__xludf.DUMMYFUNCTION("""COMPUTED_VALUE"""),206195.6)</f>
        <v>206195.6</v>
      </c>
      <c r="N78" s="140">
        <f ca="1">IFERROR(__xludf.DUMMYFUNCTION("""COMPUTED_VALUE"""),206195.6)</f>
        <v>206195.6</v>
      </c>
      <c r="O78" s="140">
        <f ca="1">IFERROR(__xludf.DUMMYFUNCTION("""COMPUTED_VALUE"""),206195.6)</f>
        <v>206195.6</v>
      </c>
      <c r="P78" s="140">
        <f ca="1">IFERROR(__xludf.DUMMYFUNCTION("""COMPUTED_VALUE"""),206195.6)</f>
        <v>206195.6</v>
      </c>
      <c r="Q78" s="288">
        <f ca="1">IFERROR(__xludf.DUMMYFUNCTION("""COMPUTED_VALUE"""),206195.6)</f>
        <v>206195.6</v>
      </c>
      <c r="R78" s="286"/>
      <c r="S78" s="291" t="e">
        <f ca="1">_xludf.ifs(A78="INDIA",E78/'Shared Summary by Dept_US$'!$B$31,A78="INDO",E78/'Shared Summary by Dept_US$'!$B$32,A78="BD",E78/'Shared Summary by Dept_US$'!$B$33,A78="Nepal",E78/'Shared Summary by Dept_US$'!$B$34,A78="US",E78/'Shared Summary by Dept_US$'!$B$35)</f>
        <v>#NAME?</v>
      </c>
      <c r="T78" s="292" t="s">
        <v>169</v>
      </c>
      <c r="U78" s="15"/>
      <c r="V78" s="15"/>
      <c r="W78" s="107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ht="15.75" customHeight="1" x14ac:dyDescent="0.25">
      <c r="A79" s="81" t="s">
        <v>14</v>
      </c>
      <c r="B79" s="64" t="str">
        <f ca="1">IFERROR(__xludf.DUMMYFUNCTION("""COMPUTED_VALUE"""),"Travel &amp; Lodging Expenses")</f>
        <v>Travel &amp; Lodging Expenses</v>
      </c>
      <c r="C79" s="64" t="str">
        <f ca="1">IFERROR(__xludf.DUMMYFUNCTION("""COMPUTED_VALUE"""),"Hotel Accomodation")</f>
        <v>Hotel Accomodation</v>
      </c>
      <c r="D79" s="290">
        <f ca="1">IFERROR(__xludf.DUMMYFUNCTION("""COMPUTED_VALUE"""),93101)</f>
        <v>93101</v>
      </c>
      <c r="E79" s="140">
        <f ca="1">IFERROR(__xludf.DUMMYFUNCTION("""COMPUTED_VALUE"""),47250)</f>
        <v>47250</v>
      </c>
      <c r="F79" s="140">
        <f ca="1">IFERROR(__xludf.DUMMYFUNCTION("""COMPUTED_VALUE"""),0)</f>
        <v>0</v>
      </c>
      <c r="G79" s="140">
        <f ca="1">IFERROR(__xludf.DUMMYFUNCTION("""COMPUTED_VALUE"""),0)</f>
        <v>0</v>
      </c>
      <c r="H79" s="140">
        <f ca="1">IFERROR(__xludf.DUMMYFUNCTION("""COMPUTED_VALUE"""),10500)</f>
        <v>10500</v>
      </c>
      <c r="I79" s="140">
        <f ca="1">IFERROR(__xludf.DUMMYFUNCTION("""COMPUTED_VALUE"""),26250)</f>
        <v>26250</v>
      </c>
      <c r="J79" s="140">
        <f ca="1">IFERROR(__xludf.DUMMYFUNCTION("""COMPUTED_VALUE"""),0)</f>
        <v>0</v>
      </c>
      <c r="K79" s="140">
        <f ca="1">IFERROR(__xludf.DUMMYFUNCTION("""COMPUTED_VALUE"""),0)</f>
        <v>0</v>
      </c>
      <c r="L79" s="140">
        <f ca="1">IFERROR(__xludf.DUMMYFUNCTION("""COMPUTED_VALUE"""),0)</f>
        <v>0</v>
      </c>
      <c r="M79" s="140">
        <f ca="1">IFERROR(__xludf.DUMMYFUNCTION("""COMPUTED_VALUE"""),10500)</f>
        <v>10500</v>
      </c>
      <c r="N79" s="140">
        <f ca="1">IFERROR(__xludf.DUMMYFUNCTION("""COMPUTED_VALUE"""),0)</f>
        <v>0</v>
      </c>
      <c r="O79" s="140">
        <f ca="1">IFERROR(__xludf.DUMMYFUNCTION("""COMPUTED_VALUE"""),0)</f>
        <v>0</v>
      </c>
      <c r="P79" s="140">
        <f ca="1">IFERROR(__xludf.DUMMYFUNCTION("""COMPUTED_VALUE"""),0)</f>
        <v>0</v>
      </c>
      <c r="Q79" s="288">
        <f ca="1">IFERROR(__xludf.DUMMYFUNCTION("""COMPUTED_VALUE"""),0)</f>
        <v>0</v>
      </c>
      <c r="R79" s="286"/>
      <c r="S79" s="291" t="e">
        <f ca="1">_xludf.ifs(A79="INDIA",E79/'Shared Summary by Dept_US$'!$B$31,A79="INDO",E79/'Shared Summary by Dept_US$'!$B$32,A79="BD",E79/'Shared Summary by Dept_US$'!$B$33,A79="Nepal",E79/'Shared Summary by Dept_US$'!$B$34,A79="US",E79/'Shared Summary by Dept_US$'!$B$35)</f>
        <v>#NAME?</v>
      </c>
      <c r="T79" s="292" t="s">
        <v>169</v>
      </c>
      <c r="U79" s="15"/>
      <c r="V79" s="15"/>
      <c r="W79" s="107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1:34" ht="15.75" customHeight="1" x14ac:dyDescent="0.25">
      <c r="A80" s="81" t="s">
        <v>14</v>
      </c>
      <c r="B80" s="64" t="str">
        <f ca="1">IFERROR(__xludf.DUMMYFUNCTION("""COMPUTED_VALUE"""),"Travel &amp; Lodging Expenses")</f>
        <v>Travel &amp; Lodging Expenses</v>
      </c>
      <c r="C80" s="64" t="str">
        <f ca="1">IFERROR(__xludf.DUMMYFUNCTION("""COMPUTED_VALUE"""),"Food Expenses")</f>
        <v>Food Expenses</v>
      </c>
      <c r="D80" s="290">
        <f ca="1">IFERROR(__xludf.DUMMYFUNCTION("""COMPUTED_VALUE"""),93102)</f>
        <v>93102</v>
      </c>
      <c r="E80" s="140">
        <f ca="1">IFERROR(__xludf.DUMMYFUNCTION("""COMPUTED_VALUE"""),25500)</f>
        <v>25500</v>
      </c>
      <c r="F80" s="140">
        <f ca="1">IFERROR(__xludf.DUMMYFUNCTION("""COMPUTED_VALUE"""),0)</f>
        <v>0</v>
      </c>
      <c r="G80" s="140">
        <f ca="1">IFERROR(__xludf.DUMMYFUNCTION("""COMPUTED_VALUE"""),3000)</f>
        <v>3000</v>
      </c>
      <c r="H80" s="140">
        <f ca="1">IFERROR(__xludf.DUMMYFUNCTION("""COMPUTED_VALUE"""),6000)</f>
        <v>6000</v>
      </c>
      <c r="I80" s="140">
        <f ca="1">IFERROR(__xludf.DUMMYFUNCTION("""COMPUTED_VALUE"""),7500)</f>
        <v>7500</v>
      </c>
      <c r="J80" s="140">
        <f ca="1">IFERROR(__xludf.DUMMYFUNCTION("""COMPUTED_VALUE"""),0)</f>
        <v>0</v>
      </c>
      <c r="K80" s="140">
        <f ca="1">IFERROR(__xludf.DUMMYFUNCTION("""COMPUTED_VALUE"""),0)</f>
        <v>0</v>
      </c>
      <c r="L80" s="140">
        <f ca="1">IFERROR(__xludf.DUMMYFUNCTION("""COMPUTED_VALUE"""),0)</f>
        <v>0</v>
      </c>
      <c r="M80" s="140">
        <f ca="1">IFERROR(__xludf.DUMMYFUNCTION("""COMPUTED_VALUE"""),6000)</f>
        <v>6000</v>
      </c>
      <c r="N80" s="140">
        <f ca="1">IFERROR(__xludf.DUMMYFUNCTION("""COMPUTED_VALUE"""),3000)</f>
        <v>3000</v>
      </c>
      <c r="O80" s="140">
        <f ca="1">IFERROR(__xludf.DUMMYFUNCTION("""COMPUTED_VALUE"""),0)</f>
        <v>0</v>
      </c>
      <c r="P80" s="140">
        <f ca="1">IFERROR(__xludf.DUMMYFUNCTION("""COMPUTED_VALUE"""),0)</f>
        <v>0</v>
      </c>
      <c r="Q80" s="288">
        <f ca="1">IFERROR(__xludf.DUMMYFUNCTION("""COMPUTED_VALUE"""),0)</f>
        <v>0</v>
      </c>
      <c r="R80" s="286"/>
      <c r="S80" s="291" t="e">
        <f ca="1">_xludf.ifs(A80="INDIA",E80/'Shared Summary by Dept_US$'!$B$31,A80="INDO",E80/'Shared Summary by Dept_US$'!$B$32,A80="BD",E80/'Shared Summary by Dept_US$'!$B$33,A80="Nepal",E80/'Shared Summary by Dept_US$'!$B$34,A80="US",E80/'Shared Summary by Dept_US$'!$B$35)</f>
        <v>#NAME?</v>
      </c>
      <c r="T80" s="292" t="s">
        <v>169</v>
      </c>
      <c r="U80" s="15"/>
      <c r="V80" s="15"/>
      <c r="W80" s="107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ht="15.75" customHeight="1" x14ac:dyDescent="0.25">
      <c r="A81" s="81" t="s">
        <v>14</v>
      </c>
      <c r="B81" s="64" t="str">
        <f ca="1">IFERROR(__xludf.DUMMYFUNCTION("""COMPUTED_VALUE"""),"Travel &amp; Lodging Expenses")</f>
        <v>Travel &amp; Lodging Expenses</v>
      </c>
      <c r="C81" s="64" t="str">
        <f ca="1">IFERROR(__xludf.DUMMYFUNCTION("""COMPUTED_VALUE"""),"Air fare")</f>
        <v>Air fare</v>
      </c>
      <c r="D81" s="290">
        <f ca="1">IFERROR(__xludf.DUMMYFUNCTION("""COMPUTED_VALUE"""),93103)</f>
        <v>93103</v>
      </c>
      <c r="E81" s="140">
        <f ca="1">IFERROR(__xludf.DUMMYFUNCTION("""COMPUTED_VALUE"""),216000)</f>
        <v>216000</v>
      </c>
      <c r="F81" s="140">
        <f ca="1">IFERROR(__xludf.DUMMYFUNCTION("""COMPUTED_VALUE"""),0)</f>
        <v>0</v>
      </c>
      <c r="G81" s="140">
        <f ca="1">IFERROR(__xludf.DUMMYFUNCTION("""COMPUTED_VALUE"""),0)</f>
        <v>0</v>
      </c>
      <c r="H81" s="140">
        <f ca="1">IFERROR(__xludf.DUMMYFUNCTION("""COMPUTED_VALUE"""),18000)</f>
        <v>18000</v>
      </c>
      <c r="I81" s="140">
        <f ca="1">IFERROR(__xludf.DUMMYFUNCTION("""COMPUTED_VALUE"""),180000)</f>
        <v>180000</v>
      </c>
      <c r="J81" s="140">
        <f ca="1">IFERROR(__xludf.DUMMYFUNCTION("""COMPUTED_VALUE"""),0)</f>
        <v>0</v>
      </c>
      <c r="K81" s="140">
        <f ca="1">IFERROR(__xludf.DUMMYFUNCTION("""COMPUTED_VALUE"""),0)</f>
        <v>0</v>
      </c>
      <c r="L81" s="140">
        <f ca="1">IFERROR(__xludf.DUMMYFUNCTION("""COMPUTED_VALUE"""),0)</f>
        <v>0</v>
      </c>
      <c r="M81" s="140">
        <f ca="1">IFERROR(__xludf.DUMMYFUNCTION("""COMPUTED_VALUE"""),18000)</f>
        <v>18000</v>
      </c>
      <c r="N81" s="140">
        <f ca="1">IFERROR(__xludf.DUMMYFUNCTION("""COMPUTED_VALUE"""),0)</f>
        <v>0</v>
      </c>
      <c r="O81" s="140">
        <f ca="1">IFERROR(__xludf.DUMMYFUNCTION("""COMPUTED_VALUE"""),0)</f>
        <v>0</v>
      </c>
      <c r="P81" s="140">
        <f ca="1">IFERROR(__xludf.DUMMYFUNCTION("""COMPUTED_VALUE"""),0)</f>
        <v>0</v>
      </c>
      <c r="Q81" s="288">
        <f ca="1">IFERROR(__xludf.DUMMYFUNCTION("""COMPUTED_VALUE"""),0)</f>
        <v>0</v>
      </c>
      <c r="R81" s="286"/>
      <c r="S81" s="291" t="e">
        <f ca="1">_xludf.ifs(A81="INDIA",E81/'Shared Summary by Dept_US$'!$B$31,A81="INDO",E81/'Shared Summary by Dept_US$'!$B$32,A81="BD",E81/'Shared Summary by Dept_US$'!$B$33,A81="Nepal",E81/'Shared Summary by Dept_US$'!$B$34,A81="US",E81/'Shared Summary by Dept_US$'!$B$35)</f>
        <v>#NAME?</v>
      </c>
      <c r="T81" s="292" t="s">
        <v>169</v>
      </c>
      <c r="U81" s="15"/>
      <c r="V81" s="15"/>
      <c r="W81" s="107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1:34" ht="15.75" customHeight="1" x14ac:dyDescent="0.25">
      <c r="A82" s="81" t="s">
        <v>14</v>
      </c>
      <c r="B82" s="64" t="str">
        <f ca="1">IFERROR(__xludf.DUMMYFUNCTION("""COMPUTED_VALUE"""),"Travel &amp; Lodging Expenses")</f>
        <v>Travel &amp; Lodging Expenses</v>
      </c>
      <c r="C82" s="64" t="str">
        <f ca="1">IFERROR(__xludf.DUMMYFUNCTION("""COMPUTED_VALUE"""),"Cab/Auto")</f>
        <v>Cab/Auto</v>
      </c>
      <c r="D82" s="290">
        <f ca="1">IFERROR(__xludf.DUMMYFUNCTION("""COMPUTED_VALUE"""),93104)</f>
        <v>93104</v>
      </c>
      <c r="E82" s="140">
        <f ca="1">IFERROR(__xludf.DUMMYFUNCTION("""COMPUTED_VALUE"""),147200)</f>
        <v>147200</v>
      </c>
      <c r="F82" s="140">
        <f ca="1">IFERROR(__xludf.DUMMYFUNCTION("""COMPUTED_VALUE"""),0)</f>
        <v>0</v>
      </c>
      <c r="G82" s="140">
        <f ca="1">IFERROR(__xludf.DUMMYFUNCTION("""COMPUTED_VALUE"""),20000)</f>
        <v>20000</v>
      </c>
      <c r="H82" s="140">
        <f ca="1">IFERROR(__xludf.DUMMYFUNCTION("""COMPUTED_VALUE"""),28400)</f>
        <v>28400</v>
      </c>
      <c r="I82" s="140">
        <f ca="1">IFERROR(__xludf.DUMMYFUNCTION("""COMPUTED_VALUE"""),50400)</f>
        <v>50400</v>
      </c>
      <c r="J82" s="140">
        <f ca="1">IFERROR(__xludf.DUMMYFUNCTION("""COMPUTED_VALUE"""),0)</f>
        <v>0</v>
      </c>
      <c r="K82" s="140">
        <f ca="1">IFERROR(__xludf.DUMMYFUNCTION("""COMPUTED_VALUE"""),0)</f>
        <v>0</v>
      </c>
      <c r="L82" s="140">
        <f ca="1">IFERROR(__xludf.DUMMYFUNCTION("""COMPUTED_VALUE"""),0)</f>
        <v>0</v>
      </c>
      <c r="M82" s="140">
        <f ca="1">IFERROR(__xludf.DUMMYFUNCTION("""COMPUTED_VALUE"""),28400)</f>
        <v>28400</v>
      </c>
      <c r="N82" s="140">
        <f ca="1">IFERROR(__xludf.DUMMYFUNCTION("""COMPUTED_VALUE"""),20000)</f>
        <v>20000</v>
      </c>
      <c r="O82" s="140">
        <f ca="1">IFERROR(__xludf.DUMMYFUNCTION("""COMPUTED_VALUE"""),0)</f>
        <v>0</v>
      </c>
      <c r="P82" s="140">
        <f ca="1">IFERROR(__xludf.DUMMYFUNCTION("""COMPUTED_VALUE"""),0)</f>
        <v>0</v>
      </c>
      <c r="Q82" s="288">
        <f ca="1">IFERROR(__xludf.DUMMYFUNCTION("""COMPUTED_VALUE"""),0)</f>
        <v>0</v>
      </c>
      <c r="R82" s="286"/>
      <c r="S82" s="291" t="e">
        <f ca="1">_xludf.ifs(A82="INDIA",E82/'Shared Summary by Dept_US$'!$B$31,A82="INDO",E82/'Shared Summary by Dept_US$'!$B$32,A82="BD",E82/'Shared Summary by Dept_US$'!$B$33,A82="Nepal",E82/'Shared Summary by Dept_US$'!$B$34,A82="US",E82/'Shared Summary by Dept_US$'!$B$35)</f>
        <v>#NAME?</v>
      </c>
      <c r="T82" s="292" t="s">
        <v>169</v>
      </c>
      <c r="U82" s="15"/>
      <c r="V82" s="15"/>
      <c r="W82" s="107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1:34" ht="15.75" customHeight="1" x14ac:dyDescent="0.25">
      <c r="A83" s="81" t="s">
        <v>14</v>
      </c>
      <c r="B83" s="64" t="str">
        <f ca="1">IFERROR(__xludf.DUMMYFUNCTION("""COMPUTED_VALUE"""),"Travel &amp; Lodging Expenses")</f>
        <v>Travel &amp; Lodging Expenses</v>
      </c>
      <c r="C83" s="64" t="str">
        <f ca="1">IFERROR(__xludf.DUMMYFUNCTION("""COMPUTED_VALUE"""),"Bus/Train")</f>
        <v>Bus/Train</v>
      </c>
      <c r="D83" s="290">
        <f ca="1">IFERROR(__xludf.DUMMYFUNCTION("""COMPUTED_VALUE"""),93105)</f>
        <v>93105</v>
      </c>
      <c r="E83" s="140">
        <f ca="1">IFERROR(__xludf.DUMMYFUNCTION("""COMPUTED_VALUE"""),3000)</f>
        <v>3000</v>
      </c>
      <c r="F83" s="140">
        <f ca="1">IFERROR(__xludf.DUMMYFUNCTION("""COMPUTED_VALUE"""),0)</f>
        <v>0</v>
      </c>
      <c r="G83" s="140">
        <f ca="1">IFERROR(__xludf.DUMMYFUNCTION("""COMPUTED_VALUE"""),0)</f>
        <v>0</v>
      </c>
      <c r="H83" s="140">
        <f ca="1">IFERROR(__xludf.DUMMYFUNCTION("""COMPUTED_VALUE"""),1500)</f>
        <v>1500</v>
      </c>
      <c r="I83" s="140">
        <f ca="1">IFERROR(__xludf.DUMMYFUNCTION("""COMPUTED_VALUE"""),0)</f>
        <v>0</v>
      </c>
      <c r="J83" s="140">
        <f ca="1">IFERROR(__xludf.DUMMYFUNCTION("""COMPUTED_VALUE"""),0)</f>
        <v>0</v>
      </c>
      <c r="K83" s="140">
        <f ca="1">IFERROR(__xludf.DUMMYFUNCTION("""COMPUTED_VALUE"""),0)</f>
        <v>0</v>
      </c>
      <c r="L83" s="140">
        <f ca="1">IFERROR(__xludf.DUMMYFUNCTION("""COMPUTED_VALUE"""),0)</f>
        <v>0</v>
      </c>
      <c r="M83" s="140">
        <f ca="1">IFERROR(__xludf.DUMMYFUNCTION("""COMPUTED_VALUE"""),1500)</f>
        <v>1500</v>
      </c>
      <c r="N83" s="140">
        <f ca="1">IFERROR(__xludf.DUMMYFUNCTION("""COMPUTED_VALUE"""),0)</f>
        <v>0</v>
      </c>
      <c r="O83" s="140">
        <f ca="1">IFERROR(__xludf.DUMMYFUNCTION("""COMPUTED_VALUE"""),0)</f>
        <v>0</v>
      </c>
      <c r="P83" s="140">
        <f ca="1">IFERROR(__xludf.DUMMYFUNCTION("""COMPUTED_VALUE"""),0)</f>
        <v>0</v>
      </c>
      <c r="Q83" s="288">
        <f ca="1">IFERROR(__xludf.DUMMYFUNCTION("""COMPUTED_VALUE"""),0)</f>
        <v>0</v>
      </c>
      <c r="R83" s="286"/>
      <c r="S83" s="291" t="e">
        <f ca="1">_xludf.ifs(A83="INDIA",E83/'Shared Summary by Dept_US$'!$B$31,A83="INDO",E83/'Shared Summary by Dept_US$'!$B$32,A83="BD",E83/'Shared Summary by Dept_US$'!$B$33,A83="Nepal",E83/'Shared Summary by Dept_US$'!$B$34,A83="US",E83/'Shared Summary by Dept_US$'!$B$35)</f>
        <v>#NAME?</v>
      </c>
      <c r="T83" s="292" t="s">
        <v>169</v>
      </c>
      <c r="U83" s="15"/>
      <c r="V83" s="15"/>
      <c r="W83" s="107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1:34" ht="15.75" customHeight="1" x14ac:dyDescent="0.25">
      <c r="A84" s="81" t="s">
        <v>14</v>
      </c>
      <c r="B84" s="64" t="str">
        <f ca="1">IFERROR(__xludf.DUMMYFUNCTION("""COMPUTED_VALUE"""),"Travel &amp; Lodging Expenses")</f>
        <v>Travel &amp; Lodging Expenses</v>
      </c>
      <c r="C84" s="64" t="str">
        <f ca="1">IFERROR(__xludf.DUMMYFUNCTION("""COMPUTED_VALUE"""),"Other incidental travel costs")</f>
        <v>Other incidental travel costs</v>
      </c>
      <c r="D84" s="290">
        <f ca="1">IFERROR(__xludf.DUMMYFUNCTION("""COMPUTED_VALUE"""),93106)</f>
        <v>93106</v>
      </c>
      <c r="E84" s="140">
        <f ca="1">IFERROR(__xludf.DUMMYFUNCTION("""COMPUTED_VALUE"""),4900)</f>
        <v>4900</v>
      </c>
      <c r="F84" s="140">
        <f ca="1">IFERROR(__xludf.DUMMYFUNCTION("""COMPUTED_VALUE"""),0)</f>
        <v>0</v>
      </c>
      <c r="G84" s="140">
        <f ca="1">IFERROR(__xludf.DUMMYFUNCTION("""COMPUTED_VALUE"""),0)</f>
        <v>0</v>
      </c>
      <c r="H84" s="140">
        <f ca="1">IFERROR(__xludf.DUMMYFUNCTION("""COMPUTED_VALUE"""),700)</f>
        <v>700</v>
      </c>
      <c r="I84" s="140">
        <f ca="1">IFERROR(__xludf.DUMMYFUNCTION("""COMPUTED_VALUE"""),3500)</f>
        <v>3500</v>
      </c>
      <c r="J84" s="140">
        <f ca="1">IFERROR(__xludf.DUMMYFUNCTION("""COMPUTED_VALUE"""),0)</f>
        <v>0</v>
      </c>
      <c r="K84" s="140">
        <f ca="1">IFERROR(__xludf.DUMMYFUNCTION("""COMPUTED_VALUE"""),0)</f>
        <v>0</v>
      </c>
      <c r="L84" s="140">
        <f ca="1">IFERROR(__xludf.DUMMYFUNCTION("""COMPUTED_VALUE"""),0)</f>
        <v>0</v>
      </c>
      <c r="M84" s="140">
        <f ca="1">IFERROR(__xludf.DUMMYFUNCTION("""COMPUTED_VALUE"""),700)</f>
        <v>700</v>
      </c>
      <c r="N84" s="140">
        <f ca="1">IFERROR(__xludf.DUMMYFUNCTION("""COMPUTED_VALUE"""),0)</f>
        <v>0</v>
      </c>
      <c r="O84" s="140">
        <f ca="1">IFERROR(__xludf.DUMMYFUNCTION("""COMPUTED_VALUE"""),0)</f>
        <v>0</v>
      </c>
      <c r="P84" s="140">
        <f ca="1">IFERROR(__xludf.DUMMYFUNCTION("""COMPUTED_VALUE"""),0)</f>
        <v>0</v>
      </c>
      <c r="Q84" s="288">
        <f ca="1">IFERROR(__xludf.DUMMYFUNCTION("""COMPUTED_VALUE"""),0)</f>
        <v>0</v>
      </c>
      <c r="R84" s="286"/>
      <c r="S84" s="291" t="e">
        <f ca="1">_xludf.ifs(A84="INDIA",E84/'Shared Summary by Dept_US$'!$B$31,A84="INDO",E84/'Shared Summary by Dept_US$'!$B$32,A84="BD",E84/'Shared Summary by Dept_US$'!$B$33,A84="Nepal",E84/'Shared Summary by Dept_US$'!$B$34,A84="US",E84/'Shared Summary by Dept_US$'!$B$35)</f>
        <v>#NAME?</v>
      </c>
      <c r="T84" s="292" t="s">
        <v>169</v>
      </c>
      <c r="U84" s="15"/>
      <c r="V84" s="15"/>
      <c r="W84" s="107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1:34" ht="15.75" customHeight="1" x14ac:dyDescent="0.25">
      <c r="A85" s="81" t="s">
        <v>14</v>
      </c>
      <c r="B85" s="64" t="str">
        <f ca="1">IFERROR(__xludf.DUMMYFUNCTION("""COMPUTED_VALUE"""),"Supplies &amp; Printing Costs")</f>
        <v>Supplies &amp; Printing Costs</v>
      </c>
      <c r="C85" s="64" t="str">
        <f ca="1">IFERROR(__xludf.DUMMYFUNCTION("""COMPUTED_VALUE"""),"Other Direct Expenses")</f>
        <v>Other Direct Expenses</v>
      </c>
      <c r="D85" s="290">
        <f ca="1">IFERROR(__xludf.DUMMYFUNCTION("""COMPUTED_VALUE"""),93201)</f>
        <v>93201</v>
      </c>
      <c r="E85" s="140">
        <f ca="1">IFERROR(__xludf.DUMMYFUNCTION("""COMPUTED_VALUE"""),0)</f>
        <v>0</v>
      </c>
      <c r="F85" s="140">
        <f ca="1">IFERROR(__xludf.DUMMYFUNCTION("""COMPUTED_VALUE"""),0)</f>
        <v>0</v>
      </c>
      <c r="G85" s="140">
        <f ca="1">IFERROR(__xludf.DUMMYFUNCTION("""COMPUTED_VALUE"""),0)</f>
        <v>0</v>
      </c>
      <c r="H85" s="140">
        <f ca="1">IFERROR(__xludf.DUMMYFUNCTION("""COMPUTED_VALUE"""),0)</f>
        <v>0</v>
      </c>
      <c r="I85" s="140">
        <f ca="1">IFERROR(__xludf.DUMMYFUNCTION("""COMPUTED_VALUE"""),0)</f>
        <v>0</v>
      </c>
      <c r="J85" s="140">
        <f ca="1">IFERROR(__xludf.DUMMYFUNCTION("""COMPUTED_VALUE"""),0)</f>
        <v>0</v>
      </c>
      <c r="K85" s="140">
        <f ca="1">IFERROR(__xludf.DUMMYFUNCTION("""COMPUTED_VALUE"""),0)</f>
        <v>0</v>
      </c>
      <c r="L85" s="140">
        <f ca="1">IFERROR(__xludf.DUMMYFUNCTION("""COMPUTED_VALUE"""),0)</f>
        <v>0</v>
      </c>
      <c r="M85" s="140">
        <f ca="1">IFERROR(__xludf.DUMMYFUNCTION("""COMPUTED_VALUE"""),0)</f>
        <v>0</v>
      </c>
      <c r="N85" s="140"/>
      <c r="O85" s="140"/>
      <c r="P85" s="140"/>
      <c r="Q85" s="288">
        <f ca="1">IFERROR(__xludf.DUMMYFUNCTION("""COMPUTED_VALUE"""),0)</f>
        <v>0</v>
      </c>
      <c r="R85" s="286"/>
      <c r="S85" s="291" t="e">
        <f ca="1">_xludf.ifs(A85="INDIA",E85/'Shared Summary by Dept_US$'!$B$31,A85="INDO",E85/'Shared Summary by Dept_US$'!$B$32,A85="BD",E85/'Shared Summary by Dept_US$'!$B$33,A85="Nepal",E85/'Shared Summary by Dept_US$'!$B$34,A85="US",E85/'Shared Summary by Dept_US$'!$B$35)</f>
        <v>#NAME?</v>
      </c>
      <c r="T85" s="292" t="s">
        <v>169</v>
      </c>
      <c r="U85" s="15"/>
      <c r="V85" s="15"/>
      <c r="W85" s="107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1:34" ht="15.75" customHeight="1" x14ac:dyDescent="0.25">
      <c r="A86" s="81" t="s">
        <v>14</v>
      </c>
      <c r="B86" s="64" t="str">
        <f ca="1">IFERROR(__xludf.DUMMYFUNCTION("""COMPUTED_VALUE"""),"Supplies &amp; Printing Costs")</f>
        <v>Supplies &amp; Printing Costs</v>
      </c>
      <c r="C86" s="64" t="str">
        <f ca="1">IFERROR(__xludf.DUMMYFUNCTION("""COMPUTED_VALUE"""),"Printing expenses")</f>
        <v>Printing expenses</v>
      </c>
      <c r="D86" s="290">
        <f ca="1">IFERROR(__xludf.DUMMYFUNCTION("""COMPUTED_VALUE"""),93204)</f>
        <v>93204</v>
      </c>
      <c r="E86" s="140">
        <f ca="1">IFERROR(__xludf.DUMMYFUNCTION("""COMPUTED_VALUE"""),0)</f>
        <v>0</v>
      </c>
      <c r="F86" s="140">
        <f ca="1">IFERROR(__xludf.DUMMYFUNCTION("""COMPUTED_VALUE"""),0)</f>
        <v>0</v>
      </c>
      <c r="G86" s="140">
        <f ca="1">IFERROR(__xludf.DUMMYFUNCTION("""COMPUTED_VALUE"""),0)</f>
        <v>0</v>
      </c>
      <c r="H86" s="140">
        <f ca="1">IFERROR(__xludf.DUMMYFUNCTION("""COMPUTED_VALUE"""),0)</f>
        <v>0</v>
      </c>
      <c r="I86" s="140">
        <f ca="1">IFERROR(__xludf.DUMMYFUNCTION("""COMPUTED_VALUE"""),0)</f>
        <v>0</v>
      </c>
      <c r="J86" s="140">
        <f ca="1">IFERROR(__xludf.DUMMYFUNCTION("""COMPUTED_VALUE"""),0)</f>
        <v>0</v>
      </c>
      <c r="K86" s="140">
        <f ca="1">IFERROR(__xludf.DUMMYFUNCTION("""COMPUTED_VALUE"""),0)</f>
        <v>0</v>
      </c>
      <c r="L86" s="140">
        <f ca="1">IFERROR(__xludf.DUMMYFUNCTION("""COMPUTED_VALUE"""),0)</f>
        <v>0</v>
      </c>
      <c r="M86" s="140">
        <f ca="1">IFERROR(__xludf.DUMMYFUNCTION("""COMPUTED_VALUE"""),0)</f>
        <v>0</v>
      </c>
      <c r="N86" s="140"/>
      <c r="O86" s="140"/>
      <c r="P86" s="140"/>
      <c r="Q86" s="288"/>
      <c r="R86" s="286"/>
      <c r="S86" s="291" t="e">
        <f ca="1">_xludf.ifs(A86="INDIA",E86/'Shared Summary by Dept_US$'!$B$31,A86="INDO",E86/'Shared Summary by Dept_US$'!$B$32,A86="BD",E86/'Shared Summary by Dept_US$'!$B$33,A86="Nepal",E86/'Shared Summary by Dept_US$'!$B$34,A86="US",E86/'Shared Summary by Dept_US$'!$B$35)</f>
        <v>#NAME?</v>
      </c>
      <c r="T86" s="292" t="s">
        <v>169</v>
      </c>
      <c r="U86" s="15"/>
      <c r="V86" s="15"/>
      <c r="W86" s="107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ht="15.75" customHeight="1" x14ac:dyDescent="0.25">
      <c r="A87" s="81" t="s">
        <v>14</v>
      </c>
      <c r="B87" s="64" t="str">
        <f ca="1">IFERROR(__xludf.DUMMYFUNCTION("""COMPUTED_VALUE"""),"Communication Cost")</f>
        <v>Communication Cost</v>
      </c>
      <c r="C87" s="64" t="str">
        <f ca="1">IFERROR(__xludf.DUMMYFUNCTION("""COMPUTED_VALUE"""),"Internet Expenses")</f>
        <v>Internet Expenses</v>
      </c>
      <c r="D87" s="290">
        <f ca="1">IFERROR(__xludf.DUMMYFUNCTION("""COMPUTED_VALUE"""),93301)</f>
        <v>93301</v>
      </c>
      <c r="E87" s="140">
        <f ca="1">IFERROR(__xludf.DUMMYFUNCTION("""COMPUTED_VALUE"""),0)</f>
        <v>0</v>
      </c>
      <c r="F87" s="140">
        <f ca="1">IFERROR(__xludf.DUMMYFUNCTION("""COMPUTED_VALUE"""),0)</f>
        <v>0</v>
      </c>
      <c r="G87" s="140">
        <f ca="1">IFERROR(__xludf.DUMMYFUNCTION("""COMPUTED_VALUE"""),0)</f>
        <v>0</v>
      </c>
      <c r="H87" s="140">
        <f ca="1">IFERROR(__xludf.DUMMYFUNCTION("""COMPUTED_VALUE"""),0)</f>
        <v>0</v>
      </c>
      <c r="I87" s="140">
        <f ca="1">IFERROR(__xludf.DUMMYFUNCTION("""COMPUTED_VALUE"""),0)</f>
        <v>0</v>
      </c>
      <c r="J87" s="140">
        <f ca="1">IFERROR(__xludf.DUMMYFUNCTION("""COMPUTED_VALUE"""),0)</f>
        <v>0</v>
      </c>
      <c r="K87" s="140">
        <f ca="1">IFERROR(__xludf.DUMMYFUNCTION("""COMPUTED_VALUE"""),0)</f>
        <v>0</v>
      </c>
      <c r="L87" s="140">
        <f ca="1">IFERROR(__xludf.DUMMYFUNCTION("""COMPUTED_VALUE"""),0)</f>
        <v>0</v>
      </c>
      <c r="M87" s="140">
        <f ca="1">IFERROR(__xludf.DUMMYFUNCTION("""COMPUTED_VALUE"""),0)</f>
        <v>0</v>
      </c>
      <c r="N87" s="140"/>
      <c r="O87" s="140"/>
      <c r="P87" s="140"/>
      <c r="Q87" s="288"/>
      <c r="R87" s="286"/>
      <c r="S87" s="291" t="e">
        <f ca="1">_xludf.ifs(A87="INDIA",E87/'Shared Summary by Dept_US$'!$B$31,A87="INDO",E87/'Shared Summary by Dept_US$'!$B$32,A87="BD",E87/'Shared Summary by Dept_US$'!$B$33,A87="Nepal",E87/'Shared Summary by Dept_US$'!$B$34,A87="US",E87/'Shared Summary by Dept_US$'!$B$35)</f>
        <v>#NAME?</v>
      </c>
      <c r="T87" s="292" t="s">
        <v>169</v>
      </c>
      <c r="U87" s="15"/>
      <c r="V87" s="15"/>
      <c r="W87" s="107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1:34" ht="15.75" customHeight="1" x14ac:dyDescent="0.25">
      <c r="A88" s="81" t="s">
        <v>14</v>
      </c>
      <c r="B88" s="64" t="str">
        <f ca="1">IFERROR(__xludf.DUMMYFUNCTION("""COMPUTED_VALUE"""),"Communication Cost")</f>
        <v>Communication Cost</v>
      </c>
      <c r="C88" s="64" t="str">
        <f ca="1">IFERROR(__xludf.DUMMYFUNCTION("""COMPUTED_VALUE"""),"Postage &amp; Courier Expenses")</f>
        <v>Postage &amp; Courier Expenses</v>
      </c>
      <c r="D88" s="290">
        <f ca="1">IFERROR(__xludf.DUMMYFUNCTION("""COMPUTED_VALUE"""),93302)</f>
        <v>93302</v>
      </c>
      <c r="E88" s="140">
        <f ca="1">IFERROR(__xludf.DUMMYFUNCTION("""COMPUTED_VALUE"""),0)</f>
        <v>0</v>
      </c>
      <c r="F88" s="140">
        <f ca="1">IFERROR(__xludf.DUMMYFUNCTION("""COMPUTED_VALUE"""),0)</f>
        <v>0</v>
      </c>
      <c r="G88" s="140">
        <f ca="1">IFERROR(__xludf.DUMMYFUNCTION("""COMPUTED_VALUE"""),0)</f>
        <v>0</v>
      </c>
      <c r="H88" s="140">
        <f ca="1">IFERROR(__xludf.DUMMYFUNCTION("""COMPUTED_VALUE"""),0)</f>
        <v>0</v>
      </c>
      <c r="I88" s="140">
        <f ca="1">IFERROR(__xludf.DUMMYFUNCTION("""COMPUTED_VALUE"""),0)</f>
        <v>0</v>
      </c>
      <c r="J88" s="140">
        <f ca="1">IFERROR(__xludf.DUMMYFUNCTION("""COMPUTED_VALUE"""),0)</f>
        <v>0</v>
      </c>
      <c r="K88" s="140">
        <f ca="1">IFERROR(__xludf.DUMMYFUNCTION("""COMPUTED_VALUE"""),0)</f>
        <v>0</v>
      </c>
      <c r="L88" s="140">
        <f ca="1">IFERROR(__xludf.DUMMYFUNCTION("""COMPUTED_VALUE"""),0)</f>
        <v>0</v>
      </c>
      <c r="M88" s="140">
        <f ca="1">IFERROR(__xludf.DUMMYFUNCTION("""COMPUTED_VALUE"""),0)</f>
        <v>0</v>
      </c>
      <c r="N88" s="140"/>
      <c r="O88" s="140"/>
      <c r="P88" s="140"/>
      <c r="Q88" s="288"/>
      <c r="R88" s="286"/>
      <c r="S88" s="291" t="e">
        <f ca="1">_xludf.ifs(A88="INDIA",E88/'Shared Summary by Dept_US$'!$B$31,A88="INDO",E88/'Shared Summary by Dept_US$'!$B$32,A88="BD",E88/'Shared Summary by Dept_US$'!$B$33,A88="Nepal",E88/'Shared Summary by Dept_US$'!$B$34,A88="US",E88/'Shared Summary by Dept_US$'!$B$35)</f>
        <v>#NAME?</v>
      </c>
      <c r="T88" s="292" t="s">
        <v>169</v>
      </c>
      <c r="U88" s="15"/>
      <c r="V88" s="15"/>
      <c r="W88" s="107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ht="15.75" customHeight="1" x14ac:dyDescent="0.25">
      <c r="A89" s="81" t="s">
        <v>14</v>
      </c>
      <c r="B89" s="64" t="str">
        <f ca="1">IFERROR(__xludf.DUMMYFUNCTION("""COMPUTED_VALUE"""),"Communication Cost")</f>
        <v>Communication Cost</v>
      </c>
      <c r="C89" s="64" t="str">
        <f ca="1">IFERROR(__xludf.DUMMYFUNCTION("""COMPUTED_VALUE"""),"Telecommunication expenses")</f>
        <v>Telecommunication expenses</v>
      </c>
      <c r="D89" s="290">
        <f ca="1">IFERROR(__xludf.DUMMYFUNCTION("""COMPUTED_VALUE"""),93303)</f>
        <v>93303</v>
      </c>
      <c r="E89" s="140">
        <f ca="1">IFERROR(__xludf.DUMMYFUNCTION("""COMPUTED_VALUE"""),0)</f>
        <v>0</v>
      </c>
      <c r="F89" s="140">
        <f ca="1">IFERROR(__xludf.DUMMYFUNCTION("""COMPUTED_VALUE"""),0)</f>
        <v>0</v>
      </c>
      <c r="G89" s="140">
        <f ca="1">IFERROR(__xludf.DUMMYFUNCTION("""COMPUTED_VALUE"""),0)</f>
        <v>0</v>
      </c>
      <c r="H89" s="140">
        <f ca="1">IFERROR(__xludf.DUMMYFUNCTION("""COMPUTED_VALUE"""),0)</f>
        <v>0</v>
      </c>
      <c r="I89" s="140">
        <f ca="1">IFERROR(__xludf.DUMMYFUNCTION("""COMPUTED_VALUE"""),0)</f>
        <v>0</v>
      </c>
      <c r="J89" s="140">
        <f ca="1">IFERROR(__xludf.DUMMYFUNCTION("""COMPUTED_VALUE"""),0)</f>
        <v>0</v>
      </c>
      <c r="K89" s="140">
        <f ca="1">IFERROR(__xludf.DUMMYFUNCTION("""COMPUTED_VALUE"""),0)</f>
        <v>0</v>
      </c>
      <c r="L89" s="140">
        <f ca="1">IFERROR(__xludf.DUMMYFUNCTION("""COMPUTED_VALUE"""),0)</f>
        <v>0</v>
      </c>
      <c r="M89" s="140">
        <f ca="1">IFERROR(__xludf.DUMMYFUNCTION("""COMPUTED_VALUE"""),0)</f>
        <v>0</v>
      </c>
      <c r="N89" s="140"/>
      <c r="O89" s="140"/>
      <c r="P89" s="140"/>
      <c r="Q89" s="288"/>
      <c r="R89" s="286"/>
      <c r="S89" s="291" t="e">
        <f ca="1">_xludf.ifs(A89="INDIA",E89/'Shared Summary by Dept_US$'!$B$31,A89="INDO",E89/'Shared Summary by Dept_US$'!$B$32,A89="BD",E89/'Shared Summary by Dept_US$'!$B$33,A89="Nepal",E89/'Shared Summary by Dept_US$'!$B$34,A89="US",E89/'Shared Summary by Dept_US$'!$B$35)</f>
        <v>#NAME?</v>
      </c>
      <c r="T89" s="292" t="s">
        <v>169</v>
      </c>
      <c r="U89" s="15"/>
      <c r="V89" s="15"/>
      <c r="W89" s="107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1:34" ht="15.75" customHeight="1" x14ac:dyDescent="0.25">
      <c r="A90" s="81" t="s">
        <v>14</v>
      </c>
      <c r="B90" s="64" t="str">
        <f ca="1">IFERROR(__xludf.DUMMYFUNCTION("""COMPUTED_VALUE"""),"Office Expenses")</f>
        <v>Office Expenses</v>
      </c>
      <c r="C90" s="64" t="str">
        <f ca="1">IFERROR(__xludf.DUMMYFUNCTION("""COMPUTED_VALUE"""),"Software and Subscriptions")</f>
        <v>Software and Subscriptions</v>
      </c>
      <c r="D90" s="290">
        <f ca="1">IFERROR(__xludf.DUMMYFUNCTION("""COMPUTED_VALUE"""),93401)</f>
        <v>93401</v>
      </c>
      <c r="E90" s="140">
        <f ca="1">IFERROR(__xludf.DUMMYFUNCTION("""COMPUTED_VALUE"""),53268)</f>
        <v>53268</v>
      </c>
      <c r="F90" s="140">
        <f ca="1">IFERROR(__xludf.DUMMYFUNCTION("""COMPUTED_VALUE"""),53268)</f>
        <v>53268</v>
      </c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288"/>
      <c r="R90" s="286"/>
      <c r="S90" s="291" t="e">
        <f ca="1">_xludf.ifs(A90="INDIA",E90/'Shared Summary by Dept_US$'!$B$31,A90="INDO",E90/'Shared Summary by Dept_US$'!$B$32,A90="BD",E90/'Shared Summary by Dept_US$'!$B$33,A90="Nepal",E90/'Shared Summary by Dept_US$'!$B$34,A90="US",E90/'Shared Summary by Dept_US$'!$B$35)</f>
        <v>#NAME?</v>
      </c>
      <c r="T90" s="292" t="s">
        <v>169</v>
      </c>
      <c r="U90" s="15"/>
      <c r="V90" s="15"/>
      <c r="W90" s="107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1:34" ht="15.75" customHeight="1" x14ac:dyDescent="0.25">
      <c r="A91" s="81" t="s">
        <v>14</v>
      </c>
      <c r="B91" s="64" t="str">
        <f ca="1">IFERROR(__xludf.DUMMYFUNCTION("""COMPUTED_VALUE"""),"Office Expenses")</f>
        <v>Office Expenses</v>
      </c>
      <c r="C91" s="64" t="str">
        <f ca="1">IFERROR(__xludf.DUMMYFUNCTION("""COMPUTED_VALUE"""),"Stationery &amp; Consumables")</f>
        <v>Stationery &amp; Consumables</v>
      </c>
      <c r="D91" s="290">
        <f ca="1">IFERROR(__xludf.DUMMYFUNCTION("""COMPUTED_VALUE"""),93404)</f>
        <v>93404</v>
      </c>
      <c r="E91" s="140">
        <f ca="1">IFERROR(__xludf.DUMMYFUNCTION("""COMPUTED_VALUE"""),19000)</f>
        <v>19000</v>
      </c>
      <c r="F91" s="140"/>
      <c r="G91" s="140">
        <f ca="1">IFERROR(__xludf.DUMMYFUNCTION("""COMPUTED_VALUE"""),1000)</f>
        <v>1000</v>
      </c>
      <c r="H91" s="140">
        <f ca="1">IFERROR(__xludf.DUMMYFUNCTION("""COMPUTED_VALUE"""),1000)</f>
        <v>1000</v>
      </c>
      <c r="I91" s="140">
        <f ca="1">IFERROR(__xludf.DUMMYFUNCTION("""COMPUTED_VALUE"""),1000)</f>
        <v>1000</v>
      </c>
      <c r="J91" s="140">
        <f ca="1">IFERROR(__xludf.DUMMYFUNCTION("""COMPUTED_VALUE"""),9000)</f>
        <v>9000</v>
      </c>
      <c r="K91" s="140">
        <f ca="1">IFERROR(__xludf.DUMMYFUNCTION("""COMPUTED_VALUE"""),1000)</f>
        <v>1000</v>
      </c>
      <c r="L91" s="140">
        <f ca="1">IFERROR(__xludf.DUMMYFUNCTION("""COMPUTED_VALUE"""),1000)</f>
        <v>1000</v>
      </c>
      <c r="M91" s="140">
        <f ca="1">IFERROR(__xludf.DUMMYFUNCTION("""COMPUTED_VALUE"""),1000)</f>
        <v>1000</v>
      </c>
      <c r="N91" s="140">
        <f ca="1">IFERROR(__xludf.DUMMYFUNCTION("""COMPUTED_VALUE"""),1000)</f>
        <v>1000</v>
      </c>
      <c r="O91" s="140">
        <f ca="1">IFERROR(__xludf.DUMMYFUNCTION("""COMPUTED_VALUE"""),1000)</f>
        <v>1000</v>
      </c>
      <c r="P91" s="140">
        <f ca="1">IFERROR(__xludf.DUMMYFUNCTION("""COMPUTED_VALUE"""),1000)</f>
        <v>1000</v>
      </c>
      <c r="Q91" s="288">
        <f ca="1">IFERROR(__xludf.DUMMYFUNCTION("""COMPUTED_VALUE"""),1000)</f>
        <v>1000</v>
      </c>
      <c r="R91" s="286"/>
      <c r="S91" s="291" t="e">
        <f ca="1">_xludf.ifs(A91="INDIA",E91/'Shared Summary by Dept_US$'!$B$31,A91="INDO",E91/'Shared Summary by Dept_US$'!$B$32,A91="BD",E91/'Shared Summary by Dept_US$'!$B$33,A91="Nepal",E91/'Shared Summary by Dept_US$'!$B$34,A91="US",E91/'Shared Summary by Dept_US$'!$B$35)</f>
        <v>#NAME?</v>
      </c>
      <c r="T91" s="292" t="s">
        <v>169</v>
      </c>
      <c r="U91" s="15"/>
      <c r="V91" s="15"/>
      <c r="W91" s="107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1:34" ht="15.75" customHeight="1" x14ac:dyDescent="0.25">
      <c r="A92" s="81" t="s">
        <v>14</v>
      </c>
      <c r="B92" s="64" t="str">
        <f ca="1">IFERROR(__xludf.DUMMYFUNCTION("""COMPUTED_VALUE"""),"Office Expenses")</f>
        <v>Office Expenses</v>
      </c>
      <c r="C92" s="64" t="str">
        <f ca="1">IFERROR(__xludf.DUMMYFUNCTION("""COMPUTED_VALUE"""),"Office Equipment Expense")</f>
        <v>Office Equipment Expense</v>
      </c>
      <c r="D92" s="290">
        <f ca="1">IFERROR(__xludf.DUMMYFUNCTION("""COMPUTED_VALUE"""),93405)</f>
        <v>93405</v>
      </c>
      <c r="E92" s="140">
        <f ca="1">IFERROR(__xludf.DUMMYFUNCTION("""COMPUTED_VALUE"""),0)</f>
        <v>0</v>
      </c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288"/>
      <c r="R92" s="286"/>
      <c r="S92" s="291" t="e">
        <f ca="1">_xludf.ifs(A92="INDIA",E92/'Shared Summary by Dept_US$'!$B$31,A92="INDO",E92/'Shared Summary by Dept_US$'!$B$32,A92="BD",E92/'Shared Summary by Dept_US$'!$B$33,A92="Nepal",E92/'Shared Summary by Dept_US$'!$B$34,A92="US",E92/'Shared Summary by Dept_US$'!$B$35)</f>
        <v>#NAME?</v>
      </c>
      <c r="T92" s="292" t="s">
        <v>169</v>
      </c>
      <c r="U92" s="15"/>
      <c r="V92" s="15"/>
      <c r="W92" s="107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1:34" ht="15.75" customHeight="1" x14ac:dyDescent="0.25">
      <c r="A93" s="81" t="s">
        <v>14</v>
      </c>
      <c r="B93" s="64" t="str">
        <f ca="1">IFERROR(__xludf.DUMMYFUNCTION("""COMPUTED_VALUE"""),"Professional &amp; Consultancy Charges")</f>
        <v>Professional &amp; Consultancy Charges</v>
      </c>
      <c r="C93" s="64" t="str">
        <f ca="1">IFERROR(__xludf.DUMMYFUNCTION("""COMPUTED_VALUE"""),"Admin Consultants")</f>
        <v>Admin Consultants</v>
      </c>
      <c r="D93" s="290">
        <f ca="1">IFERROR(__xludf.DUMMYFUNCTION("""COMPUTED_VALUE"""),93703)</f>
        <v>93703</v>
      </c>
      <c r="E93" s="140">
        <f ca="1">IFERROR(__xludf.DUMMYFUNCTION("""COMPUTED_VALUE"""),0)</f>
        <v>0</v>
      </c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288"/>
      <c r="R93" s="286"/>
      <c r="S93" s="291" t="e">
        <f ca="1">_xludf.ifs(A93="INDIA",E93/'Shared Summary by Dept_US$'!$B$31,A93="INDO",E93/'Shared Summary by Dept_US$'!$B$32,A93="BD",E93/'Shared Summary by Dept_US$'!$B$33,A93="Nepal",E93/'Shared Summary by Dept_US$'!$B$34,A93="US",E93/'Shared Summary by Dept_US$'!$B$35)</f>
        <v>#NAME?</v>
      </c>
      <c r="T93" s="292" t="s">
        <v>169</v>
      </c>
      <c r="U93" s="15"/>
      <c r="V93" s="15"/>
      <c r="W93" s="107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1:34" ht="15.75" customHeight="1" x14ac:dyDescent="0.25">
      <c r="A94" s="81" t="s">
        <v>14</v>
      </c>
      <c r="B94" s="64" t="str">
        <f ca="1">IFERROR(__xludf.DUMMYFUNCTION("""COMPUTED_VALUE"""),"Supplies &amp; Printing Costs")</f>
        <v>Supplies &amp; Printing Costs</v>
      </c>
      <c r="C94" s="64" t="str">
        <f ca="1">IFERROR(__xludf.DUMMYFUNCTION("""COMPUTED_VALUE"""),"RES (Exotel Expensess)")</f>
        <v>RES (Exotel Expensess)</v>
      </c>
      <c r="D94" s="290">
        <f ca="1">IFERROR(__xludf.DUMMYFUNCTION("""COMPUTED_VALUE"""),93202)</f>
        <v>93202</v>
      </c>
      <c r="E94" s="140">
        <f ca="1">IFERROR(__xludf.DUMMYFUNCTION("""COMPUTED_VALUE"""),3000000)</f>
        <v>3000000</v>
      </c>
      <c r="F94" s="140">
        <f ca="1">IFERROR(__xludf.DUMMYFUNCTION("""COMPUTED_VALUE"""),250000)</f>
        <v>250000</v>
      </c>
      <c r="G94" s="140">
        <f ca="1">IFERROR(__xludf.DUMMYFUNCTION("""COMPUTED_VALUE"""),250000)</f>
        <v>250000</v>
      </c>
      <c r="H94" s="140">
        <f ca="1">IFERROR(__xludf.DUMMYFUNCTION("""COMPUTED_VALUE"""),250000)</f>
        <v>250000</v>
      </c>
      <c r="I94" s="140">
        <f ca="1">IFERROR(__xludf.DUMMYFUNCTION("""COMPUTED_VALUE"""),250000)</f>
        <v>250000</v>
      </c>
      <c r="J94" s="140">
        <f ca="1">IFERROR(__xludf.DUMMYFUNCTION("""COMPUTED_VALUE"""),250000)</f>
        <v>250000</v>
      </c>
      <c r="K94" s="140">
        <f ca="1">IFERROR(__xludf.DUMMYFUNCTION("""COMPUTED_VALUE"""),250000)</f>
        <v>250000</v>
      </c>
      <c r="L94" s="140">
        <f ca="1">IFERROR(__xludf.DUMMYFUNCTION("""COMPUTED_VALUE"""),250000)</f>
        <v>250000</v>
      </c>
      <c r="M94" s="140">
        <f ca="1">IFERROR(__xludf.DUMMYFUNCTION("""COMPUTED_VALUE"""),250000)</f>
        <v>250000</v>
      </c>
      <c r="N94" s="140">
        <f ca="1">IFERROR(__xludf.DUMMYFUNCTION("""COMPUTED_VALUE"""),250000)</f>
        <v>250000</v>
      </c>
      <c r="O94" s="140">
        <f ca="1">IFERROR(__xludf.DUMMYFUNCTION("""COMPUTED_VALUE"""),250000)</f>
        <v>250000</v>
      </c>
      <c r="P94" s="140">
        <f ca="1">IFERROR(__xludf.DUMMYFUNCTION("""COMPUTED_VALUE"""),250000)</f>
        <v>250000</v>
      </c>
      <c r="Q94" s="288">
        <f ca="1">IFERROR(__xludf.DUMMYFUNCTION("""COMPUTED_VALUE"""),250000)</f>
        <v>250000</v>
      </c>
      <c r="R94" s="286"/>
      <c r="S94" s="291" t="e">
        <f ca="1">_xludf.ifs(A94="INDIA",E94/'Shared Summary by Dept_US$'!$B$31,A94="INDO",E94/'Shared Summary by Dept_US$'!$B$32,A94="BD",E94/'Shared Summary by Dept_US$'!$B$33,A94="Nepal",E94/'Shared Summary by Dept_US$'!$B$34,A94="US",E94/'Shared Summary by Dept_US$'!$B$35)</f>
        <v>#NAME?</v>
      </c>
      <c r="T94" s="292" t="s">
        <v>169</v>
      </c>
      <c r="U94" s="15"/>
      <c r="V94" s="15"/>
      <c r="W94" s="107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ht="15.75" customHeight="1" x14ac:dyDescent="0.25">
      <c r="A95" s="81" t="s">
        <v>14</v>
      </c>
      <c r="B95" s="64" t="str">
        <f ca="1">IFERROR(__xludf.DUMMYFUNCTION("""COMPUTED_VALUE"""),"Fixed Assets")</f>
        <v>Fixed Assets</v>
      </c>
      <c r="C95" s="64" t="str">
        <f ca="1">IFERROR(__xludf.DUMMYFUNCTION("""COMPUTED_VALUE"""),"Laptop/ Printer")</f>
        <v>Laptop/ Printer</v>
      </c>
      <c r="D95" s="290">
        <f ca="1">IFERROR(__xludf.DUMMYFUNCTION("""COMPUTED_VALUE"""),11301)</f>
        <v>11301</v>
      </c>
      <c r="E95" s="140">
        <f ca="1">IFERROR(__xludf.DUMMYFUNCTION("""COMPUTED_VALUE"""),0)</f>
        <v>0</v>
      </c>
      <c r="F95" s="140">
        <f ca="1">IFERROR(__xludf.DUMMYFUNCTION("""COMPUTED_VALUE"""),0)</f>
        <v>0</v>
      </c>
      <c r="G95" s="140">
        <f ca="1">IFERROR(__xludf.DUMMYFUNCTION("""COMPUTED_VALUE"""),0)</f>
        <v>0</v>
      </c>
      <c r="H95" s="140">
        <f ca="1">IFERROR(__xludf.DUMMYFUNCTION("""COMPUTED_VALUE"""),0)</f>
        <v>0</v>
      </c>
      <c r="I95" s="140">
        <f ca="1">IFERROR(__xludf.DUMMYFUNCTION("""COMPUTED_VALUE"""),0)</f>
        <v>0</v>
      </c>
      <c r="J95" s="140">
        <f ca="1">IFERROR(__xludf.DUMMYFUNCTION("""COMPUTED_VALUE"""),0)</f>
        <v>0</v>
      </c>
      <c r="K95" s="140">
        <f ca="1">IFERROR(__xludf.DUMMYFUNCTION("""COMPUTED_VALUE"""),0)</f>
        <v>0</v>
      </c>
      <c r="L95" s="140">
        <f ca="1">IFERROR(__xludf.DUMMYFUNCTION("""COMPUTED_VALUE"""),0)</f>
        <v>0</v>
      </c>
      <c r="M95" s="140">
        <f ca="1">IFERROR(__xludf.DUMMYFUNCTION("""COMPUTED_VALUE"""),0)</f>
        <v>0</v>
      </c>
      <c r="N95" s="140">
        <f ca="1">IFERROR(__xludf.DUMMYFUNCTION("""COMPUTED_VALUE"""),0)</f>
        <v>0</v>
      </c>
      <c r="O95" s="140">
        <f ca="1">IFERROR(__xludf.DUMMYFUNCTION("""COMPUTED_VALUE"""),0)</f>
        <v>0</v>
      </c>
      <c r="P95" s="140">
        <f ca="1">IFERROR(__xludf.DUMMYFUNCTION("""COMPUTED_VALUE"""),0)</f>
        <v>0</v>
      </c>
      <c r="Q95" s="288">
        <f ca="1">IFERROR(__xludf.DUMMYFUNCTION("""COMPUTED_VALUE"""),0)</f>
        <v>0</v>
      </c>
      <c r="R95" s="286"/>
      <c r="S95" s="291" t="e">
        <f ca="1">_xludf.ifs(A95="INDIA",E95/'Shared Summary by Dept_US$'!$B$31,A95="INDO",E95/'Shared Summary by Dept_US$'!$B$32,A95="BD",E95/'Shared Summary by Dept_US$'!$B$33,A95="Nepal",E95/'Shared Summary by Dept_US$'!$B$34,A95="US",E95/'Shared Summary by Dept_US$'!$B$35)</f>
        <v>#NAME?</v>
      </c>
      <c r="T95" s="292" t="s">
        <v>169</v>
      </c>
      <c r="U95" s="15"/>
      <c r="V95" s="15"/>
      <c r="W95" s="107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1:34" ht="15.75" customHeight="1" x14ac:dyDescent="0.25">
      <c r="A96" s="81" t="s">
        <v>14</v>
      </c>
      <c r="B96" s="64" t="str">
        <f ca="1">IFERROR(__xludf.DUMMYFUNCTION("""COMPUTED_VALUE"""),"Salaries and Wages")</f>
        <v>Salaries and Wages</v>
      </c>
      <c r="C96" s="64" t="str">
        <f ca="1">IFERROR(__xludf.DUMMYFUNCTION("""COMPUTED_VALUE"""),"Salaries and Wages")</f>
        <v>Salaries and Wages</v>
      </c>
      <c r="D96" s="290"/>
      <c r="E96" s="140">
        <f ca="1">IFERROR(__xludf.DUMMYFUNCTION("""COMPUTED_VALUE"""),12092681.9999999)</f>
        <v>12092681.999999899</v>
      </c>
      <c r="F96" s="140">
        <f ca="1">IFERROR(__xludf.DUMMYFUNCTION("""COMPUTED_VALUE"""),576473.75)</f>
        <v>576473.75</v>
      </c>
      <c r="G96" s="140">
        <f ca="1">IFERROR(__xludf.DUMMYFUNCTION("""COMPUTED_VALUE"""),576473.75)</f>
        <v>576473.75</v>
      </c>
      <c r="H96" s="140">
        <f ca="1">IFERROR(__xludf.DUMMYFUNCTION("""COMPUTED_VALUE"""),576473.75)</f>
        <v>576473.75</v>
      </c>
      <c r="I96" s="140">
        <f ca="1">IFERROR(__xludf.DUMMYFUNCTION("""COMPUTED_VALUE"""),1151473.41666666)</f>
        <v>1151473.41666666</v>
      </c>
      <c r="J96" s="140">
        <f ca="1">IFERROR(__xludf.DUMMYFUNCTION("""COMPUTED_VALUE"""),1151473.41666666)</f>
        <v>1151473.41666666</v>
      </c>
      <c r="K96" s="140">
        <f ca="1">IFERROR(__xludf.DUMMYFUNCTION("""COMPUTED_VALUE"""),1151473.41666666)</f>
        <v>1151473.41666666</v>
      </c>
      <c r="L96" s="140">
        <f ca="1">IFERROR(__xludf.DUMMYFUNCTION("""COMPUTED_VALUE"""),1151473.41666666)</f>
        <v>1151473.41666666</v>
      </c>
      <c r="M96" s="140">
        <f ca="1">IFERROR(__xludf.DUMMYFUNCTION("""COMPUTED_VALUE"""),1151473.41666666)</f>
        <v>1151473.41666666</v>
      </c>
      <c r="N96" s="140">
        <f ca="1">IFERROR(__xludf.DUMMYFUNCTION("""COMPUTED_VALUE"""),1151473.41666666)</f>
        <v>1151473.41666666</v>
      </c>
      <c r="O96" s="140">
        <f ca="1">IFERROR(__xludf.DUMMYFUNCTION("""COMPUTED_VALUE"""),1151473.41666666)</f>
        <v>1151473.41666666</v>
      </c>
      <c r="P96" s="140">
        <f ca="1">IFERROR(__xludf.DUMMYFUNCTION("""COMPUTED_VALUE"""),1151473.41666666)</f>
        <v>1151473.41666666</v>
      </c>
      <c r="Q96" s="288">
        <f ca="1">IFERROR(__xludf.DUMMYFUNCTION("""COMPUTED_VALUE"""),1151473.41666666)</f>
        <v>1151473.41666666</v>
      </c>
      <c r="R96" s="286"/>
      <c r="S96" s="291" t="e">
        <f ca="1">_xludf.ifs(A96="INDIA",E96/'Shared Summary by Dept_US$'!$B$31,A96="INDO",E96/'Shared Summary by Dept_US$'!$B$32,A96="BD",E96/'Shared Summary by Dept_US$'!$B$33,A96="Nepal",E96/'Shared Summary by Dept_US$'!$B$34,A96="US",E96/'Shared Summary by Dept_US$'!$B$35)</f>
        <v>#NAME?</v>
      </c>
      <c r="T96" s="292" t="s">
        <v>172</v>
      </c>
      <c r="U96" s="15"/>
      <c r="V96" s="15"/>
      <c r="W96" s="107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spans="1:34" ht="15.75" customHeight="1" x14ac:dyDescent="0.25">
      <c r="A97" s="81" t="s">
        <v>14</v>
      </c>
      <c r="B97" s="64" t="str">
        <f ca="1">IFERROR(__xludf.DUMMYFUNCTION("""COMPUTED_VALUE"""),"Health and Retirement Benefits")</f>
        <v>Health and Retirement Benefits</v>
      </c>
      <c r="C97" s="64" t="str">
        <f ca="1">IFERROR(__xludf.DUMMYFUNCTION("""COMPUTED_VALUE"""),"Gratuity &amp; Bonus")</f>
        <v>Gratuity &amp; Bonus</v>
      </c>
      <c r="D97" s="290"/>
      <c r="E97" s="140">
        <f ca="1">IFERROR(__xludf.DUMMYFUNCTION("""COMPUTED_VALUE"""),0)</f>
        <v>0</v>
      </c>
      <c r="F97" s="140">
        <f ca="1">IFERROR(__xludf.DUMMYFUNCTION("""COMPUTED_VALUE"""),0)</f>
        <v>0</v>
      </c>
      <c r="G97" s="140">
        <f ca="1">IFERROR(__xludf.DUMMYFUNCTION("""COMPUTED_VALUE"""),0)</f>
        <v>0</v>
      </c>
      <c r="H97" s="140">
        <f ca="1">IFERROR(__xludf.DUMMYFUNCTION("""COMPUTED_VALUE"""),0)</f>
        <v>0</v>
      </c>
      <c r="I97" s="140">
        <f ca="1">IFERROR(__xludf.DUMMYFUNCTION("""COMPUTED_VALUE"""),0)</f>
        <v>0</v>
      </c>
      <c r="J97" s="140">
        <f ca="1">IFERROR(__xludf.DUMMYFUNCTION("""COMPUTED_VALUE"""),0)</f>
        <v>0</v>
      </c>
      <c r="K97" s="140">
        <f ca="1">IFERROR(__xludf.DUMMYFUNCTION("""COMPUTED_VALUE"""),0)</f>
        <v>0</v>
      </c>
      <c r="L97" s="140">
        <f ca="1">IFERROR(__xludf.DUMMYFUNCTION("""COMPUTED_VALUE"""),0)</f>
        <v>0</v>
      </c>
      <c r="M97" s="140">
        <f ca="1">IFERROR(__xludf.DUMMYFUNCTION("""COMPUTED_VALUE"""),0)</f>
        <v>0</v>
      </c>
      <c r="N97" s="140">
        <f ca="1">IFERROR(__xludf.DUMMYFUNCTION("""COMPUTED_VALUE"""),0)</f>
        <v>0</v>
      </c>
      <c r="O97" s="140">
        <f ca="1">IFERROR(__xludf.DUMMYFUNCTION("""COMPUTED_VALUE"""),0)</f>
        <v>0</v>
      </c>
      <c r="P97" s="140">
        <f ca="1">IFERROR(__xludf.DUMMYFUNCTION("""COMPUTED_VALUE"""),0)</f>
        <v>0</v>
      </c>
      <c r="Q97" s="288">
        <f ca="1">IFERROR(__xludf.DUMMYFUNCTION("""COMPUTED_VALUE"""),0)</f>
        <v>0</v>
      </c>
      <c r="R97" s="286"/>
      <c r="S97" s="291" t="e">
        <f ca="1">_xludf.ifs(A97="INDIA",E97/'Shared Summary by Dept_US$'!$B$31,A97="INDO",E97/'Shared Summary by Dept_US$'!$B$32,A97="BD",E97/'Shared Summary by Dept_US$'!$B$33,A97="Nepal",E97/'Shared Summary by Dept_US$'!$B$34,A97="US",E97/'Shared Summary by Dept_US$'!$B$35)</f>
        <v>#NAME?</v>
      </c>
      <c r="T97" s="292" t="s">
        <v>172</v>
      </c>
      <c r="U97" s="15"/>
      <c r="V97" s="15"/>
      <c r="W97" s="107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spans="1:34" ht="15.75" customHeight="1" x14ac:dyDescent="0.25">
      <c r="A98" s="81" t="s">
        <v>14</v>
      </c>
      <c r="B98" s="64" t="str">
        <f ca="1">IFERROR(__xludf.DUMMYFUNCTION("""COMPUTED_VALUE"""),"Other Staff Expenses")</f>
        <v>Other Staff Expenses</v>
      </c>
      <c r="C98" s="64" t="str">
        <f ca="1">IFERROR(__xludf.DUMMYFUNCTION("""COMPUTED_VALUE"""),"Staff Training, Learning &amp; Development Exp")</f>
        <v>Staff Training, Learning &amp; Development Exp</v>
      </c>
      <c r="D98" s="290">
        <f ca="1">IFERROR(__xludf.DUMMYFUNCTION("""COMPUTED_VALUE"""),91302)</f>
        <v>91302</v>
      </c>
      <c r="E98" s="140">
        <f ca="1">IFERROR(__xludf.DUMMYFUNCTION("""COMPUTED_VALUE"""),0)</f>
        <v>0</v>
      </c>
      <c r="F98" s="140">
        <f ca="1">IFERROR(__xludf.DUMMYFUNCTION("""COMPUTED_VALUE"""),0)</f>
        <v>0</v>
      </c>
      <c r="G98" s="140">
        <f ca="1">IFERROR(__xludf.DUMMYFUNCTION("""COMPUTED_VALUE"""),0)</f>
        <v>0</v>
      </c>
      <c r="H98" s="140">
        <f ca="1">IFERROR(__xludf.DUMMYFUNCTION("""COMPUTED_VALUE"""),0)</f>
        <v>0</v>
      </c>
      <c r="I98" s="140">
        <f ca="1">IFERROR(__xludf.DUMMYFUNCTION("""COMPUTED_VALUE"""),0)</f>
        <v>0</v>
      </c>
      <c r="J98" s="140">
        <f ca="1">IFERROR(__xludf.DUMMYFUNCTION("""COMPUTED_VALUE"""),0)</f>
        <v>0</v>
      </c>
      <c r="K98" s="140">
        <f ca="1">IFERROR(__xludf.DUMMYFUNCTION("""COMPUTED_VALUE"""),0)</f>
        <v>0</v>
      </c>
      <c r="L98" s="140">
        <f ca="1">IFERROR(__xludf.DUMMYFUNCTION("""COMPUTED_VALUE"""),0)</f>
        <v>0</v>
      </c>
      <c r="M98" s="140">
        <f ca="1">IFERROR(__xludf.DUMMYFUNCTION("""COMPUTED_VALUE"""),0)</f>
        <v>0</v>
      </c>
      <c r="N98" s="140">
        <f ca="1">IFERROR(__xludf.DUMMYFUNCTION("""COMPUTED_VALUE"""),0)</f>
        <v>0</v>
      </c>
      <c r="O98" s="140">
        <f ca="1">IFERROR(__xludf.DUMMYFUNCTION("""COMPUTED_VALUE"""),0)</f>
        <v>0</v>
      </c>
      <c r="P98" s="140">
        <f ca="1">IFERROR(__xludf.DUMMYFUNCTION("""COMPUTED_VALUE"""),0)</f>
        <v>0</v>
      </c>
      <c r="Q98" s="288">
        <f ca="1">IFERROR(__xludf.DUMMYFUNCTION("""COMPUTED_VALUE"""),0)</f>
        <v>0</v>
      </c>
      <c r="R98" s="286"/>
      <c r="S98" s="291" t="e">
        <f ca="1">_xludf.ifs(A98="INDIA",E98/'Shared Summary by Dept_US$'!$B$31,A98="INDO",E98/'Shared Summary by Dept_US$'!$B$32,A98="BD",E98/'Shared Summary by Dept_US$'!$B$33,A98="Nepal",E98/'Shared Summary by Dept_US$'!$B$34,A98="US",E98/'Shared Summary by Dept_US$'!$B$35)</f>
        <v>#NAME?</v>
      </c>
      <c r="T98" s="292" t="s">
        <v>172</v>
      </c>
      <c r="U98" s="15"/>
      <c r="V98" s="15"/>
      <c r="W98" s="107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ht="15.75" customHeight="1" x14ac:dyDescent="0.25">
      <c r="A99" s="81" t="s">
        <v>14</v>
      </c>
      <c r="B99" s="64" t="str">
        <f ca="1">IFERROR(__xludf.DUMMYFUNCTION("""COMPUTED_VALUE"""),"Resource Persons")</f>
        <v>Resource Persons</v>
      </c>
      <c r="C99" s="64" t="str">
        <f ca="1">IFERROR(__xludf.DUMMYFUNCTION("""COMPUTED_VALUE"""),"Program Resource Consultant (EHA)")</f>
        <v>Program Resource Consultant (EHA)</v>
      </c>
      <c r="D99" s="290">
        <f ca="1">IFERROR(__xludf.DUMMYFUNCTION("""COMPUTED_VALUE"""),92101)</f>
        <v>92101</v>
      </c>
      <c r="E99" s="140">
        <f ca="1">IFERROR(__xludf.DUMMYFUNCTION("""COMPUTED_VALUE"""),4898079.33333333)</f>
        <v>4898079.3333333302</v>
      </c>
      <c r="F99" s="140">
        <f ca="1">IFERROR(__xludf.DUMMYFUNCTION("""COMPUTED_VALUE"""),320506)</f>
        <v>320506</v>
      </c>
      <c r="G99" s="140">
        <f ca="1">IFERROR(__xludf.DUMMYFUNCTION("""COMPUTED_VALUE"""),305840)</f>
        <v>305840</v>
      </c>
      <c r="H99" s="140">
        <f ca="1">IFERROR(__xludf.DUMMYFUNCTION("""COMPUTED_VALUE"""),427173.333333333)</f>
        <v>427173.33333333302</v>
      </c>
      <c r="I99" s="140">
        <f ca="1">IFERROR(__xludf.DUMMYFUNCTION("""COMPUTED_VALUE"""),427173.333333333)</f>
        <v>427173.33333333302</v>
      </c>
      <c r="J99" s="140">
        <f ca="1">IFERROR(__xludf.DUMMYFUNCTION("""COMPUTED_VALUE"""),427173.333333333)</f>
        <v>427173.33333333302</v>
      </c>
      <c r="K99" s="140">
        <f ca="1">IFERROR(__xludf.DUMMYFUNCTION("""COMPUTED_VALUE"""),427173.333333333)</f>
        <v>427173.33333333302</v>
      </c>
      <c r="L99" s="140">
        <f ca="1">IFERROR(__xludf.DUMMYFUNCTION("""COMPUTED_VALUE"""),427173.333333333)</f>
        <v>427173.33333333302</v>
      </c>
      <c r="M99" s="140">
        <f ca="1">IFERROR(__xludf.DUMMYFUNCTION("""COMPUTED_VALUE"""),427173.333333333)</f>
        <v>427173.33333333302</v>
      </c>
      <c r="N99" s="140">
        <f ca="1">IFERROR(__xludf.DUMMYFUNCTION("""COMPUTED_VALUE"""),427173.333333333)</f>
        <v>427173.33333333302</v>
      </c>
      <c r="O99" s="140">
        <f ca="1">IFERROR(__xludf.DUMMYFUNCTION("""COMPUTED_VALUE"""),427173.333333333)</f>
        <v>427173.33333333302</v>
      </c>
      <c r="P99" s="140">
        <f ca="1">IFERROR(__xludf.DUMMYFUNCTION("""COMPUTED_VALUE"""),427173.333333333)</f>
        <v>427173.33333333302</v>
      </c>
      <c r="Q99" s="288">
        <f ca="1">IFERROR(__xludf.DUMMYFUNCTION("""COMPUTED_VALUE"""),427173.333333333)</f>
        <v>427173.33333333302</v>
      </c>
      <c r="R99" s="286"/>
      <c r="S99" s="291" t="e">
        <f ca="1">_xludf.ifs(A99="INDIA",E99/'Shared Summary by Dept_US$'!$B$31,A99="INDO",E99/'Shared Summary by Dept_US$'!$B$32,A99="BD",E99/'Shared Summary by Dept_US$'!$B$33,A99="Nepal",E99/'Shared Summary by Dept_US$'!$B$34,A99="US",E99/'Shared Summary by Dept_US$'!$B$35)</f>
        <v>#NAME?</v>
      </c>
      <c r="T99" s="292" t="s">
        <v>172</v>
      </c>
      <c r="U99" s="15"/>
      <c r="V99" s="15"/>
      <c r="W99" s="107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spans="1:34" ht="15.75" customHeight="1" x14ac:dyDescent="0.25">
      <c r="A100" s="81" t="s">
        <v>14</v>
      </c>
      <c r="B100" s="64" t="str">
        <f ca="1">IFERROR(__xludf.DUMMYFUNCTION("""COMPUTED_VALUE"""),"Travel &amp; Lodging Expenses")</f>
        <v>Travel &amp; Lodging Expenses</v>
      </c>
      <c r="C100" s="64" t="str">
        <f ca="1">IFERROR(__xludf.DUMMYFUNCTION("""COMPUTED_VALUE"""),"Hotel Accomodation")</f>
        <v>Hotel Accomodation</v>
      </c>
      <c r="D100" s="290">
        <f ca="1">IFERROR(__xludf.DUMMYFUNCTION("""COMPUTED_VALUE"""),93101)</f>
        <v>93101</v>
      </c>
      <c r="E100" s="140">
        <f ca="1">IFERROR(__xludf.DUMMYFUNCTION("""COMPUTED_VALUE"""),283500)</f>
        <v>283500</v>
      </c>
      <c r="F100" s="140">
        <f ca="1">IFERROR(__xludf.DUMMYFUNCTION("""COMPUTED_VALUE"""),0)</f>
        <v>0</v>
      </c>
      <c r="G100" s="140">
        <f ca="1">IFERROR(__xludf.DUMMYFUNCTION("""COMPUTED_VALUE"""),21000)</f>
        <v>21000</v>
      </c>
      <c r="H100" s="140">
        <f ca="1">IFERROR(__xludf.DUMMYFUNCTION("""COMPUTED_VALUE"""),31500)</f>
        <v>31500</v>
      </c>
      <c r="I100" s="140">
        <f ca="1">IFERROR(__xludf.DUMMYFUNCTION("""COMPUTED_VALUE"""),42000)</f>
        <v>42000</v>
      </c>
      <c r="J100" s="140">
        <f ca="1">IFERROR(__xludf.DUMMYFUNCTION("""COMPUTED_VALUE"""),21000)</f>
        <v>21000</v>
      </c>
      <c r="K100" s="140">
        <f ca="1">IFERROR(__xludf.DUMMYFUNCTION("""COMPUTED_VALUE"""),31500)</f>
        <v>31500</v>
      </c>
      <c r="L100" s="140">
        <f ca="1">IFERROR(__xludf.DUMMYFUNCTION("""COMPUTED_VALUE"""),42000)</f>
        <v>42000</v>
      </c>
      <c r="M100" s="140">
        <f ca="1">IFERROR(__xludf.DUMMYFUNCTION("""COMPUTED_VALUE"""),21000)</f>
        <v>21000</v>
      </c>
      <c r="N100" s="140">
        <f ca="1">IFERROR(__xludf.DUMMYFUNCTION("""COMPUTED_VALUE"""),73500)</f>
        <v>73500</v>
      </c>
      <c r="O100" s="140">
        <f ca="1">IFERROR(__xludf.DUMMYFUNCTION("""COMPUTED_VALUE"""),0)</f>
        <v>0</v>
      </c>
      <c r="P100" s="140">
        <f ca="1">IFERROR(__xludf.DUMMYFUNCTION("""COMPUTED_VALUE"""),0)</f>
        <v>0</v>
      </c>
      <c r="Q100" s="288">
        <f ca="1">IFERROR(__xludf.DUMMYFUNCTION("""COMPUTED_VALUE"""),0)</f>
        <v>0</v>
      </c>
      <c r="R100" s="286"/>
      <c r="S100" s="291" t="e">
        <f ca="1">_xludf.ifs(A100="INDIA",E100/'Shared Summary by Dept_US$'!$B$31,A100="INDO",E100/'Shared Summary by Dept_US$'!$B$32,A100="BD",E100/'Shared Summary by Dept_US$'!$B$33,A100="Nepal",E100/'Shared Summary by Dept_US$'!$B$34,A100="US",E100/'Shared Summary by Dept_US$'!$B$35)</f>
        <v>#NAME?</v>
      </c>
      <c r="T100" s="292" t="s">
        <v>172</v>
      </c>
      <c r="U100" s="15"/>
      <c r="V100" s="15"/>
      <c r="W100" s="107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ht="15.75" customHeight="1" x14ac:dyDescent="0.25">
      <c r="A101" s="81" t="s">
        <v>14</v>
      </c>
      <c r="B101" s="64" t="str">
        <f ca="1">IFERROR(__xludf.DUMMYFUNCTION("""COMPUTED_VALUE"""),"Travel &amp; Lodging Expenses")</f>
        <v>Travel &amp; Lodging Expenses</v>
      </c>
      <c r="C101" s="64" t="str">
        <f ca="1">IFERROR(__xludf.DUMMYFUNCTION("""COMPUTED_VALUE"""),"Food Expenses")</f>
        <v>Food Expenses</v>
      </c>
      <c r="D101" s="290">
        <f ca="1">IFERROR(__xludf.DUMMYFUNCTION("""COMPUTED_VALUE"""),93102)</f>
        <v>93102</v>
      </c>
      <c r="E101" s="140">
        <f ca="1">IFERROR(__xludf.DUMMYFUNCTION("""COMPUTED_VALUE"""),81000)</f>
        <v>81000</v>
      </c>
      <c r="F101" s="140">
        <f ca="1">IFERROR(__xludf.DUMMYFUNCTION("""COMPUTED_VALUE"""),0)</f>
        <v>0</v>
      </c>
      <c r="G101" s="140">
        <f ca="1">IFERROR(__xludf.DUMMYFUNCTION("""COMPUTED_VALUE"""),6000)</f>
        <v>6000</v>
      </c>
      <c r="H101" s="140">
        <f ca="1">IFERROR(__xludf.DUMMYFUNCTION("""COMPUTED_VALUE"""),9000)</f>
        <v>9000</v>
      </c>
      <c r="I101" s="140">
        <f ca="1">IFERROR(__xludf.DUMMYFUNCTION("""COMPUTED_VALUE"""),12000)</f>
        <v>12000</v>
      </c>
      <c r="J101" s="140">
        <f ca="1">IFERROR(__xludf.DUMMYFUNCTION("""COMPUTED_VALUE"""),6000)</f>
        <v>6000</v>
      </c>
      <c r="K101" s="140">
        <f ca="1">IFERROR(__xludf.DUMMYFUNCTION("""COMPUTED_VALUE"""),9000)</f>
        <v>9000</v>
      </c>
      <c r="L101" s="140">
        <f ca="1">IFERROR(__xludf.DUMMYFUNCTION("""COMPUTED_VALUE"""),12000)</f>
        <v>12000</v>
      </c>
      <c r="M101" s="140">
        <f ca="1">IFERROR(__xludf.DUMMYFUNCTION("""COMPUTED_VALUE"""),6000)</f>
        <v>6000</v>
      </c>
      <c r="N101" s="140">
        <f ca="1">IFERROR(__xludf.DUMMYFUNCTION("""COMPUTED_VALUE"""),21000)</f>
        <v>21000</v>
      </c>
      <c r="O101" s="140">
        <f ca="1">IFERROR(__xludf.DUMMYFUNCTION("""COMPUTED_VALUE"""),0)</f>
        <v>0</v>
      </c>
      <c r="P101" s="140">
        <f ca="1">IFERROR(__xludf.DUMMYFUNCTION("""COMPUTED_VALUE"""),0)</f>
        <v>0</v>
      </c>
      <c r="Q101" s="288">
        <f ca="1">IFERROR(__xludf.DUMMYFUNCTION("""COMPUTED_VALUE"""),0)</f>
        <v>0</v>
      </c>
      <c r="R101" s="286"/>
      <c r="S101" s="291" t="e">
        <f ca="1">_xludf.ifs(A101="INDIA",E101/'Shared Summary by Dept_US$'!$B$31,A101="INDO",E101/'Shared Summary by Dept_US$'!$B$32,A101="BD",E101/'Shared Summary by Dept_US$'!$B$33,A101="Nepal",E101/'Shared Summary by Dept_US$'!$B$34,A101="US",E101/'Shared Summary by Dept_US$'!$B$35)</f>
        <v>#NAME?</v>
      </c>
      <c r="T101" s="292" t="s">
        <v>172</v>
      </c>
      <c r="U101" s="15"/>
      <c r="V101" s="15"/>
      <c r="W101" s="107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spans="1:34" ht="15.75" customHeight="1" x14ac:dyDescent="0.25">
      <c r="A102" s="81" t="s">
        <v>14</v>
      </c>
      <c r="B102" s="64" t="str">
        <f ca="1">IFERROR(__xludf.DUMMYFUNCTION("""COMPUTED_VALUE"""),"Travel &amp; Lodging Expenses")</f>
        <v>Travel &amp; Lodging Expenses</v>
      </c>
      <c r="C102" s="64" t="str">
        <f ca="1">IFERROR(__xludf.DUMMYFUNCTION("""COMPUTED_VALUE"""),"Air fare")</f>
        <v>Air fare</v>
      </c>
      <c r="D102" s="290">
        <f ca="1">IFERROR(__xludf.DUMMYFUNCTION("""COMPUTED_VALUE"""),93103)</f>
        <v>93103</v>
      </c>
      <c r="E102" s="140">
        <f ca="1">IFERROR(__xludf.DUMMYFUNCTION("""COMPUTED_VALUE"""),324000)</f>
        <v>324000</v>
      </c>
      <c r="F102" s="140">
        <f ca="1">IFERROR(__xludf.DUMMYFUNCTION("""COMPUTED_VALUE"""),0)</f>
        <v>0</v>
      </c>
      <c r="G102" s="140">
        <f ca="1">IFERROR(__xludf.DUMMYFUNCTION("""COMPUTED_VALUE"""),36000)</f>
        <v>36000</v>
      </c>
      <c r="H102" s="140">
        <f ca="1">IFERROR(__xludf.DUMMYFUNCTION("""COMPUTED_VALUE"""),36000)</f>
        <v>36000</v>
      </c>
      <c r="I102" s="140">
        <f ca="1">IFERROR(__xludf.DUMMYFUNCTION("""COMPUTED_VALUE"""),36000)</f>
        <v>36000</v>
      </c>
      <c r="J102" s="140">
        <f ca="1">IFERROR(__xludf.DUMMYFUNCTION("""COMPUTED_VALUE"""),36000)</f>
        <v>36000</v>
      </c>
      <c r="K102" s="140">
        <f ca="1">IFERROR(__xludf.DUMMYFUNCTION("""COMPUTED_VALUE"""),36000)</f>
        <v>36000</v>
      </c>
      <c r="L102" s="140">
        <f ca="1">IFERROR(__xludf.DUMMYFUNCTION("""COMPUTED_VALUE"""),36000)</f>
        <v>36000</v>
      </c>
      <c r="M102" s="140">
        <f ca="1">IFERROR(__xludf.DUMMYFUNCTION("""COMPUTED_VALUE"""),36000)</f>
        <v>36000</v>
      </c>
      <c r="N102" s="140">
        <f ca="1">IFERROR(__xludf.DUMMYFUNCTION("""COMPUTED_VALUE"""),72000)</f>
        <v>72000</v>
      </c>
      <c r="O102" s="140">
        <f ca="1">IFERROR(__xludf.DUMMYFUNCTION("""COMPUTED_VALUE"""),0)</f>
        <v>0</v>
      </c>
      <c r="P102" s="140">
        <f ca="1">IFERROR(__xludf.DUMMYFUNCTION("""COMPUTED_VALUE"""),0)</f>
        <v>0</v>
      </c>
      <c r="Q102" s="288">
        <f ca="1">IFERROR(__xludf.DUMMYFUNCTION("""COMPUTED_VALUE"""),0)</f>
        <v>0</v>
      </c>
      <c r="R102" s="286"/>
      <c r="S102" s="291" t="e">
        <f ca="1">_xludf.ifs(A102="INDIA",E102/'Shared Summary by Dept_US$'!$B$31,A102="INDO",E102/'Shared Summary by Dept_US$'!$B$32,A102="BD",E102/'Shared Summary by Dept_US$'!$B$33,A102="Nepal",E102/'Shared Summary by Dept_US$'!$B$34,A102="US",E102/'Shared Summary by Dept_US$'!$B$35)</f>
        <v>#NAME?</v>
      </c>
      <c r="T102" s="292" t="s">
        <v>172</v>
      </c>
      <c r="U102" s="15"/>
      <c r="V102" s="15"/>
      <c r="W102" s="107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spans="1:34" ht="15.75" customHeight="1" x14ac:dyDescent="0.25">
      <c r="A103" s="81" t="s">
        <v>14</v>
      </c>
      <c r="B103" s="64" t="str">
        <f ca="1">IFERROR(__xludf.DUMMYFUNCTION("""COMPUTED_VALUE"""),"Travel &amp; Lodging Expenses")</f>
        <v>Travel &amp; Lodging Expenses</v>
      </c>
      <c r="C103" s="64" t="str">
        <f ca="1">IFERROR(__xludf.DUMMYFUNCTION("""COMPUTED_VALUE"""),"Cab/Auto")</f>
        <v>Cab/Auto</v>
      </c>
      <c r="D103" s="290">
        <f ca="1">IFERROR(__xludf.DUMMYFUNCTION("""COMPUTED_VALUE"""),93104)</f>
        <v>93104</v>
      </c>
      <c r="E103" s="140">
        <f ca="1">IFERROR(__xludf.DUMMYFUNCTION("""COMPUTED_VALUE"""),226800)</f>
        <v>226800</v>
      </c>
      <c r="F103" s="140">
        <f ca="1">IFERROR(__xludf.DUMMYFUNCTION("""COMPUTED_VALUE"""),0)</f>
        <v>0</v>
      </c>
      <c r="G103" s="140">
        <f ca="1">IFERROR(__xludf.DUMMYFUNCTION("""COMPUTED_VALUE"""),16800)</f>
        <v>16800</v>
      </c>
      <c r="H103" s="140">
        <f ca="1">IFERROR(__xludf.DUMMYFUNCTION("""COMPUTED_VALUE"""),25200)</f>
        <v>25200</v>
      </c>
      <c r="I103" s="140">
        <f ca="1">IFERROR(__xludf.DUMMYFUNCTION("""COMPUTED_VALUE"""),33600)</f>
        <v>33600</v>
      </c>
      <c r="J103" s="140">
        <f ca="1">IFERROR(__xludf.DUMMYFUNCTION("""COMPUTED_VALUE"""),16800)</f>
        <v>16800</v>
      </c>
      <c r="K103" s="140">
        <f ca="1">IFERROR(__xludf.DUMMYFUNCTION("""COMPUTED_VALUE"""),25200)</f>
        <v>25200</v>
      </c>
      <c r="L103" s="140">
        <f ca="1">IFERROR(__xludf.DUMMYFUNCTION("""COMPUTED_VALUE"""),33600)</f>
        <v>33600</v>
      </c>
      <c r="M103" s="140">
        <f ca="1">IFERROR(__xludf.DUMMYFUNCTION("""COMPUTED_VALUE"""),16800)</f>
        <v>16800</v>
      </c>
      <c r="N103" s="140">
        <f ca="1">IFERROR(__xludf.DUMMYFUNCTION("""COMPUTED_VALUE"""),58800)</f>
        <v>58800</v>
      </c>
      <c r="O103" s="140">
        <f ca="1">IFERROR(__xludf.DUMMYFUNCTION("""COMPUTED_VALUE"""),0)</f>
        <v>0</v>
      </c>
      <c r="P103" s="140">
        <f ca="1">IFERROR(__xludf.DUMMYFUNCTION("""COMPUTED_VALUE"""),0)</f>
        <v>0</v>
      </c>
      <c r="Q103" s="288">
        <f ca="1">IFERROR(__xludf.DUMMYFUNCTION("""COMPUTED_VALUE"""),0)</f>
        <v>0</v>
      </c>
      <c r="R103" s="286"/>
      <c r="S103" s="291" t="e">
        <f ca="1">_xludf.ifs(A103="INDIA",E103/'Shared Summary by Dept_US$'!$B$31,A103="INDO",E103/'Shared Summary by Dept_US$'!$B$32,A103="BD",E103/'Shared Summary by Dept_US$'!$B$33,A103="Nepal",E103/'Shared Summary by Dept_US$'!$B$34,A103="US",E103/'Shared Summary by Dept_US$'!$B$35)</f>
        <v>#NAME?</v>
      </c>
      <c r="T103" s="292" t="s">
        <v>172</v>
      </c>
      <c r="U103" s="15"/>
      <c r="V103" s="15"/>
      <c r="W103" s="107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spans="1:34" ht="15.75" customHeight="1" x14ac:dyDescent="0.25">
      <c r="A104" s="81" t="s">
        <v>14</v>
      </c>
      <c r="B104" s="64" t="str">
        <f ca="1">IFERROR(__xludf.DUMMYFUNCTION("""COMPUTED_VALUE"""),"Travel &amp; Lodging Expenses")</f>
        <v>Travel &amp; Lodging Expenses</v>
      </c>
      <c r="C104" s="64" t="str">
        <f ca="1">IFERROR(__xludf.DUMMYFUNCTION("""COMPUTED_VALUE"""),"Bus/Train")</f>
        <v>Bus/Train</v>
      </c>
      <c r="D104" s="290">
        <f ca="1">IFERROR(__xludf.DUMMYFUNCTION("""COMPUTED_VALUE"""),93105)</f>
        <v>93105</v>
      </c>
      <c r="E104" s="140">
        <f ca="1">IFERROR(__xludf.DUMMYFUNCTION("""COMPUTED_VALUE"""),27000)</f>
        <v>27000</v>
      </c>
      <c r="F104" s="140">
        <f ca="1">IFERROR(__xludf.DUMMYFUNCTION("""COMPUTED_VALUE"""),0)</f>
        <v>0</v>
      </c>
      <c r="G104" s="140">
        <f ca="1">IFERROR(__xludf.DUMMYFUNCTION("""COMPUTED_VALUE"""),3000)</f>
        <v>3000</v>
      </c>
      <c r="H104" s="140">
        <f ca="1">IFERROR(__xludf.DUMMYFUNCTION("""COMPUTED_VALUE"""),3000)</f>
        <v>3000</v>
      </c>
      <c r="I104" s="140">
        <f ca="1">IFERROR(__xludf.DUMMYFUNCTION("""COMPUTED_VALUE"""),3000)</f>
        <v>3000</v>
      </c>
      <c r="J104" s="140">
        <f ca="1">IFERROR(__xludf.DUMMYFUNCTION("""COMPUTED_VALUE"""),3000)</f>
        <v>3000</v>
      </c>
      <c r="K104" s="140">
        <f ca="1">IFERROR(__xludf.DUMMYFUNCTION("""COMPUTED_VALUE"""),3000)</f>
        <v>3000</v>
      </c>
      <c r="L104" s="140">
        <f ca="1">IFERROR(__xludf.DUMMYFUNCTION("""COMPUTED_VALUE"""),3000)</f>
        <v>3000</v>
      </c>
      <c r="M104" s="140">
        <f ca="1">IFERROR(__xludf.DUMMYFUNCTION("""COMPUTED_VALUE"""),3000)</f>
        <v>3000</v>
      </c>
      <c r="N104" s="140">
        <f ca="1">IFERROR(__xludf.DUMMYFUNCTION("""COMPUTED_VALUE"""),6000)</f>
        <v>6000</v>
      </c>
      <c r="O104" s="140">
        <f ca="1">IFERROR(__xludf.DUMMYFUNCTION("""COMPUTED_VALUE"""),0)</f>
        <v>0</v>
      </c>
      <c r="P104" s="140">
        <f ca="1">IFERROR(__xludf.DUMMYFUNCTION("""COMPUTED_VALUE"""),0)</f>
        <v>0</v>
      </c>
      <c r="Q104" s="288">
        <f ca="1">IFERROR(__xludf.DUMMYFUNCTION("""COMPUTED_VALUE"""),0)</f>
        <v>0</v>
      </c>
      <c r="R104" s="286"/>
      <c r="S104" s="291" t="e">
        <f ca="1">_xludf.ifs(A104="INDIA",E104/'Shared Summary by Dept_US$'!$B$31,A104="INDO",E104/'Shared Summary by Dept_US$'!$B$32,A104="BD",E104/'Shared Summary by Dept_US$'!$B$33,A104="Nepal",E104/'Shared Summary by Dept_US$'!$B$34,A104="US",E104/'Shared Summary by Dept_US$'!$B$35)</f>
        <v>#NAME?</v>
      </c>
      <c r="T104" s="292" t="s">
        <v>172</v>
      </c>
      <c r="U104" s="15"/>
      <c r="V104" s="15"/>
      <c r="W104" s="107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spans="1:34" ht="15.75" customHeight="1" x14ac:dyDescent="0.25">
      <c r="A105" s="81" t="s">
        <v>14</v>
      </c>
      <c r="B105" s="64" t="str">
        <f ca="1">IFERROR(__xludf.DUMMYFUNCTION("""COMPUTED_VALUE"""),"Travel &amp; Lodging Expenses")</f>
        <v>Travel &amp; Lodging Expenses</v>
      </c>
      <c r="C105" s="64" t="str">
        <f ca="1">IFERROR(__xludf.DUMMYFUNCTION("""COMPUTED_VALUE"""),"Other incidental travel costs")</f>
        <v>Other incidental travel costs</v>
      </c>
      <c r="D105" s="290">
        <f ca="1">IFERROR(__xludf.DUMMYFUNCTION("""COMPUTED_VALUE"""),93106)</f>
        <v>93106</v>
      </c>
      <c r="E105" s="140">
        <f ca="1">IFERROR(__xludf.DUMMYFUNCTION("""COMPUTED_VALUE"""),12600)</f>
        <v>12600</v>
      </c>
      <c r="F105" s="140">
        <f ca="1">IFERROR(__xludf.DUMMYFUNCTION("""COMPUTED_VALUE"""),0)</f>
        <v>0</v>
      </c>
      <c r="G105" s="140">
        <f ca="1">IFERROR(__xludf.DUMMYFUNCTION("""COMPUTED_VALUE"""),1400)</f>
        <v>1400</v>
      </c>
      <c r="H105" s="140">
        <f ca="1">IFERROR(__xludf.DUMMYFUNCTION("""COMPUTED_VALUE"""),1400)</f>
        <v>1400</v>
      </c>
      <c r="I105" s="140">
        <f ca="1">IFERROR(__xludf.DUMMYFUNCTION("""COMPUTED_VALUE"""),1400)</f>
        <v>1400</v>
      </c>
      <c r="J105" s="140">
        <f ca="1">IFERROR(__xludf.DUMMYFUNCTION("""COMPUTED_VALUE"""),1400)</f>
        <v>1400</v>
      </c>
      <c r="K105" s="140">
        <f ca="1">IFERROR(__xludf.DUMMYFUNCTION("""COMPUTED_VALUE"""),1400)</f>
        <v>1400</v>
      </c>
      <c r="L105" s="140">
        <f ca="1">IFERROR(__xludf.DUMMYFUNCTION("""COMPUTED_VALUE"""),1400)</f>
        <v>1400</v>
      </c>
      <c r="M105" s="140">
        <f ca="1">IFERROR(__xludf.DUMMYFUNCTION("""COMPUTED_VALUE"""),1400)</f>
        <v>1400</v>
      </c>
      <c r="N105" s="140">
        <f ca="1">IFERROR(__xludf.DUMMYFUNCTION("""COMPUTED_VALUE"""),2800)</f>
        <v>2800</v>
      </c>
      <c r="O105" s="140">
        <f ca="1">IFERROR(__xludf.DUMMYFUNCTION("""COMPUTED_VALUE"""),0)</f>
        <v>0</v>
      </c>
      <c r="P105" s="140">
        <f ca="1">IFERROR(__xludf.DUMMYFUNCTION("""COMPUTED_VALUE"""),0)</f>
        <v>0</v>
      </c>
      <c r="Q105" s="288">
        <f ca="1">IFERROR(__xludf.DUMMYFUNCTION("""COMPUTED_VALUE"""),0)</f>
        <v>0</v>
      </c>
      <c r="R105" s="286"/>
      <c r="S105" s="291" t="e">
        <f ca="1">_xludf.ifs(A105="INDIA",E105/'Shared Summary by Dept_US$'!$B$31,A105="INDO",E105/'Shared Summary by Dept_US$'!$B$32,A105="BD",E105/'Shared Summary by Dept_US$'!$B$33,A105="Nepal",E105/'Shared Summary by Dept_US$'!$B$34,A105="US",E105/'Shared Summary by Dept_US$'!$B$35)</f>
        <v>#NAME?</v>
      </c>
      <c r="T105" s="292" t="s">
        <v>172</v>
      </c>
      <c r="U105" s="15"/>
      <c r="V105" s="15"/>
      <c r="W105" s="107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spans="1:34" ht="15.75" customHeight="1" x14ac:dyDescent="0.25">
      <c r="A106" s="81" t="s">
        <v>14</v>
      </c>
      <c r="B106" s="64" t="str">
        <f ca="1">IFERROR(__xludf.DUMMYFUNCTION("""COMPUTED_VALUE"""),"Supplies &amp; Printing Costs")</f>
        <v>Supplies &amp; Printing Costs</v>
      </c>
      <c r="C106" s="64" t="str">
        <f ca="1">IFERROR(__xludf.DUMMYFUNCTION("""COMPUTED_VALUE"""),"Other Direct Expenses")</f>
        <v>Other Direct Expenses</v>
      </c>
      <c r="D106" s="290">
        <f ca="1">IFERROR(__xludf.DUMMYFUNCTION("""COMPUTED_VALUE"""),93201)</f>
        <v>93201</v>
      </c>
      <c r="E106" s="140">
        <f ca="1">IFERROR(__xludf.DUMMYFUNCTION("""COMPUTED_VALUE"""),500000)</f>
        <v>500000</v>
      </c>
      <c r="F106" s="140">
        <f ca="1">IFERROR(__xludf.DUMMYFUNCTION("""COMPUTED_VALUE"""),0)</f>
        <v>0</v>
      </c>
      <c r="G106" s="140">
        <f ca="1">IFERROR(__xludf.DUMMYFUNCTION("""COMPUTED_VALUE"""),0)</f>
        <v>0</v>
      </c>
      <c r="H106" s="140">
        <f ca="1">IFERROR(__xludf.DUMMYFUNCTION("""COMPUTED_VALUE"""),200000)</f>
        <v>200000</v>
      </c>
      <c r="I106" s="140">
        <f ca="1">IFERROR(__xludf.DUMMYFUNCTION("""COMPUTED_VALUE"""),0)</f>
        <v>0</v>
      </c>
      <c r="J106" s="140">
        <f ca="1">IFERROR(__xludf.DUMMYFUNCTION("""COMPUTED_VALUE"""),100000)</f>
        <v>100000</v>
      </c>
      <c r="K106" s="140">
        <f ca="1">IFERROR(__xludf.DUMMYFUNCTION("""COMPUTED_VALUE"""),0)</f>
        <v>0</v>
      </c>
      <c r="L106" s="140">
        <f ca="1">IFERROR(__xludf.DUMMYFUNCTION("""COMPUTED_VALUE"""),100000)</f>
        <v>100000</v>
      </c>
      <c r="M106" s="140">
        <f ca="1">IFERROR(__xludf.DUMMYFUNCTION("""COMPUTED_VALUE"""),0)</f>
        <v>0</v>
      </c>
      <c r="N106" s="140">
        <f ca="1">IFERROR(__xludf.DUMMYFUNCTION("""COMPUTED_VALUE"""),100000)</f>
        <v>100000</v>
      </c>
      <c r="O106" s="140">
        <f ca="1">IFERROR(__xludf.DUMMYFUNCTION("""COMPUTED_VALUE"""),0)</f>
        <v>0</v>
      </c>
      <c r="P106" s="140">
        <f ca="1">IFERROR(__xludf.DUMMYFUNCTION("""COMPUTED_VALUE"""),0)</f>
        <v>0</v>
      </c>
      <c r="Q106" s="288">
        <f ca="1">IFERROR(__xludf.DUMMYFUNCTION("""COMPUTED_VALUE"""),0)</f>
        <v>0</v>
      </c>
      <c r="R106" s="286"/>
      <c r="S106" s="291" t="e">
        <f ca="1">_xludf.ifs(A106="INDIA",E106/'Shared Summary by Dept_US$'!$B$31,A106="INDO",E106/'Shared Summary by Dept_US$'!$B$32,A106="BD",E106/'Shared Summary by Dept_US$'!$B$33,A106="Nepal",E106/'Shared Summary by Dept_US$'!$B$34,A106="US",E106/'Shared Summary by Dept_US$'!$B$35)</f>
        <v>#NAME?</v>
      </c>
      <c r="T106" s="292" t="s">
        <v>172</v>
      </c>
      <c r="U106" s="15"/>
      <c r="V106" s="15"/>
      <c r="W106" s="107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spans="1:34" ht="15.75" customHeight="1" x14ac:dyDescent="0.25">
      <c r="A107" s="81" t="s">
        <v>14</v>
      </c>
      <c r="B107" s="64" t="str">
        <f ca="1">IFERROR(__xludf.DUMMYFUNCTION("""COMPUTED_VALUE"""),"Supplies &amp; Printing Costs")</f>
        <v>Supplies &amp; Printing Costs</v>
      </c>
      <c r="C107" s="64" t="str">
        <f ca="1">IFERROR(__xludf.DUMMYFUNCTION("""COMPUTED_VALUE"""),"Printing expenses")</f>
        <v>Printing expenses</v>
      </c>
      <c r="D107" s="290">
        <f ca="1">IFERROR(__xludf.DUMMYFUNCTION("""COMPUTED_VALUE"""),93204)</f>
        <v>93204</v>
      </c>
      <c r="E107" s="140">
        <f ca="1">IFERROR(__xludf.DUMMYFUNCTION("""COMPUTED_VALUE"""),0)</f>
        <v>0</v>
      </c>
      <c r="F107" s="140">
        <f ca="1">IFERROR(__xludf.DUMMYFUNCTION("""COMPUTED_VALUE"""),0)</f>
        <v>0</v>
      </c>
      <c r="G107" s="140">
        <f ca="1">IFERROR(__xludf.DUMMYFUNCTION("""COMPUTED_VALUE"""),0)</f>
        <v>0</v>
      </c>
      <c r="H107" s="140">
        <f ca="1">IFERROR(__xludf.DUMMYFUNCTION("""COMPUTED_VALUE"""),0)</f>
        <v>0</v>
      </c>
      <c r="I107" s="140">
        <f ca="1">IFERROR(__xludf.DUMMYFUNCTION("""COMPUTED_VALUE"""),0)</f>
        <v>0</v>
      </c>
      <c r="J107" s="140">
        <f ca="1">IFERROR(__xludf.DUMMYFUNCTION("""COMPUTED_VALUE"""),0)</f>
        <v>0</v>
      </c>
      <c r="K107" s="140">
        <f ca="1">IFERROR(__xludf.DUMMYFUNCTION("""COMPUTED_VALUE"""),0)</f>
        <v>0</v>
      </c>
      <c r="L107" s="140">
        <f ca="1">IFERROR(__xludf.DUMMYFUNCTION("""COMPUTED_VALUE"""),0)</f>
        <v>0</v>
      </c>
      <c r="M107" s="140">
        <f ca="1">IFERROR(__xludf.DUMMYFUNCTION("""COMPUTED_VALUE"""),0)</f>
        <v>0</v>
      </c>
      <c r="N107" s="140">
        <f ca="1">IFERROR(__xludf.DUMMYFUNCTION("""COMPUTED_VALUE"""),0)</f>
        <v>0</v>
      </c>
      <c r="O107" s="140">
        <f ca="1">IFERROR(__xludf.DUMMYFUNCTION("""COMPUTED_VALUE"""),0)</f>
        <v>0</v>
      </c>
      <c r="P107" s="140">
        <f ca="1">IFERROR(__xludf.DUMMYFUNCTION("""COMPUTED_VALUE"""),0)</f>
        <v>0</v>
      </c>
      <c r="Q107" s="288">
        <f ca="1">IFERROR(__xludf.DUMMYFUNCTION("""COMPUTED_VALUE"""),0)</f>
        <v>0</v>
      </c>
      <c r="R107" s="286"/>
      <c r="S107" s="291" t="e">
        <f ca="1">_xludf.ifs(A107="INDIA",E107/'Shared Summary by Dept_US$'!$B$31,A107="INDO",E107/'Shared Summary by Dept_US$'!$B$32,A107="BD",E107/'Shared Summary by Dept_US$'!$B$33,A107="Nepal",E107/'Shared Summary by Dept_US$'!$B$34,A107="US",E107/'Shared Summary by Dept_US$'!$B$35)</f>
        <v>#NAME?</v>
      </c>
      <c r="T107" s="292" t="s">
        <v>172</v>
      </c>
      <c r="U107" s="15"/>
      <c r="V107" s="15"/>
      <c r="W107" s="107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spans="1:34" ht="15.75" customHeight="1" x14ac:dyDescent="0.25">
      <c r="A108" s="81" t="s">
        <v>14</v>
      </c>
      <c r="B108" s="64" t="str">
        <f ca="1">IFERROR(__xludf.DUMMYFUNCTION("""COMPUTED_VALUE"""),"Communication Cost")</f>
        <v>Communication Cost</v>
      </c>
      <c r="C108" s="64" t="str">
        <f ca="1">IFERROR(__xludf.DUMMYFUNCTION("""COMPUTED_VALUE"""),"Internet Expenses")</f>
        <v>Internet Expenses</v>
      </c>
      <c r="D108" s="290">
        <f ca="1">IFERROR(__xludf.DUMMYFUNCTION("""COMPUTED_VALUE"""),93301)</f>
        <v>93301</v>
      </c>
      <c r="E108" s="140">
        <f ca="1">IFERROR(__xludf.DUMMYFUNCTION("""COMPUTED_VALUE"""),0)</f>
        <v>0</v>
      </c>
      <c r="F108" s="140">
        <f ca="1">IFERROR(__xludf.DUMMYFUNCTION("""COMPUTED_VALUE"""),0)</f>
        <v>0</v>
      </c>
      <c r="G108" s="140">
        <f ca="1">IFERROR(__xludf.DUMMYFUNCTION("""COMPUTED_VALUE"""),0)</f>
        <v>0</v>
      </c>
      <c r="H108" s="140">
        <f ca="1">IFERROR(__xludf.DUMMYFUNCTION("""COMPUTED_VALUE"""),0)</f>
        <v>0</v>
      </c>
      <c r="I108" s="140">
        <f ca="1">IFERROR(__xludf.DUMMYFUNCTION("""COMPUTED_VALUE"""),0)</f>
        <v>0</v>
      </c>
      <c r="J108" s="140">
        <f ca="1">IFERROR(__xludf.DUMMYFUNCTION("""COMPUTED_VALUE"""),0)</f>
        <v>0</v>
      </c>
      <c r="K108" s="140">
        <f ca="1">IFERROR(__xludf.DUMMYFUNCTION("""COMPUTED_VALUE"""),0)</f>
        <v>0</v>
      </c>
      <c r="L108" s="140">
        <f ca="1">IFERROR(__xludf.DUMMYFUNCTION("""COMPUTED_VALUE"""),0)</f>
        <v>0</v>
      </c>
      <c r="M108" s="140">
        <f ca="1">IFERROR(__xludf.DUMMYFUNCTION("""COMPUTED_VALUE"""),0)</f>
        <v>0</v>
      </c>
      <c r="N108" s="140">
        <f ca="1">IFERROR(__xludf.DUMMYFUNCTION("""COMPUTED_VALUE"""),0)</f>
        <v>0</v>
      </c>
      <c r="O108" s="140">
        <f ca="1">IFERROR(__xludf.DUMMYFUNCTION("""COMPUTED_VALUE"""),0)</f>
        <v>0</v>
      </c>
      <c r="P108" s="140">
        <f ca="1">IFERROR(__xludf.DUMMYFUNCTION("""COMPUTED_VALUE"""),0)</f>
        <v>0</v>
      </c>
      <c r="Q108" s="288">
        <f ca="1">IFERROR(__xludf.DUMMYFUNCTION("""COMPUTED_VALUE"""),0)</f>
        <v>0</v>
      </c>
      <c r="R108" s="286"/>
      <c r="S108" s="291" t="e">
        <f ca="1">_xludf.ifs(A108="INDIA",E108/'Shared Summary by Dept_US$'!$B$31,A108="INDO",E108/'Shared Summary by Dept_US$'!$B$32,A108="BD",E108/'Shared Summary by Dept_US$'!$B$33,A108="Nepal",E108/'Shared Summary by Dept_US$'!$B$34,A108="US",E108/'Shared Summary by Dept_US$'!$B$35)</f>
        <v>#NAME?</v>
      </c>
      <c r="T108" s="292" t="s">
        <v>172</v>
      </c>
      <c r="U108" s="15"/>
      <c r="V108" s="15"/>
      <c r="W108" s="107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ht="15.75" customHeight="1" x14ac:dyDescent="0.25">
      <c r="A109" s="81" t="s">
        <v>14</v>
      </c>
      <c r="B109" s="64" t="str">
        <f ca="1">IFERROR(__xludf.DUMMYFUNCTION("""COMPUTED_VALUE"""),"Communication Cost")</f>
        <v>Communication Cost</v>
      </c>
      <c r="C109" s="64" t="str">
        <f ca="1">IFERROR(__xludf.DUMMYFUNCTION("""COMPUTED_VALUE"""),"Postage &amp; Courier Expenses")</f>
        <v>Postage &amp; Courier Expenses</v>
      </c>
      <c r="D109" s="290">
        <f ca="1">IFERROR(__xludf.DUMMYFUNCTION("""COMPUTED_VALUE"""),93302)</f>
        <v>93302</v>
      </c>
      <c r="E109" s="140">
        <f ca="1">IFERROR(__xludf.DUMMYFUNCTION("""COMPUTED_VALUE"""),0)</f>
        <v>0</v>
      </c>
      <c r="F109" s="140">
        <f ca="1">IFERROR(__xludf.DUMMYFUNCTION("""COMPUTED_VALUE"""),0)</f>
        <v>0</v>
      </c>
      <c r="G109" s="140">
        <f ca="1">IFERROR(__xludf.DUMMYFUNCTION("""COMPUTED_VALUE"""),0)</f>
        <v>0</v>
      </c>
      <c r="H109" s="140">
        <f ca="1">IFERROR(__xludf.DUMMYFUNCTION("""COMPUTED_VALUE"""),0)</f>
        <v>0</v>
      </c>
      <c r="I109" s="140">
        <f ca="1">IFERROR(__xludf.DUMMYFUNCTION("""COMPUTED_VALUE"""),0)</f>
        <v>0</v>
      </c>
      <c r="J109" s="140">
        <f ca="1">IFERROR(__xludf.DUMMYFUNCTION("""COMPUTED_VALUE"""),0)</f>
        <v>0</v>
      </c>
      <c r="K109" s="140">
        <f ca="1">IFERROR(__xludf.DUMMYFUNCTION("""COMPUTED_VALUE"""),0)</f>
        <v>0</v>
      </c>
      <c r="L109" s="140">
        <f ca="1">IFERROR(__xludf.DUMMYFUNCTION("""COMPUTED_VALUE"""),0)</f>
        <v>0</v>
      </c>
      <c r="M109" s="140">
        <f ca="1">IFERROR(__xludf.DUMMYFUNCTION("""COMPUTED_VALUE"""),0)</f>
        <v>0</v>
      </c>
      <c r="N109" s="140">
        <f ca="1">IFERROR(__xludf.DUMMYFUNCTION("""COMPUTED_VALUE"""),0)</f>
        <v>0</v>
      </c>
      <c r="O109" s="140">
        <f ca="1">IFERROR(__xludf.DUMMYFUNCTION("""COMPUTED_VALUE"""),0)</f>
        <v>0</v>
      </c>
      <c r="P109" s="140">
        <f ca="1">IFERROR(__xludf.DUMMYFUNCTION("""COMPUTED_VALUE"""),0)</f>
        <v>0</v>
      </c>
      <c r="Q109" s="288">
        <f ca="1">IFERROR(__xludf.DUMMYFUNCTION("""COMPUTED_VALUE"""),0)</f>
        <v>0</v>
      </c>
      <c r="R109" s="286"/>
      <c r="S109" s="291" t="e">
        <f ca="1">_xludf.ifs(A109="INDIA",E109/'Shared Summary by Dept_US$'!$B$31,A109="INDO",E109/'Shared Summary by Dept_US$'!$B$32,A109="BD",E109/'Shared Summary by Dept_US$'!$B$33,A109="Nepal",E109/'Shared Summary by Dept_US$'!$B$34,A109="US",E109/'Shared Summary by Dept_US$'!$B$35)</f>
        <v>#NAME?</v>
      </c>
      <c r="T109" s="292" t="s">
        <v>172</v>
      </c>
      <c r="U109" s="15"/>
      <c r="V109" s="15"/>
      <c r="W109" s="107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spans="1:34" ht="15.75" customHeight="1" x14ac:dyDescent="0.25">
      <c r="A110" s="81" t="s">
        <v>14</v>
      </c>
      <c r="B110" s="64" t="str">
        <f ca="1">IFERROR(__xludf.DUMMYFUNCTION("""COMPUTED_VALUE"""),"Communication Cost")</f>
        <v>Communication Cost</v>
      </c>
      <c r="C110" s="64" t="str">
        <f ca="1">IFERROR(__xludf.DUMMYFUNCTION("""COMPUTED_VALUE"""),"Telecommunication expenses")</f>
        <v>Telecommunication expenses</v>
      </c>
      <c r="D110" s="290">
        <f ca="1">IFERROR(__xludf.DUMMYFUNCTION("""COMPUTED_VALUE"""),93303)</f>
        <v>93303</v>
      </c>
      <c r="E110" s="140">
        <f ca="1">IFERROR(__xludf.DUMMYFUNCTION("""COMPUTED_VALUE"""),0)</f>
        <v>0</v>
      </c>
      <c r="F110" s="140">
        <f ca="1">IFERROR(__xludf.DUMMYFUNCTION("""COMPUTED_VALUE"""),0)</f>
        <v>0</v>
      </c>
      <c r="G110" s="140">
        <f ca="1">IFERROR(__xludf.DUMMYFUNCTION("""COMPUTED_VALUE"""),0)</f>
        <v>0</v>
      </c>
      <c r="H110" s="140">
        <f ca="1">IFERROR(__xludf.DUMMYFUNCTION("""COMPUTED_VALUE"""),0)</f>
        <v>0</v>
      </c>
      <c r="I110" s="140">
        <f ca="1">IFERROR(__xludf.DUMMYFUNCTION("""COMPUTED_VALUE"""),0)</f>
        <v>0</v>
      </c>
      <c r="J110" s="140">
        <f ca="1">IFERROR(__xludf.DUMMYFUNCTION("""COMPUTED_VALUE"""),0)</f>
        <v>0</v>
      </c>
      <c r="K110" s="140">
        <f ca="1">IFERROR(__xludf.DUMMYFUNCTION("""COMPUTED_VALUE"""),0)</f>
        <v>0</v>
      </c>
      <c r="L110" s="140">
        <f ca="1">IFERROR(__xludf.DUMMYFUNCTION("""COMPUTED_VALUE"""),0)</f>
        <v>0</v>
      </c>
      <c r="M110" s="140">
        <f ca="1">IFERROR(__xludf.DUMMYFUNCTION("""COMPUTED_VALUE"""),0)</f>
        <v>0</v>
      </c>
      <c r="N110" s="140">
        <f ca="1">IFERROR(__xludf.DUMMYFUNCTION("""COMPUTED_VALUE"""),0)</f>
        <v>0</v>
      </c>
      <c r="O110" s="140">
        <f ca="1">IFERROR(__xludf.DUMMYFUNCTION("""COMPUTED_VALUE"""),0)</f>
        <v>0</v>
      </c>
      <c r="P110" s="140">
        <f ca="1">IFERROR(__xludf.DUMMYFUNCTION("""COMPUTED_VALUE"""),0)</f>
        <v>0</v>
      </c>
      <c r="Q110" s="288">
        <f ca="1">IFERROR(__xludf.DUMMYFUNCTION("""COMPUTED_VALUE"""),0)</f>
        <v>0</v>
      </c>
      <c r="R110" s="286"/>
      <c r="S110" s="291" t="e">
        <f ca="1">_xludf.ifs(A110="INDIA",E110/'Shared Summary by Dept_US$'!$B$31,A110="INDO",E110/'Shared Summary by Dept_US$'!$B$32,A110="BD",E110/'Shared Summary by Dept_US$'!$B$33,A110="Nepal",E110/'Shared Summary by Dept_US$'!$B$34,A110="US",E110/'Shared Summary by Dept_US$'!$B$35)</f>
        <v>#NAME?</v>
      </c>
      <c r="T110" s="292" t="s">
        <v>172</v>
      </c>
      <c r="U110" s="15"/>
      <c r="V110" s="15"/>
      <c r="W110" s="107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spans="1:34" ht="15.75" customHeight="1" x14ac:dyDescent="0.25">
      <c r="A111" s="81" t="s">
        <v>14</v>
      </c>
      <c r="B111" s="64" t="str">
        <f ca="1">IFERROR(__xludf.DUMMYFUNCTION("""COMPUTED_VALUE"""),"Office Expenses")</f>
        <v>Office Expenses</v>
      </c>
      <c r="C111" s="64" t="str">
        <f ca="1">IFERROR(__xludf.DUMMYFUNCTION("""COMPUTED_VALUE"""),"Software and Subscriptions")</f>
        <v>Software and Subscriptions</v>
      </c>
      <c r="D111" s="290">
        <f ca="1">IFERROR(__xludf.DUMMYFUNCTION("""COMPUTED_VALUE"""),93401)</f>
        <v>93401</v>
      </c>
      <c r="E111" s="140">
        <f ca="1">IFERROR(__xludf.DUMMYFUNCTION("""COMPUTED_VALUE"""),0)</f>
        <v>0</v>
      </c>
      <c r="F111" s="140">
        <f ca="1">IFERROR(__xludf.DUMMYFUNCTION("""COMPUTED_VALUE"""),0)</f>
        <v>0</v>
      </c>
      <c r="G111" s="140">
        <f ca="1">IFERROR(__xludf.DUMMYFUNCTION("""COMPUTED_VALUE"""),0)</f>
        <v>0</v>
      </c>
      <c r="H111" s="140">
        <f ca="1">IFERROR(__xludf.DUMMYFUNCTION("""COMPUTED_VALUE"""),0)</f>
        <v>0</v>
      </c>
      <c r="I111" s="140">
        <f ca="1">IFERROR(__xludf.DUMMYFUNCTION("""COMPUTED_VALUE"""),0)</f>
        <v>0</v>
      </c>
      <c r="J111" s="140">
        <f ca="1">IFERROR(__xludf.DUMMYFUNCTION("""COMPUTED_VALUE"""),0)</f>
        <v>0</v>
      </c>
      <c r="K111" s="140">
        <f ca="1">IFERROR(__xludf.DUMMYFUNCTION("""COMPUTED_VALUE"""),0)</f>
        <v>0</v>
      </c>
      <c r="L111" s="140">
        <f ca="1">IFERROR(__xludf.DUMMYFUNCTION("""COMPUTED_VALUE"""),0)</f>
        <v>0</v>
      </c>
      <c r="M111" s="140">
        <f ca="1">IFERROR(__xludf.DUMMYFUNCTION("""COMPUTED_VALUE"""),0)</f>
        <v>0</v>
      </c>
      <c r="N111" s="140">
        <f ca="1">IFERROR(__xludf.DUMMYFUNCTION("""COMPUTED_VALUE"""),0)</f>
        <v>0</v>
      </c>
      <c r="O111" s="140">
        <f ca="1">IFERROR(__xludf.DUMMYFUNCTION("""COMPUTED_VALUE"""),0)</f>
        <v>0</v>
      </c>
      <c r="P111" s="140">
        <f ca="1">IFERROR(__xludf.DUMMYFUNCTION("""COMPUTED_VALUE"""),0)</f>
        <v>0</v>
      </c>
      <c r="Q111" s="288">
        <f ca="1">IFERROR(__xludf.DUMMYFUNCTION("""COMPUTED_VALUE"""),0)</f>
        <v>0</v>
      </c>
      <c r="R111" s="286"/>
      <c r="S111" s="291" t="e">
        <f ca="1">_xludf.ifs(A111="INDIA",E111/'Shared Summary by Dept_US$'!$B$31,A111="INDO",E111/'Shared Summary by Dept_US$'!$B$32,A111="BD",E111/'Shared Summary by Dept_US$'!$B$33,A111="Nepal",E111/'Shared Summary by Dept_US$'!$B$34,A111="US",E111/'Shared Summary by Dept_US$'!$B$35)</f>
        <v>#NAME?</v>
      </c>
      <c r="T111" s="292" t="s">
        <v>172</v>
      </c>
      <c r="U111" s="15"/>
      <c r="V111" s="15"/>
      <c r="W111" s="107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ht="15.75" customHeight="1" x14ac:dyDescent="0.25">
      <c r="A112" s="81" t="s">
        <v>14</v>
      </c>
      <c r="B112" s="64" t="str">
        <f ca="1">IFERROR(__xludf.DUMMYFUNCTION("""COMPUTED_VALUE"""),"Office Expenses")</f>
        <v>Office Expenses</v>
      </c>
      <c r="C112" s="64" t="str">
        <f ca="1">IFERROR(__xludf.DUMMYFUNCTION("""COMPUTED_VALUE"""),"Stationery &amp; Consumables")</f>
        <v>Stationery &amp; Consumables</v>
      </c>
      <c r="D112" s="290">
        <f ca="1">IFERROR(__xludf.DUMMYFUNCTION("""COMPUTED_VALUE"""),93404)</f>
        <v>93404</v>
      </c>
      <c r="E112" s="140">
        <f ca="1">IFERROR(__xludf.DUMMYFUNCTION("""COMPUTED_VALUE"""),0)</f>
        <v>0</v>
      </c>
      <c r="F112" s="140">
        <f ca="1">IFERROR(__xludf.DUMMYFUNCTION("""COMPUTED_VALUE"""),0)</f>
        <v>0</v>
      </c>
      <c r="G112" s="140">
        <f ca="1">IFERROR(__xludf.DUMMYFUNCTION("""COMPUTED_VALUE"""),0)</f>
        <v>0</v>
      </c>
      <c r="H112" s="140">
        <f ca="1">IFERROR(__xludf.DUMMYFUNCTION("""COMPUTED_VALUE"""),0)</f>
        <v>0</v>
      </c>
      <c r="I112" s="140">
        <f ca="1">IFERROR(__xludf.DUMMYFUNCTION("""COMPUTED_VALUE"""),0)</f>
        <v>0</v>
      </c>
      <c r="J112" s="140">
        <f ca="1">IFERROR(__xludf.DUMMYFUNCTION("""COMPUTED_VALUE"""),0)</f>
        <v>0</v>
      </c>
      <c r="K112" s="140">
        <f ca="1">IFERROR(__xludf.DUMMYFUNCTION("""COMPUTED_VALUE"""),0)</f>
        <v>0</v>
      </c>
      <c r="L112" s="140">
        <f ca="1">IFERROR(__xludf.DUMMYFUNCTION("""COMPUTED_VALUE"""),0)</f>
        <v>0</v>
      </c>
      <c r="M112" s="140">
        <f ca="1">IFERROR(__xludf.DUMMYFUNCTION("""COMPUTED_VALUE"""),0)</f>
        <v>0</v>
      </c>
      <c r="N112" s="140">
        <f ca="1">IFERROR(__xludf.DUMMYFUNCTION("""COMPUTED_VALUE"""),0)</f>
        <v>0</v>
      </c>
      <c r="O112" s="140">
        <f ca="1">IFERROR(__xludf.DUMMYFUNCTION("""COMPUTED_VALUE"""),0)</f>
        <v>0</v>
      </c>
      <c r="P112" s="140">
        <f ca="1">IFERROR(__xludf.DUMMYFUNCTION("""COMPUTED_VALUE"""),0)</f>
        <v>0</v>
      </c>
      <c r="Q112" s="288">
        <f ca="1">IFERROR(__xludf.DUMMYFUNCTION("""COMPUTED_VALUE"""),0)</f>
        <v>0</v>
      </c>
      <c r="R112" s="286"/>
      <c r="S112" s="291" t="e">
        <f ca="1">_xludf.ifs(A112="INDIA",E112/'Shared Summary by Dept_US$'!$B$31,A112="INDO",E112/'Shared Summary by Dept_US$'!$B$32,A112="BD",E112/'Shared Summary by Dept_US$'!$B$33,A112="Nepal",E112/'Shared Summary by Dept_US$'!$B$34,A112="US",E112/'Shared Summary by Dept_US$'!$B$35)</f>
        <v>#NAME?</v>
      </c>
      <c r="T112" s="292" t="s">
        <v>172</v>
      </c>
      <c r="U112" s="15"/>
      <c r="V112" s="15"/>
      <c r="W112" s="107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spans="1:34" ht="15.75" customHeight="1" x14ac:dyDescent="0.25">
      <c r="A113" s="81" t="s">
        <v>14</v>
      </c>
      <c r="B113" s="64" t="str">
        <f ca="1">IFERROR(__xludf.DUMMYFUNCTION("""COMPUTED_VALUE"""),"Office Expenses")</f>
        <v>Office Expenses</v>
      </c>
      <c r="C113" s="64" t="str">
        <f ca="1">IFERROR(__xludf.DUMMYFUNCTION("""COMPUTED_VALUE"""),"Office Equipment Expense")</f>
        <v>Office Equipment Expense</v>
      </c>
      <c r="D113" s="290">
        <f ca="1">IFERROR(__xludf.DUMMYFUNCTION("""COMPUTED_VALUE"""),93405)</f>
        <v>93405</v>
      </c>
      <c r="E113" s="140">
        <f ca="1">IFERROR(__xludf.DUMMYFUNCTION("""COMPUTED_VALUE"""),0)</f>
        <v>0</v>
      </c>
      <c r="F113" s="140">
        <f ca="1">IFERROR(__xludf.DUMMYFUNCTION("""COMPUTED_VALUE"""),0)</f>
        <v>0</v>
      </c>
      <c r="G113" s="140">
        <f ca="1">IFERROR(__xludf.DUMMYFUNCTION("""COMPUTED_VALUE"""),0)</f>
        <v>0</v>
      </c>
      <c r="H113" s="140">
        <f ca="1">IFERROR(__xludf.DUMMYFUNCTION("""COMPUTED_VALUE"""),0)</f>
        <v>0</v>
      </c>
      <c r="I113" s="140">
        <f ca="1">IFERROR(__xludf.DUMMYFUNCTION("""COMPUTED_VALUE"""),0)</f>
        <v>0</v>
      </c>
      <c r="J113" s="140">
        <f ca="1">IFERROR(__xludf.DUMMYFUNCTION("""COMPUTED_VALUE"""),0)</f>
        <v>0</v>
      </c>
      <c r="K113" s="140">
        <f ca="1">IFERROR(__xludf.DUMMYFUNCTION("""COMPUTED_VALUE"""),0)</f>
        <v>0</v>
      </c>
      <c r="L113" s="140">
        <f ca="1">IFERROR(__xludf.DUMMYFUNCTION("""COMPUTED_VALUE"""),0)</f>
        <v>0</v>
      </c>
      <c r="M113" s="140">
        <f ca="1">IFERROR(__xludf.DUMMYFUNCTION("""COMPUTED_VALUE"""),0)</f>
        <v>0</v>
      </c>
      <c r="N113" s="140">
        <f ca="1">IFERROR(__xludf.DUMMYFUNCTION("""COMPUTED_VALUE"""),0)</f>
        <v>0</v>
      </c>
      <c r="O113" s="140">
        <f ca="1">IFERROR(__xludf.DUMMYFUNCTION("""COMPUTED_VALUE"""),0)</f>
        <v>0</v>
      </c>
      <c r="P113" s="140">
        <f ca="1">IFERROR(__xludf.DUMMYFUNCTION("""COMPUTED_VALUE"""),0)</f>
        <v>0</v>
      </c>
      <c r="Q113" s="288">
        <f ca="1">IFERROR(__xludf.DUMMYFUNCTION("""COMPUTED_VALUE"""),0)</f>
        <v>0</v>
      </c>
      <c r="R113" s="286"/>
      <c r="S113" s="291" t="e">
        <f ca="1">_xludf.ifs(A113="INDIA",E113/'Shared Summary by Dept_US$'!$B$31,A113="INDO",E113/'Shared Summary by Dept_US$'!$B$32,A113="BD",E113/'Shared Summary by Dept_US$'!$B$33,A113="Nepal",E113/'Shared Summary by Dept_US$'!$B$34,A113="US",E113/'Shared Summary by Dept_US$'!$B$35)</f>
        <v>#NAME?</v>
      </c>
      <c r="T113" s="292" t="s">
        <v>172</v>
      </c>
      <c r="U113" s="15"/>
      <c r="V113" s="15"/>
      <c r="W113" s="107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spans="1:34" ht="15.75" customHeight="1" x14ac:dyDescent="0.25">
      <c r="A114" s="81" t="s">
        <v>14</v>
      </c>
      <c r="B114" s="64" t="str">
        <f ca="1">IFERROR(__xludf.DUMMYFUNCTION("""COMPUTED_VALUE"""),"Professional &amp; Consultancy Charges")</f>
        <v>Professional &amp; Consultancy Charges</v>
      </c>
      <c r="C114" s="64" t="str">
        <f ca="1">IFERROR(__xludf.DUMMYFUNCTION("""COMPUTED_VALUE"""),"Admin Consultants")</f>
        <v>Admin Consultants</v>
      </c>
      <c r="D114" s="290">
        <f ca="1">IFERROR(__xludf.DUMMYFUNCTION("""COMPUTED_VALUE"""),93703)</f>
        <v>93703</v>
      </c>
      <c r="E114" s="140">
        <f ca="1">IFERROR(__xludf.DUMMYFUNCTION("""COMPUTED_VALUE"""),0)</f>
        <v>0</v>
      </c>
      <c r="F114" s="140">
        <f ca="1">IFERROR(__xludf.DUMMYFUNCTION("""COMPUTED_VALUE"""),0)</f>
        <v>0</v>
      </c>
      <c r="G114" s="140">
        <f ca="1">IFERROR(__xludf.DUMMYFUNCTION("""COMPUTED_VALUE"""),0)</f>
        <v>0</v>
      </c>
      <c r="H114" s="140">
        <f ca="1">IFERROR(__xludf.DUMMYFUNCTION("""COMPUTED_VALUE"""),0)</f>
        <v>0</v>
      </c>
      <c r="I114" s="140">
        <f ca="1">IFERROR(__xludf.DUMMYFUNCTION("""COMPUTED_VALUE"""),0)</f>
        <v>0</v>
      </c>
      <c r="J114" s="140">
        <f ca="1">IFERROR(__xludf.DUMMYFUNCTION("""COMPUTED_VALUE"""),0)</f>
        <v>0</v>
      </c>
      <c r="K114" s="140">
        <f ca="1">IFERROR(__xludf.DUMMYFUNCTION("""COMPUTED_VALUE"""),0)</f>
        <v>0</v>
      </c>
      <c r="L114" s="140">
        <f ca="1">IFERROR(__xludf.DUMMYFUNCTION("""COMPUTED_VALUE"""),0)</f>
        <v>0</v>
      </c>
      <c r="M114" s="140">
        <f ca="1">IFERROR(__xludf.DUMMYFUNCTION("""COMPUTED_VALUE"""),0)</f>
        <v>0</v>
      </c>
      <c r="N114" s="140">
        <f ca="1">IFERROR(__xludf.DUMMYFUNCTION("""COMPUTED_VALUE"""),0)</f>
        <v>0</v>
      </c>
      <c r="O114" s="140">
        <f ca="1">IFERROR(__xludf.DUMMYFUNCTION("""COMPUTED_VALUE"""),0)</f>
        <v>0</v>
      </c>
      <c r="P114" s="140">
        <f ca="1">IFERROR(__xludf.DUMMYFUNCTION("""COMPUTED_VALUE"""),0)</f>
        <v>0</v>
      </c>
      <c r="Q114" s="288">
        <f ca="1">IFERROR(__xludf.DUMMYFUNCTION("""COMPUTED_VALUE"""),0)</f>
        <v>0</v>
      </c>
      <c r="R114" s="286"/>
      <c r="S114" s="291" t="e">
        <f ca="1">_xludf.ifs(A114="INDIA",E114/'Shared Summary by Dept_US$'!$B$31,A114="INDO",E114/'Shared Summary by Dept_US$'!$B$32,A114="BD",E114/'Shared Summary by Dept_US$'!$B$33,A114="Nepal",E114/'Shared Summary by Dept_US$'!$B$34,A114="US",E114/'Shared Summary by Dept_US$'!$B$35)</f>
        <v>#NAME?</v>
      </c>
      <c r="T114" s="292" t="s">
        <v>172</v>
      </c>
      <c r="U114" s="15"/>
      <c r="V114" s="15"/>
      <c r="W114" s="107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spans="1:34" ht="15.75" customHeight="1" x14ac:dyDescent="0.25">
      <c r="A115" s="81" t="s">
        <v>14</v>
      </c>
      <c r="B115" s="64" t="str">
        <f ca="1">IFERROR(__xludf.DUMMYFUNCTION("""COMPUTED_VALUE"""),"Supplies &amp; Printing Costs")</f>
        <v>Supplies &amp; Printing Costs</v>
      </c>
      <c r="C115" s="64" t="str">
        <f ca="1">IFERROR(__xludf.DUMMYFUNCTION("""COMPUTED_VALUE"""),"RES (Exotel Expensess)")</f>
        <v>RES (Exotel Expensess)</v>
      </c>
      <c r="D115" s="290">
        <f ca="1">IFERROR(__xludf.DUMMYFUNCTION("""COMPUTED_VALUE"""),93202)</f>
        <v>93202</v>
      </c>
      <c r="E115" s="140">
        <f ca="1">IFERROR(__xludf.DUMMYFUNCTION("""COMPUTED_VALUE"""),0)</f>
        <v>0</v>
      </c>
      <c r="F115" s="140">
        <f ca="1">IFERROR(__xludf.DUMMYFUNCTION("""COMPUTED_VALUE"""),0)</f>
        <v>0</v>
      </c>
      <c r="G115" s="140">
        <f ca="1">IFERROR(__xludf.DUMMYFUNCTION("""COMPUTED_VALUE"""),0)</f>
        <v>0</v>
      </c>
      <c r="H115" s="140">
        <f ca="1">IFERROR(__xludf.DUMMYFUNCTION("""COMPUTED_VALUE"""),0)</f>
        <v>0</v>
      </c>
      <c r="I115" s="140">
        <f ca="1">IFERROR(__xludf.DUMMYFUNCTION("""COMPUTED_VALUE"""),0)</f>
        <v>0</v>
      </c>
      <c r="J115" s="140">
        <f ca="1">IFERROR(__xludf.DUMMYFUNCTION("""COMPUTED_VALUE"""),0)</f>
        <v>0</v>
      </c>
      <c r="K115" s="140">
        <f ca="1">IFERROR(__xludf.DUMMYFUNCTION("""COMPUTED_VALUE"""),0)</f>
        <v>0</v>
      </c>
      <c r="L115" s="140">
        <f ca="1">IFERROR(__xludf.DUMMYFUNCTION("""COMPUTED_VALUE"""),0)</f>
        <v>0</v>
      </c>
      <c r="M115" s="140">
        <f ca="1">IFERROR(__xludf.DUMMYFUNCTION("""COMPUTED_VALUE"""),0)</f>
        <v>0</v>
      </c>
      <c r="N115" s="140">
        <f ca="1">IFERROR(__xludf.DUMMYFUNCTION("""COMPUTED_VALUE"""),0)</f>
        <v>0</v>
      </c>
      <c r="O115" s="140">
        <f ca="1">IFERROR(__xludf.DUMMYFUNCTION("""COMPUTED_VALUE"""),0)</f>
        <v>0</v>
      </c>
      <c r="P115" s="140">
        <f ca="1">IFERROR(__xludf.DUMMYFUNCTION("""COMPUTED_VALUE"""),0)</f>
        <v>0</v>
      </c>
      <c r="Q115" s="288">
        <f ca="1">IFERROR(__xludf.DUMMYFUNCTION("""COMPUTED_VALUE"""),0)</f>
        <v>0</v>
      </c>
      <c r="R115" s="286"/>
      <c r="S115" s="291" t="e">
        <f ca="1">_xludf.ifs(A115="INDIA",E115/'Shared Summary by Dept_US$'!$B$31,A115="INDO",E115/'Shared Summary by Dept_US$'!$B$32,A115="BD",E115/'Shared Summary by Dept_US$'!$B$33,A115="Nepal",E115/'Shared Summary by Dept_US$'!$B$34,A115="US",E115/'Shared Summary by Dept_US$'!$B$35)</f>
        <v>#NAME?</v>
      </c>
      <c r="T115" s="292" t="s">
        <v>172</v>
      </c>
      <c r="U115" s="15"/>
      <c r="V115" s="15"/>
      <c r="W115" s="107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spans="1:34" ht="15.75" customHeight="1" x14ac:dyDescent="0.25">
      <c r="A116" s="81" t="s">
        <v>14</v>
      </c>
      <c r="B116" s="64" t="str">
        <f ca="1">IFERROR(__xludf.DUMMYFUNCTION("""COMPUTED_VALUE"""),"Fixed Assets")</f>
        <v>Fixed Assets</v>
      </c>
      <c r="C116" s="64" t="str">
        <f ca="1">IFERROR(__xludf.DUMMYFUNCTION("""COMPUTED_VALUE"""),"Laptop/ Printer")</f>
        <v>Laptop/ Printer</v>
      </c>
      <c r="D116" s="290">
        <f ca="1">IFERROR(__xludf.DUMMYFUNCTION("""COMPUTED_VALUE"""),11301)</f>
        <v>11301</v>
      </c>
      <c r="E116" s="140">
        <f ca="1">IFERROR(__xludf.DUMMYFUNCTION("""COMPUTED_VALUE"""),980000)</f>
        <v>980000</v>
      </c>
      <c r="F116" s="140">
        <f ca="1">IFERROR(__xludf.DUMMYFUNCTION("""COMPUTED_VALUE"""),0)</f>
        <v>0</v>
      </c>
      <c r="G116" s="140">
        <f ca="1">IFERROR(__xludf.DUMMYFUNCTION("""COMPUTED_VALUE"""),0)</f>
        <v>0</v>
      </c>
      <c r="H116" s="140">
        <f ca="1">IFERROR(__xludf.DUMMYFUNCTION("""COMPUTED_VALUE"""),0)</f>
        <v>0</v>
      </c>
      <c r="I116" s="140">
        <f ca="1">IFERROR(__xludf.DUMMYFUNCTION("""COMPUTED_VALUE"""),980000)</f>
        <v>980000</v>
      </c>
      <c r="J116" s="140">
        <f ca="1">IFERROR(__xludf.DUMMYFUNCTION("""COMPUTED_VALUE"""),0)</f>
        <v>0</v>
      </c>
      <c r="K116" s="140">
        <f ca="1">IFERROR(__xludf.DUMMYFUNCTION("""COMPUTED_VALUE"""),0)</f>
        <v>0</v>
      </c>
      <c r="L116" s="140">
        <f ca="1">IFERROR(__xludf.DUMMYFUNCTION("""COMPUTED_VALUE"""),0)</f>
        <v>0</v>
      </c>
      <c r="M116" s="140">
        <f ca="1">IFERROR(__xludf.DUMMYFUNCTION("""COMPUTED_VALUE"""),0)</f>
        <v>0</v>
      </c>
      <c r="N116" s="140">
        <f ca="1">IFERROR(__xludf.DUMMYFUNCTION("""COMPUTED_VALUE"""),0)</f>
        <v>0</v>
      </c>
      <c r="O116" s="140">
        <f ca="1">IFERROR(__xludf.DUMMYFUNCTION("""COMPUTED_VALUE"""),0)</f>
        <v>0</v>
      </c>
      <c r="P116" s="140">
        <f ca="1">IFERROR(__xludf.DUMMYFUNCTION("""COMPUTED_VALUE"""),0)</f>
        <v>0</v>
      </c>
      <c r="Q116" s="288">
        <f ca="1">IFERROR(__xludf.DUMMYFUNCTION("""COMPUTED_VALUE"""),0)</f>
        <v>0</v>
      </c>
      <c r="R116" s="286"/>
      <c r="S116" s="291" t="e">
        <f ca="1">_xludf.ifs(A116="INDIA",E116/'Shared Summary by Dept_US$'!$B$31,A116="INDO",E116/'Shared Summary by Dept_US$'!$B$32,A116="BD",E116/'Shared Summary by Dept_US$'!$B$33,A116="Nepal",E116/'Shared Summary by Dept_US$'!$B$34,A116="US",E116/'Shared Summary by Dept_US$'!$B$35)</f>
        <v>#NAME?</v>
      </c>
      <c r="T116" s="292" t="s">
        <v>172</v>
      </c>
      <c r="U116" s="15"/>
      <c r="V116" s="15"/>
      <c r="W116" s="107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spans="1:34" ht="15.75" customHeight="1" x14ac:dyDescent="0.25">
      <c r="A117" s="81" t="s">
        <v>14</v>
      </c>
      <c r="B117" s="64" t="str">
        <f ca="1">IFERROR(__xludf.DUMMYFUNCTION("""COMPUTED_VALUE"""),"Salaries and Wages")</f>
        <v>Salaries and Wages</v>
      </c>
      <c r="C117" s="64" t="str">
        <f ca="1">IFERROR(__xludf.DUMMYFUNCTION("""COMPUTED_VALUE"""),"Salaries and Wages")</f>
        <v>Salaries and Wages</v>
      </c>
      <c r="D117" s="290"/>
      <c r="E117" s="140">
        <f ca="1">IFERROR(__xludf.DUMMYFUNCTION("""COMPUTED_VALUE"""),1599999.99999999)</f>
        <v>1599999.99999999</v>
      </c>
      <c r="F117" s="140">
        <f ca="1">IFERROR(__xludf.DUMMYFUNCTION("""COMPUTED_VALUE"""),133333.333333333)</f>
        <v>133333.33333333299</v>
      </c>
      <c r="G117" s="140">
        <f ca="1">IFERROR(__xludf.DUMMYFUNCTION("""COMPUTED_VALUE"""),133333.333333333)</f>
        <v>133333.33333333299</v>
      </c>
      <c r="H117" s="140">
        <f ca="1">IFERROR(__xludf.DUMMYFUNCTION("""COMPUTED_VALUE"""),133333.333333333)</f>
        <v>133333.33333333299</v>
      </c>
      <c r="I117" s="140">
        <f ca="1">IFERROR(__xludf.DUMMYFUNCTION("""COMPUTED_VALUE"""),133333.333333333)</f>
        <v>133333.33333333299</v>
      </c>
      <c r="J117" s="140">
        <f ca="1">IFERROR(__xludf.DUMMYFUNCTION("""COMPUTED_VALUE"""),133333.333333333)</f>
        <v>133333.33333333299</v>
      </c>
      <c r="K117" s="140">
        <f ca="1">IFERROR(__xludf.DUMMYFUNCTION("""COMPUTED_VALUE"""),133333.333333333)</f>
        <v>133333.33333333299</v>
      </c>
      <c r="L117" s="140">
        <f ca="1">IFERROR(__xludf.DUMMYFUNCTION("""COMPUTED_VALUE"""),133333.333333333)</f>
        <v>133333.33333333299</v>
      </c>
      <c r="M117" s="140">
        <f ca="1">IFERROR(__xludf.DUMMYFUNCTION("""COMPUTED_VALUE"""),133333.333333333)</f>
        <v>133333.33333333299</v>
      </c>
      <c r="N117" s="140">
        <f ca="1">IFERROR(__xludf.DUMMYFUNCTION("""COMPUTED_VALUE"""),133333.333333333)</f>
        <v>133333.33333333299</v>
      </c>
      <c r="O117" s="140">
        <f ca="1">IFERROR(__xludf.DUMMYFUNCTION("""COMPUTED_VALUE"""),133333.333333333)</f>
        <v>133333.33333333299</v>
      </c>
      <c r="P117" s="140">
        <f ca="1">IFERROR(__xludf.DUMMYFUNCTION("""COMPUTED_VALUE"""),133333.333333333)</f>
        <v>133333.33333333299</v>
      </c>
      <c r="Q117" s="288">
        <f ca="1">IFERROR(__xludf.DUMMYFUNCTION("""COMPUTED_VALUE"""),133333.333333333)</f>
        <v>133333.33333333299</v>
      </c>
      <c r="R117" s="286"/>
      <c r="S117" s="291" t="e">
        <f ca="1">_xludf.ifs(A117="INDIA",E117/'Shared Summary by Dept_US$'!$B$31,A117="INDO",E117/'Shared Summary by Dept_US$'!$B$32,A117="BD",E117/'Shared Summary by Dept_US$'!$B$33,A117="Nepal",E117/'Shared Summary by Dept_US$'!$B$34,A117="US",E117/'Shared Summary by Dept_US$'!$B$35)</f>
        <v>#NAME?</v>
      </c>
      <c r="T117" s="292" t="s">
        <v>173</v>
      </c>
      <c r="U117" s="15"/>
      <c r="V117" s="15"/>
      <c r="W117" s="107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ht="15.75" customHeight="1" x14ac:dyDescent="0.25">
      <c r="A118" s="81" t="s">
        <v>14</v>
      </c>
      <c r="B118" s="64" t="str">
        <f ca="1">IFERROR(__xludf.DUMMYFUNCTION("""COMPUTED_VALUE"""),"Health and Retirement Benefits")</f>
        <v>Health and Retirement Benefits</v>
      </c>
      <c r="C118" s="64" t="str">
        <f ca="1">IFERROR(__xludf.DUMMYFUNCTION("""COMPUTED_VALUE"""),"Gratuity &amp; Bonus")</f>
        <v>Gratuity &amp; Bonus</v>
      </c>
      <c r="D118" s="290"/>
      <c r="E118" s="140">
        <f ca="1">IFERROR(__xludf.DUMMYFUNCTION("""COMPUTED_VALUE"""),0)</f>
        <v>0</v>
      </c>
      <c r="F118" s="140">
        <f ca="1">IFERROR(__xludf.DUMMYFUNCTION("""COMPUTED_VALUE"""),0)</f>
        <v>0</v>
      </c>
      <c r="G118" s="140">
        <f ca="1">IFERROR(__xludf.DUMMYFUNCTION("""COMPUTED_VALUE"""),0)</f>
        <v>0</v>
      </c>
      <c r="H118" s="140">
        <f ca="1">IFERROR(__xludf.DUMMYFUNCTION("""COMPUTED_VALUE"""),0)</f>
        <v>0</v>
      </c>
      <c r="I118" s="140">
        <f ca="1">IFERROR(__xludf.DUMMYFUNCTION("""COMPUTED_VALUE"""),0)</f>
        <v>0</v>
      </c>
      <c r="J118" s="140">
        <f ca="1">IFERROR(__xludf.DUMMYFUNCTION("""COMPUTED_VALUE"""),0)</f>
        <v>0</v>
      </c>
      <c r="K118" s="140">
        <f ca="1">IFERROR(__xludf.DUMMYFUNCTION("""COMPUTED_VALUE"""),0)</f>
        <v>0</v>
      </c>
      <c r="L118" s="140">
        <f ca="1">IFERROR(__xludf.DUMMYFUNCTION("""COMPUTED_VALUE"""),0)</f>
        <v>0</v>
      </c>
      <c r="M118" s="140">
        <f ca="1">IFERROR(__xludf.DUMMYFUNCTION("""COMPUTED_VALUE"""),0)</f>
        <v>0</v>
      </c>
      <c r="N118" s="140">
        <f ca="1">IFERROR(__xludf.DUMMYFUNCTION("""COMPUTED_VALUE"""),0)</f>
        <v>0</v>
      </c>
      <c r="O118" s="140">
        <f ca="1">IFERROR(__xludf.DUMMYFUNCTION("""COMPUTED_VALUE"""),0)</f>
        <v>0</v>
      </c>
      <c r="P118" s="140">
        <f ca="1">IFERROR(__xludf.DUMMYFUNCTION("""COMPUTED_VALUE"""),0)</f>
        <v>0</v>
      </c>
      <c r="Q118" s="288">
        <f ca="1">IFERROR(__xludf.DUMMYFUNCTION("""COMPUTED_VALUE"""),0)</f>
        <v>0</v>
      </c>
      <c r="R118" s="286"/>
      <c r="S118" s="291" t="e">
        <f ca="1">_xludf.ifs(A118="INDIA",E118/'Shared Summary by Dept_US$'!$B$31,A118="INDO",E118/'Shared Summary by Dept_US$'!$B$32,A118="BD",E118/'Shared Summary by Dept_US$'!$B$33,A118="Nepal",E118/'Shared Summary by Dept_US$'!$B$34,A118="US",E118/'Shared Summary by Dept_US$'!$B$35)</f>
        <v>#NAME?</v>
      </c>
      <c r="T118" s="292" t="s">
        <v>173</v>
      </c>
      <c r="U118" s="15"/>
      <c r="V118" s="15"/>
      <c r="W118" s="107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spans="1:34" ht="15.75" customHeight="1" x14ac:dyDescent="0.25">
      <c r="A119" s="81" t="s">
        <v>14</v>
      </c>
      <c r="B119" s="64" t="str">
        <f ca="1">IFERROR(__xludf.DUMMYFUNCTION("""COMPUTED_VALUE"""),"Other Staff Expenses")</f>
        <v>Other Staff Expenses</v>
      </c>
      <c r="C119" s="64" t="str">
        <f ca="1">IFERROR(__xludf.DUMMYFUNCTION("""COMPUTED_VALUE"""),"Staff Training, Learning &amp; Development Exp")</f>
        <v>Staff Training, Learning &amp; Development Exp</v>
      </c>
      <c r="D119" s="290">
        <f ca="1">IFERROR(__xludf.DUMMYFUNCTION("""COMPUTED_VALUE"""),91302)</f>
        <v>91302</v>
      </c>
      <c r="E119" s="140">
        <f ca="1">IFERROR(__xludf.DUMMYFUNCTION("""COMPUTED_VALUE"""),0)</f>
        <v>0</v>
      </c>
      <c r="F119" s="140">
        <f ca="1">IFERROR(__xludf.DUMMYFUNCTION("""COMPUTED_VALUE"""),0)</f>
        <v>0</v>
      </c>
      <c r="G119" s="140">
        <f ca="1">IFERROR(__xludf.DUMMYFUNCTION("""COMPUTED_VALUE"""),0)</f>
        <v>0</v>
      </c>
      <c r="H119" s="140">
        <f ca="1">IFERROR(__xludf.DUMMYFUNCTION("""COMPUTED_VALUE"""),0)</f>
        <v>0</v>
      </c>
      <c r="I119" s="140">
        <f ca="1">IFERROR(__xludf.DUMMYFUNCTION("""COMPUTED_VALUE"""),0)</f>
        <v>0</v>
      </c>
      <c r="J119" s="140">
        <f ca="1">IFERROR(__xludf.DUMMYFUNCTION("""COMPUTED_VALUE"""),0)</f>
        <v>0</v>
      </c>
      <c r="K119" s="140">
        <f ca="1">IFERROR(__xludf.DUMMYFUNCTION("""COMPUTED_VALUE"""),0)</f>
        <v>0</v>
      </c>
      <c r="L119" s="140">
        <f ca="1">IFERROR(__xludf.DUMMYFUNCTION("""COMPUTED_VALUE"""),0)</f>
        <v>0</v>
      </c>
      <c r="M119" s="140">
        <f ca="1">IFERROR(__xludf.DUMMYFUNCTION("""COMPUTED_VALUE"""),0)</f>
        <v>0</v>
      </c>
      <c r="N119" s="140">
        <f ca="1">IFERROR(__xludf.DUMMYFUNCTION("""COMPUTED_VALUE"""),0)</f>
        <v>0</v>
      </c>
      <c r="O119" s="140">
        <f ca="1">IFERROR(__xludf.DUMMYFUNCTION("""COMPUTED_VALUE"""),0)</f>
        <v>0</v>
      </c>
      <c r="P119" s="140">
        <f ca="1">IFERROR(__xludf.DUMMYFUNCTION("""COMPUTED_VALUE"""),0)</f>
        <v>0</v>
      </c>
      <c r="Q119" s="288">
        <f ca="1">IFERROR(__xludf.DUMMYFUNCTION("""COMPUTED_VALUE"""),0)</f>
        <v>0</v>
      </c>
      <c r="R119" s="286"/>
      <c r="S119" s="291" t="e">
        <f ca="1">_xludf.ifs(A119="INDIA",E119/'Shared Summary by Dept_US$'!$B$31,A119="INDO",E119/'Shared Summary by Dept_US$'!$B$32,A119="BD",E119/'Shared Summary by Dept_US$'!$B$33,A119="Nepal",E119/'Shared Summary by Dept_US$'!$B$34,A119="US",E119/'Shared Summary by Dept_US$'!$B$35)</f>
        <v>#NAME?</v>
      </c>
      <c r="T119" s="292" t="s">
        <v>173</v>
      </c>
      <c r="U119" s="15"/>
      <c r="V119" s="15"/>
      <c r="W119" s="107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spans="1:34" ht="15.75" customHeight="1" x14ac:dyDescent="0.25">
      <c r="A120" s="81" t="s">
        <v>14</v>
      </c>
      <c r="B120" s="64" t="str">
        <f ca="1">IFERROR(__xludf.DUMMYFUNCTION("""COMPUTED_VALUE"""),"Resource Persons")</f>
        <v>Resource Persons</v>
      </c>
      <c r="C120" s="64" t="str">
        <f ca="1">IFERROR(__xludf.DUMMYFUNCTION("""COMPUTED_VALUE"""),"Program Resource Consultant (EHA)")</f>
        <v>Program Resource Consultant (EHA)</v>
      </c>
      <c r="D120" s="290">
        <f ca="1">IFERROR(__xludf.DUMMYFUNCTION("""COMPUTED_VALUE"""),92101)</f>
        <v>92101</v>
      </c>
      <c r="E120" s="140">
        <f ca="1">IFERROR(__xludf.DUMMYFUNCTION("""COMPUTED_VALUE"""),0)</f>
        <v>0</v>
      </c>
      <c r="F120" s="140">
        <f ca="1">IFERROR(__xludf.DUMMYFUNCTION("""COMPUTED_VALUE"""),0)</f>
        <v>0</v>
      </c>
      <c r="G120" s="140">
        <f ca="1">IFERROR(__xludf.DUMMYFUNCTION("""COMPUTED_VALUE"""),0)</f>
        <v>0</v>
      </c>
      <c r="H120" s="140">
        <f ca="1">IFERROR(__xludf.DUMMYFUNCTION("""COMPUTED_VALUE"""),0)</f>
        <v>0</v>
      </c>
      <c r="I120" s="140">
        <f ca="1">IFERROR(__xludf.DUMMYFUNCTION("""COMPUTED_VALUE"""),0)</f>
        <v>0</v>
      </c>
      <c r="J120" s="140">
        <f ca="1">IFERROR(__xludf.DUMMYFUNCTION("""COMPUTED_VALUE"""),0)</f>
        <v>0</v>
      </c>
      <c r="K120" s="140">
        <f ca="1">IFERROR(__xludf.DUMMYFUNCTION("""COMPUTED_VALUE"""),0)</f>
        <v>0</v>
      </c>
      <c r="L120" s="140">
        <f ca="1">IFERROR(__xludf.DUMMYFUNCTION("""COMPUTED_VALUE"""),0)</f>
        <v>0</v>
      </c>
      <c r="M120" s="140">
        <f ca="1">IFERROR(__xludf.DUMMYFUNCTION("""COMPUTED_VALUE"""),0)</f>
        <v>0</v>
      </c>
      <c r="N120" s="140">
        <f ca="1">IFERROR(__xludf.DUMMYFUNCTION("""COMPUTED_VALUE"""),0)</f>
        <v>0</v>
      </c>
      <c r="O120" s="140">
        <f ca="1">IFERROR(__xludf.DUMMYFUNCTION("""COMPUTED_VALUE"""),0)</f>
        <v>0</v>
      </c>
      <c r="P120" s="140">
        <f ca="1">IFERROR(__xludf.DUMMYFUNCTION("""COMPUTED_VALUE"""),0)</f>
        <v>0</v>
      </c>
      <c r="Q120" s="288">
        <f ca="1">IFERROR(__xludf.DUMMYFUNCTION("""COMPUTED_VALUE"""),0)</f>
        <v>0</v>
      </c>
      <c r="R120" s="286"/>
      <c r="S120" s="291" t="e">
        <f ca="1">_xludf.ifs(A120="INDIA",E120/'Shared Summary by Dept_US$'!$B$31,A120="INDO",E120/'Shared Summary by Dept_US$'!$B$32,A120="BD",E120/'Shared Summary by Dept_US$'!$B$33,A120="Nepal",E120/'Shared Summary by Dept_US$'!$B$34,A120="US",E120/'Shared Summary by Dept_US$'!$B$35)</f>
        <v>#NAME?</v>
      </c>
      <c r="T120" s="292" t="s">
        <v>173</v>
      </c>
      <c r="U120" s="15"/>
      <c r="V120" s="15"/>
      <c r="W120" s="107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ht="15.75" customHeight="1" x14ac:dyDescent="0.25">
      <c r="A121" s="81" t="s">
        <v>14</v>
      </c>
      <c r="B121" s="64" t="str">
        <f ca="1">IFERROR(__xludf.DUMMYFUNCTION("""COMPUTED_VALUE"""),"Travel &amp; Lodging Expenses")</f>
        <v>Travel &amp; Lodging Expenses</v>
      </c>
      <c r="C121" s="64" t="str">
        <f ca="1">IFERROR(__xludf.DUMMYFUNCTION("""COMPUTED_VALUE"""),"Hotel Accomodation")</f>
        <v>Hotel Accomodation</v>
      </c>
      <c r="D121" s="290">
        <f ca="1">IFERROR(__xludf.DUMMYFUNCTION("""COMPUTED_VALUE"""),93101)</f>
        <v>93101</v>
      </c>
      <c r="E121" s="140">
        <f ca="1">IFERROR(__xludf.DUMMYFUNCTION("""COMPUTED_VALUE"""),0)</f>
        <v>0</v>
      </c>
      <c r="F121" s="140">
        <f ca="1">IFERROR(__xludf.DUMMYFUNCTION("""COMPUTED_VALUE"""),0)</f>
        <v>0</v>
      </c>
      <c r="G121" s="140">
        <f ca="1">IFERROR(__xludf.DUMMYFUNCTION("""COMPUTED_VALUE"""),0)</f>
        <v>0</v>
      </c>
      <c r="H121" s="140">
        <f ca="1">IFERROR(__xludf.DUMMYFUNCTION("""COMPUTED_VALUE"""),0)</f>
        <v>0</v>
      </c>
      <c r="I121" s="140">
        <f ca="1">IFERROR(__xludf.DUMMYFUNCTION("""COMPUTED_VALUE"""),0)</f>
        <v>0</v>
      </c>
      <c r="J121" s="140">
        <f ca="1">IFERROR(__xludf.DUMMYFUNCTION("""COMPUTED_VALUE"""),0)</f>
        <v>0</v>
      </c>
      <c r="K121" s="140">
        <f ca="1">IFERROR(__xludf.DUMMYFUNCTION("""COMPUTED_VALUE"""),0)</f>
        <v>0</v>
      </c>
      <c r="L121" s="140">
        <f ca="1">IFERROR(__xludf.DUMMYFUNCTION("""COMPUTED_VALUE"""),0)</f>
        <v>0</v>
      </c>
      <c r="M121" s="140">
        <f ca="1">IFERROR(__xludf.DUMMYFUNCTION("""COMPUTED_VALUE"""),0)</f>
        <v>0</v>
      </c>
      <c r="N121" s="140">
        <f ca="1">IFERROR(__xludf.DUMMYFUNCTION("""COMPUTED_VALUE"""),0)</f>
        <v>0</v>
      </c>
      <c r="O121" s="140">
        <f ca="1">IFERROR(__xludf.DUMMYFUNCTION("""COMPUTED_VALUE"""),0)</f>
        <v>0</v>
      </c>
      <c r="P121" s="140">
        <f ca="1">IFERROR(__xludf.DUMMYFUNCTION("""COMPUTED_VALUE"""),0)</f>
        <v>0</v>
      </c>
      <c r="Q121" s="288">
        <f ca="1">IFERROR(__xludf.DUMMYFUNCTION("""COMPUTED_VALUE"""),0)</f>
        <v>0</v>
      </c>
      <c r="R121" s="286"/>
      <c r="S121" s="291" t="e">
        <f ca="1">_xludf.ifs(A121="INDIA",E121/'Shared Summary by Dept_US$'!$B$31,A121="INDO",E121/'Shared Summary by Dept_US$'!$B$32,A121="BD",E121/'Shared Summary by Dept_US$'!$B$33,A121="Nepal",E121/'Shared Summary by Dept_US$'!$B$34,A121="US",E121/'Shared Summary by Dept_US$'!$B$35)</f>
        <v>#NAME?</v>
      </c>
      <c r="T121" s="292" t="s">
        <v>173</v>
      </c>
      <c r="U121" s="15"/>
      <c r="V121" s="15"/>
      <c r="W121" s="107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ht="15.75" customHeight="1" x14ac:dyDescent="0.25">
      <c r="A122" s="81" t="s">
        <v>14</v>
      </c>
      <c r="B122" s="64" t="str">
        <f ca="1">IFERROR(__xludf.DUMMYFUNCTION("""COMPUTED_VALUE"""),"Travel &amp; Lodging Expenses")</f>
        <v>Travel &amp; Lodging Expenses</v>
      </c>
      <c r="C122" s="64" t="str">
        <f ca="1">IFERROR(__xludf.DUMMYFUNCTION("""COMPUTED_VALUE"""),"Food Expenses")</f>
        <v>Food Expenses</v>
      </c>
      <c r="D122" s="290">
        <f ca="1">IFERROR(__xludf.DUMMYFUNCTION("""COMPUTED_VALUE"""),93102)</f>
        <v>93102</v>
      </c>
      <c r="E122" s="140">
        <f ca="1">IFERROR(__xludf.DUMMYFUNCTION("""COMPUTED_VALUE"""),0)</f>
        <v>0</v>
      </c>
      <c r="F122" s="140">
        <f ca="1">IFERROR(__xludf.DUMMYFUNCTION("""COMPUTED_VALUE"""),0)</f>
        <v>0</v>
      </c>
      <c r="G122" s="140">
        <f ca="1">IFERROR(__xludf.DUMMYFUNCTION("""COMPUTED_VALUE"""),0)</f>
        <v>0</v>
      </c>
      <c r="H122" s="140">
        <f ca="1">IFERROR(__xludf.DUMMYFUNCTION("""COMPUTED_VALUE"""),0)</f>
        <v>0</v>
      </c>
      <c r="I122" s="140">
        <f ca="1">IFERROR(__xludf.DUMMYFUNCTION("""COMPUTED_VALUE"""),0)</f>
        <v>0</v>
      </c>
      <c r="J122" s="140">
        <f ca="1">IFERROR(__xludf.DUMMYFUNCTION("""COMPUTED_VALUE"""),0)</f>
        <v>0</v>
      </c>
      <c r="K122" s="140">
        <f ca="1">IFERROR(__xludf.DUMMYFUNCTION("""COMPUTED_VALUE"""),0)</f>
        <v>0</v>
      </c>
      <c r="L122" s="140">
        <f ca="1">IFERROR(__xludf.DUMMYFUNCTION("""COMPUTED_VALUE"""),0)</f>
        <v>0</v>
      </c>
      <c r="M122" s="140">
        <f ca="1">IFERROR(__xludf.DUMMYFUNCTION("""COMPUTED_VALUE"""),0)</f>
        <v>0</v>
      </c>
      <c r="N122" s="140">
        <f ca="1">IFERROR(__xludf.DUMMYFUNCTION("""COMPUTED_VALUE"""),0)</f>
        <v>0</v>
      </c>
      <c r="O122" s="140">
        <f ca="1">IFERROR(__xludf.DUMMYFUNCTION("""COMPUTED_VALUE"""),0)</f>
        <v>0</v>
      </c>
      <c r="P122" s="140">
        <f ca="1">IFERROR(__xludf.DUMMYFUNCTION("""COMPUTED_VALUE"""),0)</f>
        <v>0</v>
      </c>
      <c r="Q122" s="288">
        <f ca="1">IFERROR(__xludf.DUMMYFUNCTION("""COMPUTED_VALUE"""),0)</f>
        <v>0</v>
      </c>
      <c r="R122" s="286"/>
      <c r="S122" s="291" t="e">
        <f ca="1">_xludf.ifs(A122="INDIA",E122/'Shared Summary by Dept_US$'!$B$31,A122="INDO",E122/'Shared Summary by Dept_US$'!$B$32,A122="BD",E122/'Shared Summary by Dept_US$'!$B$33,A122="Nepal",E122/'Shared Summary by Dept_US$'!$B$34,A122="US",E122/'Shared Summary by Dept_US$'!$B$35)</f>
        <v>#NAME?</v>
      </c>
      <c r="T122" s="292" t="s">
        <v>173</v>
      </c>
      <c r="U122" s="15"/>
      <c r="V122" s="15"/>
      <c r="W122" s="107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ht="15.75" customHeight="1" x14ac:dyDescent="0.25">
      <c r="A123" s="81" t="s">
        <v>14</v>
      </c>
      <c r="B123" s="64" t="str">
        <f ca="1">IFERROR(__xludf.DUMMYFUNCTION("""COMPUTED_VALUE"""),"Travel &amp; Lodging Expenses")</f>
        <v>Travel &amp; Lodging Expenses</v>
      </c>
      <c r="C123" s="64" t="str">
        <f ca="1">IFERROR(__xludf.DUMMYFUNCTION("""COMPUTED_VALUE"""),"Air fare")</f>
        <v>Air fare</v>
      </c>
      <c r="D123" s="290">
        <f ca="1">IFERROR(__xludf.DUMMYFUNCTION("""COMPUTED_VALUE"""),93103)</f>
        <v>93103</v>
      </c>
      <c r="E123" s="140">
        <f ca="1">IFERROR(__xludf.DUMMYFUNCTION("""COMPUTED_VALUE"""),0)</f>
        <v>0</v>
      </c>
      <c r="F123" s="140">
        <f ca="1">IFERROR(__xludf.DUMMYFUNCTION("""COMPUTED_VALUE"""),0)</f>
        <v>0</v>
      </c>
      <c r="G123" s="140">
        <f ca="1">IFERROR(__xludf.DUMMYFUNCTION("""COMPUTED_VALUE"""),0)</f>
        <v>0</v>
      </c>
      <c r="H123" s="140">
        <f ca="1">IFERROR(__xludf.DUMMYFUNCTION("""COMPUTED_VALUE"""),0)</f>
        <v>0</v>
      </c>
      <c r="I123" s="140">
        <f ca="1">IFERROR(__xludf.DUMMYFUNCTION("""COMPUTED_VALUE"""),0)</f>
        <v>0</v>
      </c>
      <c r="J123" s="140">
        <f ca="1">IFERROR(__xludf.DUMMYFUNCTION("""COMPUTED_VALUE"""),0)</f>
        <v>0</v>
      </c>
      <c r="K123" s="140">
        <f ca="1">IFERROR(__xludf.DUMMYFUNCTION("""COMPUTED_VALUE"""),0)</f>
        <v>0</v>
      </c>
      <c r="L123" s="140">
        <f ca="1">IFERROR(__xludf.DUMMYFUNCTION("""COMPUTED_VALUE"""),0)</f>
        <v>0</v>
      </c>
      <c r="M123" s="140">
        <f ca="1">IFERROR(__xludf.DUMMYFUNCTION("""COMPUTED_VALUE"""),0)</f>
        <v>0</v>
      </c>
      <c r="N123" s="140">
        <f ca="1">IFERROR(__xludf.DUMMYFUNCTION("""COMPUTED_VALUE"""),0)</f>
        <v>0</v>
      </c>
      <c r="O123" s="140">
        <f ca="1">IFERROR(__xludf.DUMMYFUNCTION("""COMPUTED_VALUE"""),0)</f>
        <v>0</v>
      </c>
      <c r="P123" s="140">
        <f ca="1">IFERROR(__xludf.DUMMYFUNCTION("""COMPUTED_VALUE"""),0)</f>
        <v>0</v>
      </c>
      <c r="Q123" s="288">
        <f ca="1">IFERROR(__xludf.DUMMYFUNCTION("""COMPUTED_VALUE"""),0)</f>
        <v>0</v>
      </c>
      <c r="R123" s="286"/>
      <c r="S123" s="291" t="e">
        <f ca="1">_xludf.ifs(A123="INDIA",E123/'Shared Summary by Dept_US$'!$B$31,A123="INDO",E123/'Shared Summary by Dept_US$'!$B$32,A123="BD",E123/'Shared Summary by Dept_US$'!$B$33,A123="Nepal",E123/'Shared Summary by Dept_US$'!$B$34,A123="US",E123/'Shared Summary by Dept_US$'!$B$35)</f>
        <v>#NAME?</v>
      </c>
      <c r="T123" s="292" t="s">
        <v>173</v>
      </c>
      <c r="U123" s="15"/>
      <c r="V123" s="15"/>
      <c r="W123" s="107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ht="15.75" customHeight="1" x14ac:dyDescent="0.25">
      <c r="A124" s="81" t="s">
        <v>14</v>
      </c>
      <c r="B124" s="64" t="str">
        <f ca="1">IFERROR(__xludf.DUMMYFUNCTION("""COMPUTED_VALUE"""),"Travel &amp; Lodging Expenses")</f>
        <v>Travel &amp; Lodging Expenses</v>
      </c>
      <c r="C124" s="64" t="str">
        <f ca="1">IFERROR(__xludf.DUMMYFUNCTION("""COMPUTED_VALUE"""),"Cab/Auto")</f>
        <v>Cab/Auto</v>
      </c>
      <c r="D124" s="290">
        <f ca="1">IFERROR(__xludf.DUMMYFUNCTION("""COMPUTED_VALUE"""),93104)</f>
        <v>93104</v>
      </c>
      <c r="E124" s="140">
        <f ca="1">IFERROR(__xludf.DUMMYFUNCTION("""COMPUTED_VALUE"""),0)</f>
        <v>0</v>
      </c>
      <c r="F124" s="140">
        <f ca="1">IFERROR(__xludf.DUMMYFUNCTION("""COMPUTED_VALUE"""),0)</f>
        <v>0</v>
      </c>
      <c r="G124" s="140">
        <f ca="1">IFERROR(__xludf.DUMMYFUNCTION("""COMPUTED_VALUE"""),0)</f>
        <v>0</v>
      </c>
      <c r="H124" s="140">
        <f ca="1">IFERROR(__xludf.DUMMYFUNCTION("""COMPUTED_VALUE"""),0)</f>
        <v>0</v>
      </c>
      <c r="I124" s="140">
        <f ca="1">IFERROR(__xludf.DUMMYFUNCTION("""COMPUTED_VALUE"""),0)</f>
        <v>0</v>
      </c>
      <c r="J124" s="140">
        <f ca="1">IFERROR(__xludf.DUMMYFUNCTION("""COMPUTED_VALUE"""),0)</f>
        <v>0</v>
      </c>
      <c r="K124" s="140">
        <f ca="1">IFERROR(__xludf.DUMMYFUNCTION("""COMPUTED_VALUE"""),0)</f>
        <v>0</v>
      </c>
      <c r="L124" s="140">
        <f ca="1">IFERROR(__xludf.DUMMYFUNCTION("""COMPUTED_VALUE"""),0)</f>
        <v>0</v>
      </c>
      <c r="M124" s="140">
        <f ca="1">IFERROR(__xludf.DUMMYFUNCTION("""COMPUTED_VALUE"""),0)</f>
        <v>0</v>
      </c>
      <c r="N124" s="140">
        <f ca="1">IFERROR(__xludf.DUMMYFUNCTION("""COMPUTED_VALUE"""),0)</f>
        <v>0</v>
      </c>
      <c r="O124" s="140">
        <f ca="1">IFERROR(__xludf.DUMMYFUNCTION("""COMPUTED_VALUE"""),0)</f>
        <v>0</v>
      </c>
      <c r="P124" s="140">
        <f ca="1">IFERROR(__xludf.DUMMYFUNCTION("""COMPUTED_VALUE"""),0)</f>
        <v>0</v>
      </c>
      <c r="Q124" s="288">
        <f ca="1">IFERROR(__xludf.DUMMYFUNCTION("""COMPUTED_VALUE"""),0)</f>
        <v>0</v>
      </c>
      <c r="R124" s="286"/>
      <c r="S124" s="291" t="e">
        <f ca="1">_xludf.ifs(A124="INDIA",E124/'Shared Summary by Dept_US$'!$B$31,A124="INDO",E124/'Shared Summary by Dept_US$'!$B$32,A124="BD",E124/'Shared Summary by Dept_US$'!$B$33,A124="Nepal",E124/'Shared Summary by Dept_US$'!$B$34,A124="US",E124/'Shared Summary by Dept_US$'!$B$35)</f>
        <v>#NAME?</v>
      </c>
      <c r="T124" s="292" t="s">
        <v>173</v>
      </c>
      <c r="U124" s="15"/>
      <c r="V124" s="15"/>
      <c r="W124" s="107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ht="15.75" customHeight="1" x14ac:dyDescent="0.25">
      <c r="A125" s="81" t="s">
        <v>14</v>
      </c>
      <c r="B125" s="64" t="str">
        <f ca="1">IFERROR(__xludf.DUMMYFUNCTION("""COMPUTED_VALUE"""),"Travel &amp; Lodging Expenses")</f>
        <v>Travel &amp; Lodging Expenses</v>
      </c>
      <c r="C125" s="64" t="str">
        <f ca="1">IFERROR(__xludf.DUMMYFUNCTION("""COMPUTED_VALUE"""),"Bus/Train")</f>
        <v>Bus/Train</v>
      </c>
      <c r="D125" s="290">
        <f ca="1">IFERROR(__xludf.DUMMYFUNCTION("""COMPUTED_VALUE"""),93105)</f>
        <v>93105</v>
      </c>
      <c r="E125" s="140">
        <f ca="1">IFERROR(__xludf.DUMMYFUNCTION("""COMPUTED_VALUE"""),0)</f>
        <v>0</v>
      </c>
      <c r="F125" s="140">
        <f ca="1">IFERROR(__xludf.DUMMYFUNCTION("""COMPUTED_VALUE"""),0)</f>
        <v>0</v>
      </c>
      <c r="G125" s="140">
        <f ca="1">IFERROR(__xludf.DUMMYFUNCTION("""COMPUTED_VALUE"""),0)</f>
        <v>0</v>
      </c>
      <c r="H125" s="140">
        <f ca="1">IFERROR(__xludf.DUMMYFUNCTION("""COMPUTED_VALUE"""),0)</f>
        <v>0</v>
      </c>
      <c r="I125" s="140">
        <f ca="1">IFERROR(__xludf.DUMMYFUNCTION("""COMPUTED_VALUE"""),0)</f>
        <v>0</v>
      </c>
      <c r="J125" s="140">
        <f ca="1">IFERROR(__xludf.DUMMYFUNCTION("""COMPUTED_VALUE"""),0)</f>
        <v>0</v>
      </c>
      <c r="K125" s="140">
        <f ca="1">IFERROR(__xludf.DUMMYFUNCTION("""COMPUTED_VALUE"""),0)</f>
        <v>0</v>
      </c>
      <c r="L125" s="140">
        <f ca="1">IFERROR(__xludf.DUMMYFUNCTION("""COMPUTED_VALUE"""),0)</f>
        <v>0</v>
      </c>
      <c r="M125" s="140">
        <f ca="1">IFERROR(__xludf.DUMMYFUNCTION("""COMPUTED_VALUE"""),0)</f>
        <v>0</v>
      </c>
      <c r="N125" s="140">
        <f ca="1">IFERROR(__xludf.DUMMYFUNCTION("""COMPUTED_VALUE"""),0)</f>
        <v>0</v>
      </c>
      <c r="O125" s="140">
        <f ca="1">IFERROR(__xludf.DUMMYFUNCTION("""COMPUTED_VALUE"""),0)</f>
        <v>0</v>
      </c>
      <c r="P125" s="140">
        <f ca="1">IFERROR(__xludf.DUMMYFUNCTION("""COMPUTED_VALUE"""),0)</f>
        <v>0</v>
      </c>
      <c r="Q125" s="288">
        <f ca="1">IFERROR(__xludf.DUMMYFUNCTION("""COMPUTED_VALUE"""),0)</f>
        <v>0</v>
      </c>
      <c r="R125" s="286"/>
      <c r="S125" s="291" t="e">
        <f ca="1">_xludf.ifs(A125="INDIA",E125/'Shared Summary by Dept_US$'!$B$31,A125="INDO",E125/'Shared Summary by Dept_US$'!$B$32,A125="BD",E125/'Shared Summary by Dept_US$'!$B$33,A125="Nepal",E125/'Shared Summary by Dept_US$'!$B$34,A125="US",E125/'Shared Summary by Dept_US$'!$B$35)</f>
        <v>#NAME?</v>
      </c>
      <c r="T125" s="292" t="s">
        <v>173</v>
      </c>
      <c r="U125" s="15"/>
      <c r="V125" s="15"/>
      <c r="W125" s="107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ht="15.75" customHeight="1" x14ac:dyDescent="0.25">
      <c r="A126" s="81" t="s">
        <v>14</v>
      </c>
      <c r="B126" s="64" t="str">
        <f ca="1">IFERROR(__xludf.DUMMYFUNCTION("""COMPUTED_VALUE"""),"Travel &amp; Lodging Expenses")</f>
        <v>Travel &amp; Lodging Expenses</v>
      </c>
      <c r="C126" s="64" t="str">
        <f ca="1">IFERROR(__xludf.DUMMYFUNCTION("""COMPUTED_VALUE"""),"Other incidental travel costs")</f>
        <v>Other incidental travel costs</v>
      </c>
      <c r="D126" s="290">
        <f ca="1">IFERROR(__xludf.DUMMYFUNCTION("""COMPUTED_VALUE"""),93106)</f>
        <v>93106</v>
      </c>
      <c r="E126" s="140">
        <f ca="1">IFERROR(__xludf.DUMMYFUNCTION("""COMPUTED_VALUE"""),0)</f>
        <v>0</v>
      </c>
      <c r="F126" s="140">
        <f ca="1">IFERROR(__xludf.DUMMYFUNCTION("""COMPUTED_VALUE"""),0)</f>
        <v>0</v>
      </c>
      <c r="G126" s="140">
        <f ca="1">IFERROR(__xludf.DUMMYFUNCTION("""COMPUTED_VALUE"""),0)</f>
        <v>0</v>
      </c>
      <c r="H126" s="140">
        <f ca="1">IFERROR(__xludf.DUMMYFUNCTION("""COMPUTED_VALUE"""),0)</f>
        <v>0</v>
      </c>
      <c r="I126" s="140">
        <f ca="1">IFERROR(__xludf.DUMMYFUNCTION("""COMPUTED_VALUE"""),0)</f>
        <v>0</v>
      </c>
      <c r="J126" s="140">
        <f ca="1">IFERROR(__xludf.DUMMYFUNCTION("""COMPUTED_VALUE"""),0)</f>
        <v>0</v>
      </c>
      <c r="K126" s="140">
        <f ca="1">IFERROR(__xludf.DUMMYFUNCTION("""COMPUTED_VALUE"""),0)</f>
        <v>0</v>
      </c>
      <c r="L126" s="140">
        <f ca="1">IFERROR(__xludf.DUMMYFUNCTION("""COMPUTED_VALUE"""),0)</f>
        <v>0</v>
      </c>
      <c r="M126" s="140">
        <f ca="1">IFERROR(__xludf.DUMMYFUNCTION("""COMPUTED_VALUE"""),0)</f>
        <v>0</v>
      </c>
      <c r="N126" s="140">
        <f ca="1">IFERROR(__xludf.DUMMYFUNCTION("""COMPUTED_VALUE"""),0)</f>
        <v>0</v>
      </c>
      <c r="O126" s="140">
        <f ca="1">IFERROR(__xludf.DUMMYFUNCTION("""COMPUTED_VALUE"""),0)</f>
        <v>0</v>
      </c>
      <c r="P126" s="140">
        <f ca="1">IFERROR(__xludf.DUMMYFUNCTION("""COMPUTED_VALUE"""),0)</f>
        <v>0</v>
      </c>
      <c r="Q126" s="288">
        <f ca="1">IFERROR(__xludf.DUMMYFUNCTION("""COMPUTED_VALUE"""),0)</f>
        <v>0</v>
      </c>
      <c r="R126" s="286"/>
      <c r="S126" s="291" t="e">
        <f ca="1">_xludf.ifs(A126="INDIA",E126/'Shared Summary by Dept_US$'!$B$31,A126="INDO",E126/'Shared Summary by Dept_US$'!$B$32,A126="BD",E126/'Shared Summary by Dept_US$'!$B$33,A126="Nepal",E126/'Shared Summary by Dept_US$'!$B$34,A126="US",E126/'Shared Summary by Dept_US$'!$B$35)</f>
        <v>#NAME?</v>
      </c>
      <c r="T126" s="292" t="s">
        <v>173</v>
      </c>
      <c r="U126" s="15"/>
      <c r="V126" s="15"/>
      <c r="W126" s="107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ht="15.75" customHeight="1" x14ac:dyDescent="0.25">
      <c r="A127" s="81" t="s">
        <v>14</v>
      </c>
      <c r="B127" s="64" t="str">
        <f ca="1">IFERROR(__xludf.DUMMYFUNCTION("""COMPUTED_VALUE"""),"Supplies &amp; Printing Costs")</f>
        <v>Supplies &amp; Printing Costs</v>
      </c>
      <c r="C127" s="64" t="str">
        <f ca="1">IFERROR(__xludf.DUMMYFUNCTION("""COMPUTED_VALUE"""),"Other Direct Expenses")</f>
        <v>Other Direct Expenses</v>
      </c>
      <c r="D127" s="290">
        <f ca="1">IFERROR(__xludf.DUMMYFUNCTION("""COMPUTED_VALUE"""),93201)</f>
        <v>93201</v>
      </c>
      <c r="E127" s="140">
        <f ca="1">IFERROR(__xludf.DUMMYFUNCTION("""COMPUTED_VALUE"""),0)</f>
        <v>0</v>
      </c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288"/>
      <c r="R127" s="286"/>
      <c r="S127" s="291" t="e">
        <f ca="1">_xludf.ifs(A127="INDIA",E127/'Shared Summary by Dept_US$'!$B$31,A127="INDO",E127/'Shared Summary by Dept_US$'!$B$32,A127="BD",E127/'Shared Summary by Dept_US$'!$B$33,A127="Nepal",E127/'Shared Summary by Dept_US$'!$B$34,A127="US",E127/'Shared Summary by Dept_US$'!$B$35)</f>
        <v>#NAME?</v>
      </c>
      <c r="T127" s="292" t="s">
        <v>173</v>
      </c>
      <c r="U127" s="15"/>
      <c r="V127" s="15"/>
      <c r="W127" s="107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ht="15.75" customHeight="1" x14ac:dyDescent="0.25">
      <c r="A128" s="81" t="s">
        <v>14</v>
      </c>
      <c r="B128" s="64" t="str">
        <f ca="1">IFERROR(__xludf.DUMMYFUNCTION("""COMPUTED_VALUE"""),"Supplies &amp; Printing Costs")</f>
        <v>Supplies &amp; Printing Costs</v>
      </c>
      <c r="C128" s="64" t="str">
        <f ca="1">IFERROR(__xludf.DUMMYFUNCTION("""COMPUTED_VALUE"""),"Printing expenses")</f>
        <v>Printing expenses</v>
      </c>
      <c r="D128" s="290">
        <f ca="1">IFERROR(__xludf.DUMMYFUNCTION("""COMPUTED_VALUE"""),93204)</f>
        <v>93204</v>
      </c>
      <c r="E128" s="140">
        <f ca="1">IFERROR(__xludf.DUMMYFUNCTION("""COMPUTED_VALUE"""),0)</f>
        <v>0</v>
      </c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288"/>
      <c r="R128" s="286"/>
      <c r="S128" s="291" t="e">
        <f ca="1">_xludf.ifs(A128="INDIA",E128/'Shared Summary by Dept_US$'!$B$31,A128="INDO",E128/'Shared Summary by Dept_US$'!$B$32,A128="BD",E128/'Shared Summary by Dept_US$'!$B$33,A128="Nepal",E128/'Shared Summary by Dept_US$'!$B$34,A128="US",E128/'Shared Summary by Dept_US$'!$B$35)</f>
        <v>#NAME?</v>
      </c>
      <c r="T128" s="292" t="s">
        <v>173</v>
      </c>
      <c r="U128" s="15"/>
      <c r="V128" s="15"/>
      <c r="W128" s="107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spans="1:34" ht="15.75" customHeight="1" x14ac:dyDescent="0.25">
      <c r="A129" s="81" t="s">
        <v>14</v>
      </c>
      <c r="B129" s="64" t="str">
        <f ca="1">IFERROR(__xludf.DUMMYFUNCTION("""COMPUTED_VALUE"""),"Communication Cost")</f>
        <v>Communication Cost</v>
      </c>
      <c r="C129" s="64" t="str">
        <f ca="1">IFERROR(__xludf.DUMMYFUNCTION("""COMPUTED_VALUE"""),"Internet Expenses")</f>
        <v>Internet Expenses</v>
      </c>
      <c r="D129" s="290">
        <f ca="1">IFERROR(__xludf.DUMMYFUNCTION("""COMPUTED_VALUE"""),93301)</f>
        <v>93301</v>
      </c>
      <c r="E129" s="140">
        <f ca="1">IFERROR(__xludf.DUMMYFUNCTION("""COMPUTED_VALUE"""),0)</f>
        <v>0</v>
      </c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288"/>
      <c r="R129" s="286"/>
      <c r="S129" s="291" t="e">
        <f ca="1">_xludf.ifs(A129="INDIA",E129/'Shared Summary by Dept_US$'!$B$31,A129="INDO",E129/'Shared Summary by Dept_US$'!$B$32,A129="BD",E129/'Shared Summary by Dept_US$'!$B$33,A129="Nepal",E129/'Shared Summary by Dept_US$'!$B$34,A129="US",E129/'Shared Summary by Dept_US$'!$B$35)</f>
        <v>#NAME?</v>
      </c>
      <c r="T129" s="292" t="s">
        <v>173</v>
      </c>
      <c r="U129" s="15"/>
      <c r="V129" s="15"/>
      <c r="W129" s="107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spans="1:34" ht="15.75" customHeight="1" x14ac:dyDescent="0.25">
      <c r="A130" s="81" t="s">
        <v>14</v>
      </c>
      <c r="B130" s="64" t="str">
        <f ca="1">IFERROR(__xludf.DUMMYFUNCTION("""COMPUTED_VALUE"""),"Communication Cost")</f>
        <v>Communication Cost</v>
      </c>
      <c r="C130" s="64" t="str">
        <f ca="1">IFERROR(__xludf.DUMMYFUNCTION("""COMPUTED_VALUE"""),"Postage &amp; Courier Expenses")</f>
        <v>Postage &amp; Courier Expenses</v>
      </c>
      <c r="D130" s="290">
        <f ca="1">IFERROR(__xludf.DUMMYFUNCTION("""COMPUTED_VALUE"""),93302)</f>
        <v>93302</v>
      </c>
      <c r="E130" s="140">
        <f ca="1">IFERROR(__xludf.DUMMYFUNCTION("""COMPUTED_VALUE"""),0)</f>
        <v>0</v>
      </c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288"/>
      <c r="R130" s="286"/>
      <c r="S130" s="291" t="e">
        <f ca="1">_xludf.ifs(A130="INDIA",E130/'Shared Summary by Dept_US$'!$B$31,A130="INDO",E130/'Shared Summary by Dept_US$'!$B$32,A130="BD",E130/'Shared Summary by Dept_US$'!$B$33,A130="Nepal",E130/'Shared Summary by Dept_US$'!$B$34,A130="US",E130/'Shared Summary by Dept_US$'!$B$35)</f>
        <v>#NAME?</v>
      </c>
      <c r="T130" s="292" t="s">
        <v>173</v>
      </c>
      <c r="U130" s="15"/>
      <c r="V130" s="15"/>
      <c r="W130" s="107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spans="1:34" ht="15.75" customHeight="1" x14ac:dyDescent="0.25">
      <c r="A131" s="81" t="s">
        <v>14</v>
      </c>
      <c r="B131" s="64" t="str">
        <f ca="1">IFERROR(__xludf.DUMMYFUNCTION("""COMPUTED_VALUE"""),"Communication Cost")</f>
        <v>Communication Cost</v>
      </c>
      <c r="C131" s="64" t="str">
        <f ca="1">IFERROR(__xludf.DUMMYFUNCTION("""COMPUTED_VALUE"""),"Telecommunication expenses")</f>
        <v>Telecommunication expenses</v>
      </c>
      <c r="D131" s="290">
        <f ca="1">IFERROR(__xludf.DUMMYFUNCTION("""COMPUTED_VALUE"""),93303)</f>
        <v>93303</v>
      </c>
      <c r="E131" s="140">
        <f ca="1">IFERROR(__xludf.DUMMYFUNCTION("""COMPUTED_VALUE"""),0)</f>
        <v>0</v>
      </c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288"/>
      <c r="R131" s="286"/>
      <c r="S131" s="291" t="e">
        <f ca="1">_xludf.ifs(A131="INDIA",E131/'Shared Summary by Dept_US$'!$B$31,A131="INDO",E131/'Shared Summary by Dept_US$'!$B$32,A131="BD",E131/'Shared Summary by Dept_US$'!$B$33,A131="Nepal",E131/'Shared Summary by Dept_US$'!$B$34,A131="US",E131/'Shared Summary by Dept_US$'!$B$35)</f>
        <v>#NAME?</v>
      </c>
      <c r="T131" s="292" t="s">
        <v>173</v>
      </c>
      <c r="U131" s="15"/>
      <c r="V131" s="15"/>
      <c r="W131" s="107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ht="15.75" customHeight="1" x14ac:dyDescent="0.25">
      <c r="A132" s="81" t="s">
        <v>14</v>
      </c>
      <c r="B132" s="64" t="str">
        <f ca="1">IFERROR(__xludf.DUMMYFUNCTION("""COMPUTED_VALUE"""),"Office Expenses")</f>
        <v>Office Expenses</v>
      </c>
      <c r="C132" s="64" t="str">
        <f ca="1">IFERROR(__xludf.DUMMYFUNCTION("""COMPUTED_VALUE"""),"Software and Subscriptions")</f>
        <v>Software and Subscriptions</v>
      </c>
      <c r="D132" s="290">
        <f ca="1">IFERROR(__xludf.DUMMYFUNCTION("""COMPUTED_VALUE"""),93401)</f>
        <v>93401</v>
      </c>
      <c r="E132" s="140">
        <f ca="1">IFERROR(__xludf.DUMMYFUNCTION("""COMPUTED_VALUE"""),0)</f>
        <v>0</v>
      </c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288"/>
      <c r="R132" s="286"/>
      <c r="S132" s="291" t="e">
        <f ca="1">_xludf.ifs(A132="INDIA",E132/'Shared Summary by Dept_US$'!$B$31,A132="INDO",E132/'Shared Summary by Dept_US$'!$B$32,A132="BD",E132/'Shared Summary by Dept_US$'!$B$33,A132="Nepal",E132/'Shared Summary by Dept_US$'!$B$34,A132="US",E132/'Shared Summary by Dept_US$'!$B$35)</f>
        <v>#NAME?</v>
      </c>
      <c r="T132" s="292" t="s">
        <v>173</v>
      </c>
      <c r="U132" s="15"/>
      <c r="V132" s="15"/>
      <c r="W132" s="107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spans="1:34" ht="15.75" customHeight="1" x14ac:dyDescent="0.25">
      <c r="A133" s="81" t="s">
        <v>14</v>
      </c>
      <c r="B133" s="64" t="str">
        <f ca="1">IFERROR(__xludf.DUMMYFUNCTION("""COMPUTED_VALUE"""),"Office Expenses")</f>
        <v>Office Expenses</v>
      </c>
      <c r="C133" s="64" t="str">
        <f ca="1">IFERROR(__xludf.DUMMYFUNCTION("""COMPUTED_VALUE"""),"Stationery &amp; Consumables")</f>
        <v>Stationery &amp; Consumables</v>
      </c>
      <c r="D133" s="290">
        <f ca="1">IFERROR(__xludf.DUMMYFUNCTION("""COMPUTED_VALUE"""),93404)</f>
        <v>93404</v>
      </c>
      <c r="E133" s="140">
        <f ca="1">IFERROR(__xludf.DUMMYFUNCTION("""COMPUTED_VALUE"""),0)</f>
        <v>0</v>
      </c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288"/>
      <c r="R133" s="286"/>
      <c r="S133" s="291" t="e">
        <f ca="1">_xludf.ifs(A133="INDIA",E133/'Shared Summary by Dept_US$'!$B$31,A133="INDO",E133/'Shared Summary by Dept_US$'!$B$32,A133="BD",E133/'Shared Summary by Dept_US$'!$B$33,A133="Nepal",E133/'Shared Summary by Dept_US$'!$B$34,A133="US",E133/'Shared Summary by Dept_US$'!$B$35)</f>
        <v>#NAME?</v>
      </c>
      <c r="T133" s="292" t="s">
        <v>173</v>
      </c>
      <c r="U133" s="15"/>
      <c r="V133" s="15"/>
      <c r="W133" s="107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ht="15.75" customHeight="1" x14ac:dyDescent="0.25">
      <c r="A134" s="81" t="s">
        <v>14</v>
      </c>
      <c r="B134" s="64" t="str">
        <f ca="1">IFERROR(__xludf.DUMMYFUNCTION("""COMPUTED_VALUE"""),"Office Expenses")</f>
        <v>Office Expenses</v>
      </c>
      <c r="C134" s="64" t="str">
        <f ca="1">IFERROR(__xludf.DUMMYFUNCTION("""COMPUTED_VALUE"""),"Office Equipment Expense")</f>
        <v>Office Equipment Expense</v>
      </c>
      <c r="D134" s="290">
        <f ca="1">IFERROR(__xludf.DUMMYFUNCTION("""COMPUTED_VALUE"""),93405)</f>
        <v>93405</v>
      </c>
      <c r="E134" s="140">
        <f ca="1">IFERROR(__xludf.DUMMYFUNCTION("""COMPUTED_VALUE"""),0)</f>
        <v>0</v>
      </c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288"/>
      <c r="R134" s="286"/>
      <c r="S134" s="291" t="e">
        <f ca="1">_xludf.ifs(A134="INDIA",E134/'Shared Summary by Dept_US$'!$B$31,A134="INDO",E134/'Shared Summary by Dept_US$'!$B$32,A134="BD",E134/'Shared Summary by Dept_US$'!$B$33,A134="Nepal",E134/'Shared Summary by Dept_US$'!$B$34,A134="US",E134/'Shared Summary by Dept_US$'!$B$35)</f>
        <v>#NAME?</v>
      </c>
      <c r="T134" s="292" t="s">
        <v>173</v>
      </c>
      <c r="U134" s="15"/>
      <c r="V134" s="15"/>
      <c r="W134" s="107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spans="1:34" ht="15.75" customHeight="1" x14ac:dyDescent="0.25">
      <c r="A135" s="81" t="s">
        <v>14</v>
      </c>
      <c r="B135" s="64" t="str">
        <f ca="1">IFERROR(__xludf.DUMMYFUNCTION("""COMPUTED_VALUE"""),"Professional &amp; Consultancy Charges")</f>
        <v>Professional &amp; Consultancy Charges</v>
      </c>
      <c r="C135" s="64" t="str">
        <f ca="1">IFERROR(__xludf.DUMMYFUNCTION("""COMPUTED_VALUE"""),"Admin Consultants")</f>
        <v>Admin Consultants</v>
      </c>
      <c r="D135" s="290">
        <f ca="1">IFERROR(__xludf.DUMMYFUNCTION("""COMPUTED_VALUE"""),93703)</f>
        <v>93703</v>
      </c>
      <c r="E135" s="140">
        <f ca="1">IFERROR(__xludf.DUMMYFUNCTION("""COMPUTED_VALUE"""),0)</f>
        <v>0</v>
      </c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288"/>
      <c r="R135" s="286"/>
      <c r="S135" s="291" t="e">
        <f ca="1">_xludf.ifs(A135="INDIA",E135/'Shared Summary by Dept_US$'!$B$31,A135="INDO",E135/'Shared Summary by Dept_US$'!$B$32,A135="BD",E135/'Shared Summary by Dept_US$'!$B$33,A135="Nepal",E135/'Shared Summary by Dept_US$'!$B$34,A135="US",E135/'Shared Summary by Dept_US$'!$B$35)</f>
        <v>#NAME?</v>
      </c>
      <c r="T135" s="292" t="s">
        <v>173</v>
      </c>
      <c r="U135" s="15"/>
      <c r="V135" s="15"/>
      <c r="W135" s="107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34" ht="15.75" customHeight="1" x14ac:dyDescent="0.25">
      <c r="A136" s="81" t="s">
        <v>14</v>
      </c>
      <c r="B136" s="64" t="str">
        <f ca="1">IFERROR(__xludf.DUMMYFUNCTION("""COMPUTED_VALUE"""),"Fixed Assets")</f>
        <v>Fixed Assets</v>
      </c>
      <c r="C136" s="64" t="str">
        <f ca="1">IFERROR(__xludf.DUMMYFUNCTION("""COMPUTED_VALUE"""),"Laptop/ Printer")</f>
        <v>Laptop/ Printer</v>
      </c>
      <c r="D136" s="290">
        <f ca="1">IFERROR(__xludf.DUMMYFUNCTION("""COMPUTED_VALUE"""),11301)</f>
        <v>11301</v>
      </c>
      <c r="E136" s="140">
        <f ca="1">IFERROR(__xludf.DUMMYFUNCTION("""COMPUTED_VALUE"""),0)</f>
        <v>0</v>
      </c>
      <c r="F136" s="140">
        <f ca="1">IFERROR(__xludf.DUMMYFUNCTION("""COMPUTED_VALUE"""),0)</f>
        <v>0</v>
      </c>
      <c r="G136" s="140">
        <f ca="1">IFERROR(__xludf.DUMMYFUNCTION("""COMPUTED_VALUE"""),0)</f>
        <v>0</v>
      </c>
      <c r="H136" s="140">
        <f ca="1">IFERROR(__xludf.DUMMYFUNCTION("""COMPUTED_VALUE"""),0)</f>
        <v>0</v>
      </c>
      <c r="I136" s="140">
        <f ca="1">IFERROR(__xludf.DUMMYFUNCTION("""COMPUTED_VALUE"""),0)</f>
        <v>0</v>
      </c>
      <c r="J136" s="140">
        <f ca="1">IFERROR(__xludf.DUMMYFUNCTION("""COMPUTED_VALUE"""),0)</f>
        <v>0</v>
      </c>
      <c r="K136" s="140">
        <f ca="1">IFERROR(__xludf.DUMMYFUNCTION("""COMPUTED_VALUE"""),0)</f>
        <v>0</v>
      </c>
      <c r="L136" s="140">
        <f ca="1">IFERROR(__xludf.DUMMYFUNCTION("""COMPUTED_VALUE"""),0)</f>
        <v>0</v>
      </c>
      <c r="M136" s="140">
        <f ca="1">IFERROR(__xludf.DUMMYFUNCTION("""COMPUTED_VALUE"""),0)</f>
        <v>0</v>
      </c>
      <c r="N136" s="140">
        <f ca="1">IFERROR(__xludf.DUMMYFUNCTION("""COMPUTED_VALUE"""),0)</f>
        <v>0</v>
      </c>
      <c r="O136" s="140">
        <f ca="1">IFERROR(__xludf.DUMMYFUNCTION("""COMPUTED_VALUE"""),0)</f>
        <v>0</v>
      </c>
      <c r="P136" s="140">
        <f ca="1">IFERROR(__xludf.DUMMYFUNCTION("""COMPUTED_VALUE"""),0)</f>
        <v>0</v>
      </c>
      <c r="Q136" s="288">
        <f ca="1">IFERROR(__xludf.DUMMYFUNCTION("""COMPUTED_VALUE"""),0)</f>
        <v>0</v>
      </c>
      <c r="R136" s="286"/>
      <c r="S136" s="291" t="e">
        <f ca="1">_xludf.ifs(A136="INDIA",E136/'Shared Summary by Dept_US$'!$B$31,A136="INDO",E136/'Shared Summary by Dept_US$'!$B$32,A136="BD",E136/'Shared Summary by Dept_US$'!$B$33,A136="Nepal",E136/'Shared Summary by Dept_US$'!$B$34,A136="US",E136/'Shared Summary by Dept_US$'!$B$35)</f>
        <v>#NAME?</v>
      </c>
      <c r="T136" s="292" t="s">
        <v>173</v>
      </c>
      <c r="U136" s="15"/>
      <c r="V136" s="15"/>
      <c r="W136" s="107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34" ht="15.75" customHeight="1" x14ac:dyDescent="0.25">
      <c r="A137" s="81" t="s">
        <v>14</v>
      </c>
      <c r="B137" s="64" t="str">
        <f ca="1">IFERROR(__xludf.DUMMYFUNCTION("""COMPUTED_VALUE"""),"Salaries and Wages")</f>
        <v>Salaries and Wages</v>
      </c>
      <c r="C137" s="64" t="str">
        <f ca="1">IFERROR(__xludf.DUMMYFUNCTION("""COMPUTED_VALUE"""),"Salaries and Wages")</f>
        <v>Salaries and Wages</v>
      </c>
      <c r="D137" s="290"/>
      <c r="E137" s="140">
        <f ca="1">IFERROR(__xludf.DUMMYFUNCTION("""COMPUTED_VALUE"""),12989575.9999999)</f>
        <v>12989575.999999899</v>
      </c>
      <c r="F137" s="140">
        <f ca="1">IFERROR(__xludf.DUMMYFUNCTION("""COMPUTED_VALUE"""),1215127.16666666)</f>
        <v>1215127.16666666</v>
      </c>
      <c r="G137" s="140">
        <f ca="1">IFERROR(__xludf.DUMMYFUNCTION("""COMPUTED_VALUE"""),1215127.16666666)</f>
        <v>1215127.16666666</v>
      </c>
      <c r="H137" s="140">
        <f ca="1">IFERROR(__xludf.DUMMYFUNCTION("""COMPUTED_VALUE"""),1215127.16666666)</f>
        <v>1215127.16666666</v>
      </c>
      <c r="I137" s="140">
        <f ca="1">IFERROR(__xludf.DUMMYFUNCTION("""COMPUTED_VALUE"""),1215127.16666666)</f>
        <v>1215127.16666666</v>
      </c>
      <c r="J137" s="140">
        <f ca="1">IFERROR(__xludf.DUMMYFUNCTION("""COMPUTED_VALUE"""),1215127.16666666)</f>
        <v>1215127.16666666</v>
      </c>
      <c r="K137" s="140">
        <f ca="1">IFERROR(__xludf.DUMMYFUNCTION("""COMPUTED_VALUE"""),1215127.16666666)</f>
        <v>1215127.16666666</v>
      </c>
      <c r="L137" s="140">
        <f ca="1">IFERROR(__xludf.DUMMYFUNCTION("""COMPUTED_VALUE"""),949802.166666666)</f>
        <v>949802.16666666605</v>
      </c>
      <c r="M137" s="140">
        <f ca="1">IFERROR(__xludf.DUMMYFUNCTION("""COMPUTED_VALUE"""),949802.166666666)</f>
        <v>949802.16666666605</v>
      </c>
      <c r="N137" s="140">
        <f ca="1">IFERROR(__xludf.DUMMYFUNCTION("""COMPUTED_VALUE"""),949802.166666666)</f>
        <v>949802.16666666605</v>
      </c>
      <c r="O137" s="140">
        <f ca="1">IFERROR(__xludf.DUMMYFUNCTION("""COMPUTED_VALUE"""),949802.166666666)</f>
        <v>949802.16666666605</v>
      </c>
      <c r="P137" s="140">
        <f ca="1">IFERROR(__xludf.DUMMYFUNCTION("""COMPUTED_VALUE"""),949802.166666666)</f>
        <v>949802.16666666605</v>
      </c>
      <c r="Q137" s="288">
        <f ca="1">IFERROR(__xludf.DUMMYFUNCTION("""COMPUTED_VALUE"""),949802.166666666)</f>
        <v>949802.16666666605</v>
      </c>
      <c r="R137" s="286"/>
      <c r="S137" s="291" t="e">
        <f ca="1">_xludf.ifs(A137="INDIA",E137/'Shared Summary by Dept_US$'!$B$31,A137="INDO",E137/'Shared Summary by Dept_US$'!$B$32,A137="BD",E137/'Shared Summary by Dept_US$'!$B$33,A137="Nepal",E137/'Shared Summary by Dept_US$'!$B$34,A137="US",E137/'Shared Summary by Dept_US$'!$B$35)</f>
        <v>#NAME?</v>
      </c>
      <c r="T137" s="292" t="s">
        <v>174</v>
      </c>
      <c r="U137" s="15"/>
      <c r="V137" s="15"/>
      <c r="W137" s="107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spans="1:34" ht="15.75" customHeight="1" x14ac:dyDescent="0.25">
      <c r="A138" s="81" t="s">
        <v>14</v>
      </c>
      <c r="B138" s="64" t="str">
        <f ca="1">IFERROR(__xludf.DUMMYFUNCTION("""COMPUTED_VALUE"""),"Health and Retirement Benefits")</f>
        <v>Health and Retirement Benefits</v>
      </c>
      <c r="C138" s="64" t="str">
        <f ca="1">IFERROR(__xludf.DUMMYFUNCTION("""COMPUTED_VALUE"""),"Gratuity &amp; Bonus")</f>
        <v>Gratuity &amp; Bonus</v>
      </c>
      <c r="D138" s="290"/>
      <c r="E138" s="140">
        <f ca="1">IFERROR(__xludf.DUMMYFUNCTION("""COMPUTED_VALUE"""),277559.416666666)</f>
        <v>277559.41666666599</v>
      </c>
      <c r="F138" s="140">
        <f ca="1">IFERROR(__xludf.DUMMYFUNCTION("""COMPUTED_VALUE"""),0)</f>
        <v>0</v>
      </c>
      <c r="G138" s="140">
        <f ca="1">IFERROR(__xludf.DUMMYFUNCTION("""COMPUTED_VALUE"""),0)</f>
        <v>0</v>
      </c>
      <c r="H138" s="140">
        <f ca="1">IFERROR(__xludf.DUMMYFUNCTION("""COMPUTED_VALUE"""),0)</f>
        <v>0</v>
      </c>
      <c r="I138" s="140">
        <f ca="1">IFERROR(__xludf.DUMMYFUNCTION("""COMPUTED_VALUE"""),0)</f>
        <v>0</v>
      </c>
      <c r="J138" s="140">
        <f ca="1">IFERROR(__xludf.DUMMYFUNCTION("""COMPUTED_VALUE"""),0)</f>
        <v>0</v>
      </c>
      <c r="K138" s="140">
        <f ca="1">IFERROR(__xludf.DUMMYFUNCTION("""COMPUTED_VALUE"""),277559.416666666)</f>
        <v>277559.41666666599</v>
      </c>
      <c r="L138" s="140">
        <f ca="1">IFERROR(__xludf.DUMMYFUNCTION("""COMPUTED_VALUE"""),0)</f>
        <v>0</v>
      </c>
      <c r="M138" s="140">
        <f ca="1">IFERROR(__xludf.DUMMYFUNCTION("""COMPUTED_VALUE"""),0)</f>
        <v>0</v>
      </c>
      <c r="N138" s="140">
        <f ca="1">IFERROR(__xludf.DUMMYFUNCTION("""COMPUTED_VALUE"""),0)</f>
        <v>0</v>
      </c>
      <c r="O138" s="140">
        <f ca="1">IFERROR(__xludf.DUMMYFUNCTION("""COMPUTED_VALUE"""),0)</f>
        <v>0</v>
      </c>
      <c r="P138" s="140">
        <f ca="1">IFERROR(__xludf.DUMMYFUNCTION("""COMPUTED_VALUE"""),0)</f>
        <v>0</v>
      </c>
      <c r="Q138" s="288">
        <f ca="1">IFERROR(__xludf.DUMMYFUNCTION("""COMPUTED_VALUE"""),0)</f>
        <v>0</v>
      </c>
      <c r="R138" s="286"/>
      <c r="S138" s="291" t="e">
        <f ca="1">_xludf.ifs(A138="INDIA",E138/'Shared Summary by Dept_US$'!$B$31,A138="INDO",E138/'Shared Summary by Dept_US$'!$B$32,A138="BD",E138/'Shared Summary by Dept_US$'!$B$33,A138="Nepal",E138/'Shared Summary by Dept_US$'!$B$34,A138="US",E138/'Shared Summary by Dept_US$'!$B$35)</f>
        <v>#NAME?</v>
      </c>
      <c r="T138" s="292" t="s">
        <v>174</v>
      </c>
      <c r="U138" s="15"/>
      <c r="V138" s="15"/>
      <c r="W138" s="107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spans="1:34" ht="15.75" customHeight="1" x14ac:dyDescent="0.25">
      <c r="A139" s="81" t="s">
        <v>14</v>
      </c>
      <c r="B139" s="64" t="str">
        <f ca="1">IFERROR(__xludf.DUMMYFUNCTION("""COMPUTED_VALUE"""),"Other Staff Expenses")</f>
        <v>Other Staff Expenses</v>
      </c>
      <c r="C139" s="64" t="str">
        <f ca="1">IFERROR(__xludf.DUMMYFUNCTION("""COMPUTED_VALUE"""),"Staff Training, Learning &amp; Development Exp")</f>
        <v>Staff Training, Learning &amp; Development Exp</v>
      </c>
      <c r="D139" s="290">
        <f ca="1">IFERROR(__xludf.DUMMYFUNCTION("""COMPUTED_VALUE"""),91302)</f>
        <v>91302</v>
      </c>
      <c r="E139" s="140">
        <f ca="1">IFERROR(__xludf.DUMMYFUNCTION("""COMPUTED_VALUE"""),0)</f>
        <v>0</v>
      </c>
      <c r="F139" s="140">
        <f ca="1">IFERROR(__xludf.DUMMYFUNCTION("""COMPUTED_VALUE"""),0)</f>
        <v>0</v>
      </c>
      <c r="G139" s="140">
        <f ca="1">IFERROR(__xludf.DUMMYFUNCTION("""COMPUTED_VALUE"""),0)</f>
        <v>0</v>
      </c>
      <c r="H139" s="140">
        <f ca="1">IFERROR(__xludf.DUMMYFUNCTION("""COMPUTED_VALUE"""),0)</f>
        <v>0</v>
      </c>
      <c r="I139" s="140">
        <f ca="1">IFERROR(__xludf.DUMMYFUNCTION("""COMPUTED_VALUE"""),0)</f>
        <v>0</v>
      </c>
      <c r="J139" s="140">
        <f ca="1">IFERROR(__xludf.DUMMYFUNCTION("""COMPUTED_VALUE"""),0)</f>
        <v>0</v>
      </c>
      <c r="K139" s="140">
        <f ca="1">IFERROR(__xludf.DUMMYFUNCTION("""COMPUTED_VALUE"""),0)</f>
        <v>0</v>
      </c>
      <c r="L139" s="140">
        <f ca="1">IFERROR(__xludf.DUMMYFUNCTION("""COMPUTED_VALUE"""),0)</f>
        <v>0</v>
      </c>
      <c r="M139" s="140">
        <f ca="1">IFERROR(__xludf.DUMMYFUNCTION("""COMPUTED_VALUE"""),0)</f>
        <v>0</v>
      </c>
      <c r="N139" s="140">
        <f ca="1">IFERROR(__xludf.DUMMYFUNCTION("""COMPUTED_VALUE"""),0)</f>
        <v>0</v>
      </c>
      <c r="O139" s="140">
        <f ca="1">IFERROR(__xludf.DUMMYFUNCTION("""COMPUTED_VALUE"""),0)</f>
        <v>0</v>
      </c>
      <c r="P139" s="140">
        <f ca="1">IFERROR(__xludf.DUMMYFUNCTION("""COMPUTED_VALUE"""),0)</f>
        <v>0</v>
      </c>
      <c r="Q139" s="288">
        <f ca="1">IFERROR(__xludf.DUMMYFUNCTION("""COMPUTED_VALUE"""),0)</f>
        <v>0</v>
      </c>
      <c r="R139" s="286"/>
      <c r="S139" s="291" t="e">
        <f ca="1">_xludf.ifs(A139="INDIA",E139/'Shared Summary by Dept_US$'!$B$31,A139="INDO",E139/'Shared Summary by Dept_US$'!$B$32,A139="BD",E139/'Shared Summary by Dept_US$'!$B$33,A139="Nepal",E139/'Shared Summary by Dept_US$'!$B$34,A139="US",E139/'Shared Summary by Dept_US$'!$B$35)</f>
        <v>#NAME?</v>
      </c>
      <c r="T139" s="292" t="s">
        <v>174</v>
      </c>
      <c r="U139" s="15"/>
      <c r="V139" s="15"/>
      <c r="W139" s="107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ht="15.75" customHeight="1" x14ac:dyDescent="0.25">
      <c r="A140" s="81" t="s">
        <v>14</v>
      </c>
      <c r="B140" s="64" t="str">
        <f ca="1">IFERROR(__xludf.DUMMYFUNCTION("""COMPUTED_VALUE"""),"Resource Persons")</f>
        <v>Resource Persons</v>
      </c>
      <c r="C140" s="64" t="str">
        <f ca="1">IFERROR(__xludf.DUMMYFUNCTION("""COMPUTED_VALUE"""),"Program Resource Consultant (EHA)")</f>
        <v>Program Resource Consultant (EHA)</v>
      </c>
      <c r="D140" s="290">
        <f ca="1">IFERROR(__xludf.DUMMYFUNCTION("""COMPUTED_VALUE"""),92101)</f>
        <v>92101</v>
      </c>
      <c r="E140" s="140">
        <f ca="1">IFERROR(__xludf.DUMMYFUNCTION("""COMPUTED_VALUE"""),13636117.9999999)</f>
        <v>13636117.999999899</v>
      </c>
      <c r="F140" s="140">
        <f ca="1">IFERROR(__xludf.DUMMYFUNCTION("""COMPUTED_VALUE"""),1136343.16666666)</f>
        <v>1136343.16666666</v>
      </c>
      <c r="G140" s="140">
        <f ca="1">IFERROR(__xludf.DUMMYFUNCTION("""COMPUTED_VALUE"""),1136343.16666666)</f>
        <v>1136343.16666666</v>
      </c>
      <c r="H140" s="140">
        <f ca="1">IFERROR(__xludf.DUMMYFUNCTION("""COMPUTED_VALUE"""),1136343.16666666)</f>
        <v>1136343.16666666</v>
      </c>
      <c r="I140" s="140">
        <f ca="1">IFERROR(__xludf.DUMMYFUNCTION("""COMPUTED_VALUE"""),1136343.16666666)</f>
        <v>1136343.16666666</v>
      </c>
      <c r="J140" s="140">
        <f ca="1">IFERROR(__xludf.DUMMYFUNCTION("""COMPUTED_VALUE"""),1136343.16666666)</f>
        <v>1136343.16666666</v>
      </c>
      <c r="K140" s="140">
        <f ca="1">IFERROR(__xludf.DUMMYFUNCTION("""COMPUTED_VALUE"""),1136343.16666666)</f>
        <v>1136343.16666666</v>
      </c>
      <c r="L140" s="140">
        <f ca="1">IFERROR(__xludf.DUMMYFUNCTION("""COMPUTED_VALUE"""),1136343.16666666)</f>
        <v>1136343.16666666</v>
      </c>
      <c r="M140" s="140">
        <f ca="1">IFERROR(__xludf.DUMMYFUNCTION("""COMPUTED_VALUE"""),1136343.16666666)</f>
        <v>1136343.16666666</v>
      </c>
      <c r="N140" s="140">
        <f ca="1">IFERROR(__xludf.DUMMYFUNCTION("""COMPUTED_VALUE"""),1136343.16666666)</f>
        <v>1136343.16666666</v>
      </c>
      <c r="O140" s="140">
        <f ca="1">IFERROR(__xludf.DUMMYFUNCTION("""COMPUTED_VALUE"""),1136343.16666666)</f>
        <v>1136343.16666666</v>
      </c>
      <c r="P140" s="140">
        <f ca="1">IFERROR(__xludf.DUMMYFUNCTION("""COMPUTED_VALUE"""),1136343.16666666)</f>
        <v>1136343.16666666</v>
      </c>
      <c r="Q140" s="288">
        <f ca="1">IFERROR(__xludf.DUMMYFUNCTION("""COMPUTED_VALUE"""),1136343.16666666)</f>
        <v>1136343.16666666</v>
      </c>
      <c r="R140" s="286"/>
      <c r="S140" s="291" t="e">
        <f ca="1">_xludf.ifs(A140="INDIA",E140/'Shared Summary by Dept_US$'!$B$31,A140="INDO",E140/'Shared Summary by Dept_US$'!$B$32,A140="BD",E140/'Shared Summary by Dept_US$'!$B$33,A140="Nepal",E140/'Shared Summary by Dept_US$'!$B$34,A140="US",E140/'Shared Summary by Dept_US$'!$B$35)</f>
        <v>#NAME?</v>
      </c>
      <c r="T140" s="292" t="s">
        <v>174</v>
      </c>
      <c r="U140" s="15"/>
      <c r="V140" s="15"/>
      <c r="W140" s="107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ht="15.75" customHeight="1" x14ac:dyDescent="0.25">
      <c r="A141" s="81" t="s">
        <v>14</v>
      </c>
      <c r="B141" s="64" t="str">
        <f ca="1">IFERROR(__xludf.DUMMYFUNCTION("""COMPUTED_VALUE"""),"Travel &amp; Lodging Expenses")</f>
        <v>Travel &amp; Lodging Expenses</v>
      </c>
      <c r="C141" s="64" t="str">
        <f ca="1">IFERROR(__xludf.DUMMYFUNCTION("""COMPUTED_VALUE"""),"Hotel Accomodation")</f>
        <v>Hotel Accomodation</v>
      </c>
      <c r="D141" s="290">
        <f ca="1">IFERROR(__xludf.DUMMYFUNCTION("""COMPUTED_VALUE"""),93101)</f>
        <v>93101</v>
      </c>
      <c r="E141" s="140">
        <f ca="1">IFERROR(__xludf.DUMMYFUNCTION("""COMPUTED_VALUE"""),403500)</f>
        <v>403500</v>
      </c>
      <c r="F141" s="140">
        <f ca="1">IFERROR(__xludf.DUMMYFUNCTION("""COMPUTED_VALUE"""),0)</f>
        <v>0</v>
      </c>
      <c r="G141" s="140">
        <f ca="1">IFERROR(__xludf.DUMMYFUNCTION("""COMPUTED_VALUE"""),0)</f>
        <v>0</v>
      </c>
      <c r="H141" s="140">
        <f ca="1">IFERROR(__xludf.DUMMYFUNCTION("""COMPUTED_VALUE"""),61500)</f>
        <v>61500</v>
      </c>
      <c r="I141" s="140">
        <f ca="1">IFERROR(__xludf.DUMMYFUNCTION("""COMPUTED_VALUE"""),105000)</f>
        <v>105000</v>
      </c>
      <c r="J141" s="140">
        <f ca="1">IFERROR(__xludf.DUMMYFUNCTION("""COMPUTED_VALUE"""),174000)</f>
        <v>174000</v>
      </c>
      <c r="K141" s="140">
        <f ca="1">IFERROR(__xludf.DUMMYFUNCTION("""COMPUTED_VALUE"""),31500)</f>
        <v>31500</v>
      </c>
      <c r="L141" s="140">
        <f ca="1">IFERROR(__xludf.DUMMYFUNCTION("""COMPUTED_VALUE"""),0)</f>
        <v>0</v>
      </c>
      <c r="M141" s="140">
        <f ca="1">IFERROR(__xludf.DUMMYFUNCTION("""COMPUTED_VALUE"""),0)</f>
        <v>0</v>
      </c>
      <c r="N141" s="140">
        <f ca="1">IFERROR(__xludf.DUMMYFUNCTION("""COMPUTED_VALUE"""),31500)</f>
        <v>31500</v>
      </c>
      <c r="O141" s="140">
        <f ca="1">IFERROR(__xludf.DUMMYFUNCTION("""COMPUTED_VALUE"""),0)</f>
        <v>0</v>
      </c>
      <c r="P141" s="140">
        <f ca="1">IFERROR(__xludf.DUMMYFUNCTION("""COMPUTED_VALUE"""),0)</f>
        <v>0</v>
      </c>
      <c r="Q141" s="288">
        <f ca="1">IFERROR(__xludf.DUMMYFUNCTION("""COMPUTED_VALUE"""),0)</f>
        <v>0</v>
      </c>
      <c r="R141" s="286"/>
      <c r="S141" s="291" t="e">
        <f ca="1">_xludf.ifs(A141="INDIA",E141/'Shared Summary by Dept_US$'!$B$31,A141="INDO",E141/'Shared Summary by Dept_US$'!$B$32,A141="BD",E141/'Shared Summary by Dept_US$'!$B$33,A141="Nepal",E141/'Shared Summary by Dept_US$'!$B$34,A141="US",E141/'Shared Summary by Dept_US$'!$B$35)</f>
        <v>#NAME?</v>
      </c>
      <c r="T141" s="292" t="s">
        <v>174</v>
      </c>
      <c r="U141" s="15"/>
      <c r="V141" s="15"/>
      <c r="W141" s="107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spans="1:34" ht="15.75" customHeight="1" x14ac:dyDescent="0.25">
      <c r="A142" s="81" t="s">
        <v>14</v>
      </c>
      <c r="B142" s="64" t="str">
        <f ca="1">IFERROR(__xludf.DUMMYFUNCTION("""COMPUTED_VALUE"""),"Travel &amp; Lodging Expenses")</f>
        <v>Travel &amp; Lodging Expenses</v>
      </c>
      <c r="C142" s="64" t="str">
        <f ca="1">IFERROR(__xludf.DUMMYFUNCTION("""COMPUTED_VALUE"""),"Food Expenses")</f>
        <v>Food Expenses</v>
      </c>
      <c r="D142" s="290">
        <f ca="1">IFERROR(__xludf.DUMMYFUNCTION("""COMPUTED_VALUE"""),93102)</f>
        <v>93102</v>
      </c>
      <c r="E142" s="140">
        <f ca="1">IFERROR(__xludf.DUMMYFUNCTION("""COMPUTED_VALUE"""),135500)</f>
        <v>135500</v>
      </c>
      <c r="F142" s="140">
        <f ca="1">IFERROR(__xludf.DUMMYFUNCTION("""COMPUTED_VALUE"""),0)</f>
        <v>0</v>
      </c>
      <c r="G142" s="140">
        <f ca="1">IFERROR(__xludf.DUMMYFUNCTION("""COMPUTED_VALUE"""),0)</f>
        <v>0</v>
      </c>
      <c r="H142" s="140">
        <f ca="1">IFERROR(__xludf.DUMMYFUNCTION("""COMPUTED_VALUE"""),21500)</f>
        <v>21500</v>
      </c>
      <c r="I142" s="140">
        <f ca="1">IFERROR(__xludf.DUMMYFUNCTION("""COMPUTED_VALUE"""),35000)</f>
        <v>35000</v>
      </c>
      <c r="J142" s="140">
        <f ca="1">IFERROR(__xludf.DUMMYFUNCTION("""COMPUTED_VALUE"""),61000)</f>
        <v>61000</v>
      </c>
      <c r="K142" s="140">
        <f ca="1">IFERROR(__xludf.DUMMYFUNCTION("""COMPUTED_VALUE"""),9000)</f>
        <v>9000</v>
      </c>
      <c r="L142" s="140">
        <f ca="1">IFERROR(__xludf.DUMMYFUNCTION("""COMPUTED_VALUE"""),0)</f>
        <v>0</v>
      </c>
      <c r="M142" s="140">
        <f ca="1">IFERROR(__xludf.DUMMYFUNCTION("""COMPUTED_VALUE"""),0)</f>
        <v>0</v>
      </c>
      <c r="N142" s="140">
        <f ca="1">IFERROR(__xludf.DUMMYFUNCTION("""COMPUTED_VALUE"""),9000)</f>
        <v>9000</v>
      </c>
      <c r="O142" s="140">
        <f ca="1">IFERROR(__xludf.DUMMYFUNCTION("""COMPUTED_VALUE"""),0)</f>
        <v>0</v>
      </c>
      <c r="P142" s="140">
        <f ca="1">IFERROR(__xludf.DUMMYFUNCTION("""COMPUTED_VALUE"""),0)</f>
        <v>0</v>
      </c>
      <c r="Q142" s="288">
        <f ca="1">IFERROR(__xludf.DUMMYFUNCTION("""COMPUTED_VALUE"""),0)</f>
        <v>0</v>
      </c>
      <c r="R142" s="286"/>
      <c r="S142" s="291" t="e">
        <f ca="1">_xludf.ifs(A142="INDIA",E142/'Shared Summary by Dept_US$'!$B$31,A142="INDO",E142/'Shared Summary by Dept_US$'!$B$32,A142="BD",E142/'Shared Summary by Dept_US$'!$B$33,A142="Nepal",E142/'Shared Summary by Dept_US$'!$B$34,A142="US",E142/'Shared Summary by Dept_US$'!$B$35)</f>
        <v>#NAME?</v>
      </c>
      <c r="T142" s="292" t="s">
        <v>174</v>
      </c>
      <c r="U142" s="15"/>
      <c r="V142" s="15"/>
      <c r="W142" s="107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spans="1:34" ht="15.75" customHeight="1" x14ac:dyDescent="0.25">
      <c r="A143" s="81" t="s">
        <v>14</v>
      </c>
      <c r="B143" s="64" t="str">
        <f ca="1">IFERROR(__xludf.DUMMYFUNCTION("""COMPUTED_VALUE"""),"Travel &amp; Lodging Expenses")</f>
        <v>Travel &amp; Lodging Expenses</v>
      </c>
      <c r="C143" s="64" t="str">
        <f ca="1">IFERROR(__xludf.DUMMYFUNCTION("""COMPUTED_VALUE"""),"Air fare")</f>
        <v>Air fare</v>
      </c>
      <c r="D143" s="290">
        <f ca="1">IFERROR(__xludf.DUMMYFUNCTION("""COMPUTED_VALUE"""),93103)</f>
        <v>93103</v>
      </c>
      <c r="E143" s="140">
        <f ca="1">IFERROR(__xludf.DUMMYFUNCTION("""COMPUTED_VALUE"""),628000)</f>
        <v>628000</v>
      </c>
      <c r="F143" s="140">
        <f ca="1">IFERROR(__xludf.DUMMYFUNCTION("""COMPUTED_VALUE"""),0)</f>
        <v>0</v>
      </c>
      <c r="G143" s="140">
        <f ca="1">IFERROR(__xludf.DUMMYFUNCTION("""COMPUTED_VALUE"""),0)</f>
        <v>0</v>
      </c>
      <c r="H143" s="140">
        <f ca="1">IFERROR(__xludf.DUMMYFUNCTION("""COMPUTED_VALUE"""),124000)</f>
        <v>124000</v>
      </c>
      <c r="I143" s="140">
        <f ca="1">IFERROR(__xludf.DUMMYFUNCTION("""COMPUTED_VALUE"""),130000)</f>
        <v>130000</v>
      </c>
      <c r="J143" s="140">
        <f ca="1">IFERROR(__xludf.DUMMYFUNCTION("""COMPUTED_VALUE"""),246000)</f>
        <v>246000</v>
      </c>
      <c r="K143" s="140">
        <f ca="1">IFERROR(__xludf.DUMMYFUNCTION("""COMPUTED_VALUE"""),36000)</f>
        <v>36000</v>
      </c>
      <c r="L143" s="140">
        <f ca="1">IFERROR(__xludf.DUMMYFUNCTION("""COMPUTED_VALUE"""),0)</f>
        <v>0</v>
      </c>
      <c r="M143" s="140">
        <f ca="1">IFERROR(__xludf.DUMMYFUNCTION("""COMPUTED_VALUE"""),0)</f>
        <v>0</v>
      </c>
      <c r="N143" s="140">
        <f ca="1">IFERROR(__xludf.DUMMYFUNCTION("""COMPUTED_VALUE"""),92000)</f>
        <v>92000</v>
      </c>
      <c r="O143" s="140">
        <f ca="1">IFERROR(__xludf.DUMMYFUNCTION("""COMPUTED_VALUE"""),0)</f>
        <v>0</v>
      </c>
      <c r="P143" s="140">
        <f ca="1">IFERROR(__xludf.DUMMYFUNCTION("""COMPUTED_VALUE"""),0)</f>
        <v>0</v>
      </c>
      <c r="Q143" s="288">
        <f ca="1">IFERROR(__xludf.DUMMYFUNCTION("""COMPUTED_VALUE"""),0)</f>
        <v>0</v>
      </c>
      <c r="R143" s="286"/>
      <c r="S143" s="291" t="e">
        <f ca="1">_xludf.ifs(A143="INDIA",E143/'Shared Summary by Dept_US$'!$B$31,A143="INDO",E143/'Shared Summary by Dept_US$'!$B$32,A143="BD",E143/'Shared Summary by Dept_US$'!$B$33,A143="Nepal",E143/'Shared Summary by Dept_US$'!$B$34,A143="US",E143/'Shared Summary by Dept_US$'!$B$35)</f>
        <v>#NAME?</v>
      </c>
      <c r="T143" s="292" t="s">
        <v>174</v>
      </c>
      <c r="U143" s="15"/>
      <c r="V143" s="15"/>
      <c r="W143" s="107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spans="1:34" ht="15.75" customHeight="1" x14ac:dyDescent="0.25">
      <c r="A144" s="81" t="s">
        <v>14</v>
      </c>
      <c r="B144" s="64" t="str">
        <f ca="1">IFERROR(__xludf.DUMMYFUNCTION("""COMPUTED_VALUE"""),"Travel &amp; Lodging Expenses")</f>
        <v>Travel &amp; Lodging Expenses</v>
      </c>
      <c r="C144" s="64" t="str">
        <f ca="1">IFERROR(__xludf.DUMMYFUNCTION("""COMPUTED_VALUE"""),"Cab/Auto")</f>
        <v>Cab/Auto</v>
      </c>
      <c r="D144" s="290">
        <f ca="1">IFERROR(__xludf.DUMMYFUNCTION("""COMPUTED_VALUE"""),93104)</f>
        <v>93104</v>
      </c>
      <c r="E144" s="140">
        <f ca="1">IFERROR(__xludf.DUMMYFUNCTION("""COMPUTED_VALUE"""),268600)</f>
        <v>268600</v>
      </c>
      <c r="F144" s="140">
        <f ca="1">IFERROR(__xludf.DUMMYFUNCTION("""COMPUTED_VALUE"""),0)</f>
        <v>0</v>
      </c>
      <c r="G144" s="140">
        <f ca="1">IFERROR(__xludf.DUMMYFUNCTION("""COMPUTED_VALUE"""),0)</f>
        <v>0</v>
      </c>
      <c r="H144" s="140">
        <f ca="1">IFERROR(__xludf.DUMMYFUNCTION("""COMPUTED_VALUE"""),60200)</f>
        <v>60200</v>
      </c>
      <c r="I144" s="140">
        <f ca="1">IFERROR(__xludf.DUMMYFUNCTION("""COMPUTED_VALUE"""),70000)</f>
        <v>70000</v>
      </c>
      <c r="J144" s="140">
        <f ca="1">IFERROR(__xludf.DUMMYFUNCTION("""COMPUTED_VALUE"""),85000)</f>
        <v>85000</v>
      </c>
      <c r="K144" s="140">
        <f ca="1">IFERROR(__xludf.DUMMYFUNCTION("""COMPUTED_VALUE"""),25200)</f>
        <v>25200</v>
      </c>
      <c r="L144" s="140">
        <f ca="1">IFERROR(__xludf.DUMMYFUNCTION("""COMPUTED_VALUE"""),0)</f>
        <v>0</v>
      </c>
      <c r="M144" s="140">
        <f ca="1">IFERROR(__xludf.DUMMYFUNCTION("""COMPUTED_VALUE"""),0)</f>
        <v>0</v>
      </c>
      <c r="N144" s="140">
        <f ca="1">IFERROR(__xludf.DUMMYFUNCTION("""COMPUTED_VALUE"""),28200)</f>
        <v>28200</v>
      </c>
      <c r="O144" s="140">
        <f ca="1">IFERROR(__xludf.DUMMYFUNCTION("""COMPUTED_VALUE"""),0)</f>
        <v>0</v>
      </c>
      <c r="P144" s="140">
        <f ca="1">IFERROR(__xludf.DUMMYFUNCTION("""COMPUTED_VALUE"""),0)</f>
        <v>0</v>
      </c>
      <c r="Q144" s="288">
        <f ca="1">IFERROR(__xludf.DUMMYFUNCTION("""COMPUTED_VALUE"""),0)</f>
        <v>0</v>
      </c>
      <c r="R144" s="286"/>
      <c r="S144" s="291" t="e">
        <f ca="1">_xludf.ifs(A144="INDIA",E144/'Shared Summary by Dept_US$'!$B$31,A144="INDO",E144/'Shared Summary by Dept_US$'!$B$32,A144="BD",E144/'Shared Summary by Dept_US$'!$B$33,A144="Nepal",E144/'Shared Summary by Dept_US$'!$B$34,A144="US",E144/'Shared Summary by Dept_US$'!$B$35)</f>
        <v>#NAME?</v>
      </c>
      <c r="T144" s="292" t="s">
        <v>174</v>
      </c>
      <c r="U144" s="15"/>
      <c r="V144" s="15"/>
      <c r="W144" s="107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ht="15.75" customHeight="1" x14ac:dyDescent="0.25">
      <c r="A145" s="81" t="s">
        <v>14</v>
      </c>
      <c r="B145" s="64" t="str">
        <f ca="1">IFERROR(__xludf.DUMMYFUNCTION("""COMPUTED_VALUE"""),"Travel &amp; Lodging Expenses")</f>
        <v>Travel &amp; Lodging Expenses</v>
      </c>
      <c r="C145" s="64" t="str">
        <f ca="1">IFERROR(__xludf.DUMMYFUNCTION("""COMPUTED_VALUE"""),"Bus/Train")</f>
        <v>Bus/Train</v>
      </c>
      <c r="D145" s="290">
        <f ca="1">IFERROR(__xludf.DUMMYFUNCTION("""COMPUTED_VALUE"""),93105)</f>
        <v>93105</v>
      </c>
      <c r="E145" s="140">
        <f ca="1">IFERROR(__xludf.DUMMYFUNCTION("""COMPUTED_VALUE"""),9000)</f>
        <v>9000</v>
      </c>
      <c r="F145" s="140">
        <f ca="1">IFERROR(__xludf.DUMMYFUNCTION("""COMPUTED_VALUE"""),0)</f>
        <v>0</v>
      </c>
      <c r="G145" s="140">
        <f ca="1">IFERROR(__xludf.DUMMYFUNCTION("""COMPUTED_VALUE"""),0)</f>
        <v>0</v>
      </c>
      <c r="H145" s="140">
        <f ca="1">IFERROR(__xludf.DUMMYFUNCTION("""COMPUTED_VALUE"""),3000)</f>
        <v>3000</v>
      </c>
      <c r="I145" s="140">
        <f ca="1">IFERROR(__xludf.DUMMYFUNCTION("""COMPUTED_VALUE"""),0)</f>
        <v>0</v>
      </c>
      <c r="J145" s="140">
        <f ca="1">IFERROR(__xludf.DUMMYFUNCTION("""COMPUTED_VALUE"""),0)</f>
        <v>0</v>
      </c>
      <c r="K145" s="140">
        <f ca="1">IFERROR(__xludf.DUMMYFUNCTION("""COMPUTED_VALUE"""),3000)</f>
        <v>3000</v>
      </c>
      <c r="L145" s="140">
        <f ca="1">IFERROR(__xludf.DUMMYFUNCTION("""COMPUTED_VALUE"""),0)</f>
        <v>0</v>
      </c>
      <c r="M145" s="140">
        <f ca="1">IFERROR(__xludf.DUMMYFUNCTION("""COMPUTED_VALUE"""),0)</f>
        <v>0</v>
      </c>
      <c r="N145" s="140">
        <f ca="1">IFERROR(__xludf.DUMMYFUNCTION("""COMPUTED_VALUE"""),3000)</f>
        <v>3000</v>
      </c>
      <c r="O145" s="140">
        <f ca="1">IFERROR(__xludf.DUMMYFUNCTION("""COMPUTED_VALUE"""),0)</f>
        <v>0</v>
      </c>
      <c r="P145" s="140">
        <f ca="1">IFERROR(__xludf.DUMMYFUNCTION("""COMPUTED_VALUE"""),0)</f>
        <v>0</v>
      </c>
      <c r="Q145" s="288">
        <f ca="1">IFERROR(__xludf.DUMMYFUNCTION("""COMPUTED_VALUE"""),0)</f>
        <v>0</v>
      </c>
      <c r="R145" s="286"/>
      <c r="S145" s="291" t="e">
        <f ca="1">_xludf.ifs(A145="INDIA",E145/'Shared Summary by Dept_US$'!$B$31,A145="INDO",E145/'Shared Summary by Dept_US$'!$B$32,A145="BD",E145/'Shared Summary by Dept_US$'!$B$33,A145="Nepal",E145/'Shared Summary by Dept_US$'!$B$34,A145="US",E145/'Shared Summary by Dept_US$'!$B$35)</f>
        <v>#NAME?</v>
      </c>
      <c r="T145" s="292" t="s">
        <v>174</v>
      </c>
      <c r="U145" s="15"/>
      <c r="V145" s="15"/>
      <c r="W145" s="107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spans="1:34" ht="15.75" customHeight="1" x14ac:dyDescent="0.25">
      <c r="A146" s="81" t="s">
        <v>14</v>
      </c>
      <c r="B146" s="64" t="str">
        <f ca="1">IFERROR(__xludf.DUMMYFUNCTION("""COMPUTED_VALUE"""),"Travel &amp; Lodging Expenses")</f>
        <v>Travel &amp; Lodging Expenses</v>
      </c>
      <c r="C146" s="64" t="str">
        <f ca="1">IFERROR(__xludf.DUMMYFUNCTION("""COMPUTED_VALUE"""),"Other incidental travel costs")</f>
        <v>Other incidental travel costs</v>
      </c>
      <c r="D146" s="290">
        <f ca="1">IFERROR(__xludf.DUMMYFUNCTION("""COMPUTED_VALUE"""),93106)</f>
        <v>93106</v>
      </c>
      <c r="E146" s="140">
        <f ca="1">IFERROR(__xludf.DUMMYFUNCTION("""COMPUTED_VALUE"""),71000)</f>
        <v>71000</v>
      </c>
      <c r="F146" s="140">
        <f ca="1">IFERROR(__xludf.DUMMYFUNCTION("""COMPUTED_VALUE"""),0)</f>
        <v>0</v>
      </c>
      <c r="G146" s="140">
        <f ca="1">IFERROR(__xludf.DUMMYFUNCTION("""COMPUTED_VALUE"""),0)</f>
        <v>0</v>
      </c>
      <c r="H146" s="140">
        <f ca="1">IFERROR(__xludf.DUMMYFUNCTION("""COMPUTED_VALUE"""),4400)</f>
        <v>4400</v>
      </c>
      <c r="I146" s="140">
        <f ca="1">IFERROR(__xludf.DUMMYFUNCTION("""COMPUTED_VALUE"""),17000)</f>
        <v>17000</v>
      </c>
      <c r="J146" s="140">
        <f ca="1">IFERROR(__xludf.DUMMYFUNCTION("""COMPUTED_VALUE"""),45200)</f>
        <v>45200</v>
      </c>
      <c r="K146" s="140">
        <f ca="1">IFERROR(__xludf.DUMMYFUNCTION("""COMPUTED_VALUE"""),1400)</f>
        <v>1400</v>
      </c>
      <c r="L146" s="140">
        <f ca="1">IFERROR(__xludf.DUMMYFUNCTION("""COMPUTED_VALUE"""),0)</f>
        <v>0</v>
      </c>
      <c r="M146" s="140">
        <f ca="1">IFERROR(__xludf.DUMMYFUNCTION("""COMPUTED_VALUE"""),0)</f>
        <v>0</v>
      </c>
      <c r="N146" s="140">
        <f ca="1">IFERROR(__xludf.DUMMYFUNCTION("""COMPUTED_VALUE"""),3000)</f>
        <v>3000</v>
      </c>
      <c r="O146" s="140">
        <f ca="1">IFERROR(__xludf.DUMMYFUNCTION("""COMPUTED_VALUE"""),0)</f>
        <v>0</v>
      </c>
      <c r="P146" s="140">
        <f ca="1">IFERROR(__xludf.DUMMYFUNCTION("""COMPUTED_VALUE"""),0)</f>
        <v>0</v>
      </c>
      <c r="Q146" s="288">
        <f ca="1">IFERROR(__xludf.DUMMYFUNCTION("""COMPUTED_VALUE"""),0)</f>
        <v>0</v>
      </c>
      <c r="R146" s="286"/>
      <c r="S146" s="291" t="e">
        <f ca="1">_xludf.ifs(A146="INDIA",E146/'Shared Summary by Dept_US$'!$B$31,A146="INDO",E146/'Shared Summary by Dept_US$'!$B$32,A146="BD",E146/'Shared Summary by Dept_US$'!$B$33,A146="Nepal",E146/'Shared Summary by Dept_US$'!$B$34,A146="US",E146/'Shared Summary by Dept_US$'!$B$35)</f>
        <v>#NAME?</v>
      </c>
      <c r="T146" s="292" t="s">
        <v>174</v>
      </c>
      <c r="U146" s="15"/>
      <c r="V146" s="15"/>
      <c r="W146" s="107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spans="1:34" ht="15.75" customHeight="1" x14ac:dyDescent="0.25">
      <c r="A147" s="81" t="s">
        <v>14</v>
      </c>
      <c r="B147" s="64" t="str">
        <f ca="1">IFERROR(__xludf.DUMMYFUNCTION("""COMPUTED_VALUE"""),"Supplies &amp; Printing Costs")</f>
        <v>Supplies &amp; Printing Costs</v>
      </c>
      <c r="C147" s="64" t="str">
        <f ca="1">IFERROR(__xludf.DUMMYFUNCTION("""COMPUTED_VALUE"""),"Other Direct Expenses")</f>
        <v>Other Direct Expenses</v>
      </c>
      <c r="D147" s="290">
        <f ca="1">IFERROR(__xludf.DUMMYFUNCTION("""COMPUTED_VALUE"""),93201)</f>
        <v>93201</v>
      </c>
      <c r="E147" s="140">
        <f ca="1">IFERROR(__xludf.DUMMYFUNCTION("""COMPUTED_VALUE"""),0)</f>
        <v>0</v>
      </c>
      <c r="F147" s="140">
        <f ca="1">IFERROR(__xludf.DUMMYFUNCTION("""COMPUTED_VALUE"""),0)</f>
        <v>0</v>
      </c>
      <c r="G147" s="140">
        <f ca="1">IFERROR(__xludf.DUMMYFUNCTION("""COMPUTED_VALUE"""),0)</f>
        <v>0</v>
      </c>
      <c r="H147" s="140">
        <f ca="1">IFERROR(__xludf.DUMMYFUNCTION("""COMPUTED_VALUE"""),0)</f>
        <v>0</v>
      </c>
      <c r="I147" s="140">
        <f ca="1">IFERROR(__xludf.DUMMYFUNCTION("""COMPUTED_VALUE"""),0)</f>
        <v>0</v>
      </c>
      <c r="J147" s="140">
        <f ca="1">IFERROR(__xludf.DUMMYFUNCTION("""COMPUTED_VALUE"""),0)</f>
        <v>0</v>
      </c>
      <c r="K147" s="140">
        <f ca="1">IFERROR(__xludf.DUMMYFUNCTION("""COMPUTED_VALUE"""),0)</f>
        <v>0</v>
      </c>
      <c r="L147" s="140">
        <f ca="1">IFERROR(__xludf.DUMMYFUNCTION("""COMPUTED_VALUE"""),0)</f>
        <v>0</v>
      </c>
      <c r="M147" s="140">
        <f ca="1">IFERROR(__xludf.DUMMYFUNCTION("""COMPUTED_VALUE"""),0)</f>
        <v>0</v>
      </c>
      <c r="N147" s="140">
        <f ca="1">IFERROR(__xludf.DUMMYFUNCTION("""COMPUTED_VALUE"""),0)</f>
        <v>0</v>
      </c>
      <c r="O147" s="140">
        <f ca="1">IFERROR(__xludf.DUMMYFUNCTION("""COMPUTED_VALUE"""),0)</f>
        <v>0</v>
      </c>
      <c r="P147" s="140">
        <f ca="1">IFERROR(__xludf.DUMMYFUNCTION("""COMPUTED_VALUE"""),0)</f>
        <v>0</v>
      </c>
      <c r="Q147" s="288">
        <f ca="1">IFERROR(__xludf.DUMMYFUNCTION("""COMPUTED_VALUE"""),0)</f>
        <v>0</v>
      </c>
      <c r="R147" s="286"/>
      <c r="S147" s="291" t="e">
        <f ca="1">_xludf.ifs(A147="INDIA",E147/'Shared Summary by Dept_US$'!$B$31,A147="INDO",E147/'Shared Summary by Dept_US$'!$B$32,A147="BD",E147/'Shared Summary by Dept_US$'!$B$33,A147="Nepal",E147/'Shared Summary by Dept_US$'!$B$34,A147="US",E147/'Shared Summary by Dept_US$'!$B$35)</f>
        <v>#NAME?</v>
      </c>
      <c r="T147" s="292" t="s">
        <v>174</v>
      </c>
      <c r="U147" s="15"/>
      <c r="V147" s="15"/>
      <c r="W147" s="107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spans="1:34" ht="15.75" customHeight="1" x14ac:dyDescent="0.25">
      <c r="A148" s="81" t="s">
        <v>14</v>
      </c>
      <c r="B148" s="64" t="str">
        <f ca="1">IFERROR(__xludf.DUMMYFUNCTION("""COMPUTED_VALUE"""),"Supplies &amp; Printing Costs")</f>
        <v>Supplies &amp; Printing Costs</v>
      </c>
      <c r="C148" s="64" t="str">
        <f ca="1">IFERROR(__xludf.DUMMYFUNCTION("""COMPUTED_VALUE"""),"Printing expenses")</f>
        <v>Printing expenses</v>
      </c>
      <c r="D148" s="290">
        <f ca="1">IFERROR(__xludf.DUMMYFUNCTION("""COMPUTED_VALUE"""),93204)</f>
        <v>93204</v>
      </c>
      <c r="E148" s="140">
        <f ca="1">IFERROR(__xludf.DUMMYFUNCTION("""COMPUTED_VALUE"""),0)</f>
        <v>0</v>
      </c>
      <c r="F148" s="140">
        <f ca="1">IFERROR(__xludf.DUMMYFUNCTION("""COMPUTED_VALUE"""),0)</f>
        <v>0</v>
      </c>
      <c r="G148" s="140">
        <f ca="1">IFERROR(__xludf.DUMMYFUNCTION("""COMPUTED_VALUE"""),0)</f>
        <v>0</v>
      </c>
      <c r="H148" s="140">
        <f ca="1">IFERROR(__xludf.DUMMYFUNCTION("""COMPUTED_VALUE"""),0)</f>
        <v>0</v>
      </c>
      <c r="I148" s="140">
        <f ca="1">IFERROR(__xludf.DUMMYFUNCTION("""COMPUTED_VALUE"""),0)</f>
        <v>0</v>
      </c>
      <c r="J148" s="140">
        <f ca="1">IFERROR(__xludf.DUMMYFUNCTION("""COMPUTED_VALUE"""),0)</f>
        <v>0</v>
      </c>
      <c r="K148" s="140">
        <f ca="1">IFERROR(__xludf.DUMMYFUNCTION("""COMPUTED_VALUE"""),0)</f>
        <v>0</v>
      </c>
      <c r="L148" s="140">
        <f ca="1">IFERROR(__xludf.DUMMYFUNCTION("""COMPUTED_VALUE"""),0)</f>
        <v>0</v>
      </c>
      <c r="M148" s="140">
        <f ca="1">IFERROR(__xludf.DUMMYFUNCTION("""COMPUTED_VALUE"""),0)</f>
        <v>0</v>
      </c>
      <c r="N148" s="140">
        <f ca="1">IFERROR(__xludf.DUMMYFUNCTION("""COMPUTED_VALUE"""),0)</f>
        <v>0</v>
      </c>
      <c r="O148" s="140">
        <f ca="1">IFERROR(__xludf.DUMMYFUNCTION("""COMPUTED_VALUE"""),0)</f>
        <v>0</v>
      </c>
      <c r="P148" s="140">
        <f ca="1">IFERROR(__xludf.DUMMYFUNCTION("""COMPUTED_VALUE"""),0)</f>
        <v>0</v>
      </c>
      <c r="Q148" s="288">
        <f ca="1">IFERROR(__xludf.DUMMYFUNCTION("""COMPUTED_VALUE"""),0)</f>
        <v>0</v>
      </c>
      <c r="R148" s="286"/>
      <c r="S148" s="291" t="e">
        <f ca="1">_xludf.ifs(A148="INDIA",E148/'Shared Summary by Dept_US$'!$B$31,A148="INDO",E148/'Shared Summary by Dept_US$'!$B$32,A148="BD",E148/'Shared Summary by Dept_US$'!$B$33,A148="Nepal",E148/'Shared Summary by Dept_US$'!$B$34,A148="US",E148/'Shared Summary by Dept_US$'!$B$35)</f>
        <v>#NAME?</v>
      </c>
      <c r="T148" s="292" t="s">
        <v>174</v>
      </c>
      <c r="U148" s="15"/>
      <c r="V148" s="15"/>
      <c r="W148" s="107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ht="15.75" customHeight="1" x14ac:dyDescent="0.25">
      <c r="A149" s="81" t="s">
        <v>14</v>
      </c>
      <c r="B149" s="64" t="str">
        <f ca="1">IFERROR(__xludf.DUMMYFUNCTION("""COMPUTED_VALUE"""),"Communication Cost")</f>
        <v>Communication Cost</v>
      </c>
      <c r="C149" s="64" t="str">
        <f ca="1">IFERROR(__xludf.DUMMYFUNCTION("""COMPUTED_VALUE"""),"Internet Expenses")</f>
        <v>Internet Expenses</v>
      </c>
      <c r="D149" s="290">
        <f ca="1">IFERROR(__xludf.DUMMYFUNCTION("""COMPUTED_VALUE"""),93301)</f>
        <v>93301</v>
      </c>
      <c r="E149" s="140">
        <f ca="1">IFERROR(__xludf.DUMMYFUNCTION("""COMPUTED_VALUE"""),0)</f>
        <v>0</v>
      </c>
      <c r="F149" s="140">
        <f ca="1">IFERROR(__xludf.DUMMYFUNCTION("""COMPUTED_VALUE"""),0)</f>
        <v>0</v>
      </c>
      <c r="G149" s="140">
        <f ca="1">IFERROR(__xludf.DUMMYFUNCTION("""COMPUTED_VALUE"""),0)</f>
        <v>0</v>
      </c>
      <c r="H149" s="140">
        <f ca="1">IFERROR(__xludf.DUMMYFUNCTION("""COMPUTED_VALUE"""),0)</f>
        <v>0</v>
      </c>
      <c r="I149" s="140">
        <f ca="1">IFERROR(__xludf.DUMMYFUNCTION("""COMPUTED_VALUE"""),0)</f>
        <v>0</v>
      </c>
      <c r="J149" s="140">
        <f ca="1">IFERROR(__xludf.DUMMYFUNCTION("""COMPUTED_VALUE"""),0)</f>
        <v>0</v>
      </c>
      <c r="K149" s="140">
        <f ca="1">IFERROR(__xludf.DUMMYFUNCTION("""COMPUTED_VALUE"""),0)</f>
        <v>0</v>
      </c>
      <c r="L149" s="140">
        <f ca="1">IFERROR(__xludf.DUMMYFUNCTION("""COMPUTED_VALUE"""),0)</f>
        <v>0</v>
      </c>
      <c r="M149" s="140">
        <f ca="1">IFERROR(__xludf.DUMMYFUNCTION("""COMPUTED_VALUE"""),0)</f>
        <v>0</v>
      </c>
      <c r="N149" s="140">
        <f ca="1">IFERROR(__xludf.DUMMYFUNCTION("""COMPUTED_VALUE"""),0)</f>
        <v>0</v>
      </c>
      <c r="O149" s="140">
        <f ca="1">IFERROR(__xludf.DUMMYFUNCTION("""COMPUTED_VALUE"""),0)</f>
        <v>0</v>
      </c>
      <c r="P149" s="140">
        <f ca="1">IFERROR(__xludf.DUMMYFUNCTION("""COMPUTED_VALUE"""),0)</f>
        <v>0</v>
      </c>
      <c r="Q149" s="288">
        <f ca="1">IFERROR(__xludf.DUMMYFUNCTION("""COMPUTED_VALUE"""),0)</f>
        <v>0</v>
      </c>
      <c r="R149" s="286"/>
      <c r="S149" s="291" t="e">
        <f ca="1">_xludf.ifs(A149="INDIA",E149/'Shared Summary by Dept_US$'!$B$31,A149="INDO",E149/'Shared Summary by Dept_US$'!$B$32,A149="BD",E149/'Shared Summary by Dept_US$'!$B$33,A149="Nepal",E149/'Shared Summary by Dept_US$'!$B$34,A149="US",E149/'Shared Summary by Dept_US$'!$B$35)</f>
        <v>#NAME?</v>
      </c>
      <c r="T149" s="292" t="s">
        <v>174</v>
      </c>
      <c r="U149" s="15"/>
      <c r="V149" s="15"/>
      <c r="W149" s="107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ht="15.75" customHeight="1" x14ac:dyDescent="0.25">
      <c r="A150" s="81" t="s">
        <v>14</v>
      </c>
      <c r="B150" s="64" t="str">
        <f ca="1">IFERROR(__xludf.DUMMYFUNCTION("""COMPUTED_VALUE"""),"Communication Cost")</f>
        <v>Communication Cost</v>
      </c>
      <c r="C150" s="64" t="str">
        <f ca="1">IFERROR(__xludf.DUMMYFUNCTION("""COMPUTED_VALUE"""),"Postage &amp; Courier Expenses")</f>
        <v>Postage &amp; Courier Expenses</v>
      </c>
      <c r="D150" s="290">
        <f ca="1">IFERROR(__xludf.DUMMYFUNCTION("""COMPUTED_VALUE"""),93302)</f>
        <v>93302</v>
      </c>
      <c r="E150" s="140">
        <f ca="1">IFERROR(__xludf.DUMMYFUNCTION("""COMPUTED_VALUE"""),0)</f>
        <v>0</v>
      </c>
      <c r="F150" s="140">
        <f ca="1">IFERROR(__xludf.DUMMYFUNCTION("""COMPUTED_VALUE"""),0)</f>
        <v>0</v>
      </c>
      <c r="G150" s="140">
        <f ca="1">IFERROR(__xludf.DUMMYFUNCTION("""COMPUTED_VALUE"""),0)</f>
        <v>0</v>
      </c>
      <c r="H150" s="140">
        <f ca="1">IFERROR(__xludf.DUMMYFUNCTION("""COMPUTED_VALUE"""),0)</f>
        <v>0</v>
      </c>
      <c r="I150" s="140">
        <f ca="1">IFERROR(__xludf.DUMMYFUNCTION("""COMPUTED_VALUE"""),0)</f>
        <v>0</v>
      </c>
      <c r="J150" s="140">
        <f ca="1">IFERROR(__xludf.DUMMYFUNCTION("""COMPUTED_VALUE"""),0)</f>
        <v>0</v>
      </c>
      <c r="K150" s="140">
        <f ca="1">IFERROR(__xludf.DUMMYFUNCTION("""COMPUTED_VALUE"""),0)</f>
        <v>0</v>
      </c>
      <c r="L150" s="140">
        <f ca="1">IFERROR(__xludf.DUMMYFUNCTION("""COMPUTED_VALUE"""),0)</f>
        <v>0</v>
      </c>
      <c r="M150" s="140">
        <f ca="1">IFERROR(__xludf.DUMMYFUNCTION("""COMPUTED_VALUE"""),0)</f>
        <v>0</v>
      </c>
      <c r="N150" s="140">
        <f ca="1">IFERROR(__xludf.DUMMYFUNCTION("""COMPUTED_VALUE"""),0)</f>
        <v>0</v>
      </c>
      <c r="O150" s="140">
        <f ca="1">IFERROR(__xludf.DUMMYFUNCTION("""COMPUTED_VALUE"""),0)</f>
        <v>0</v>
      </c>
      <c r="P150" s="140">
        <f ca="1">IFERROR(__xludf.DUMMYFUNCTION("""COMPUTED_VALUE"""),0)</f>
        <v>0</v>
      </c>
      <c r="Q150" s="288">
        <f ca="1">IFERROR(__xludf.DUMMYFUNCTION("""COMPUTED_VALUE"""),0)</f>
        <v>0</v>
      </c>
      <c r="R150" s="286"/>
      <c r="S150" s="291" t="e">
        <f ca="1">_xludf.ifs(A150="INDIA",E150/'Shared Summary by Dept_US$'!$B$31,A150="INDO",E150/'Shared Summary by Dept_US$'!$B$32,A150="BD",E150/'Shared Summary by Dept_US$'!$B$33,A150="Nepal",E150/'Shared Summary by Dept_US$'!$B$34,A150="US",E150/'Shared Summary by Dept_US$'!$B$35)</f>
        <v>#NAME?</v>
      </c>
      <c r="T150" s="292" t="s">
        <v>174</v>
      </c>
      <c r="U150" s="15"/>
      <c r="V150" s="15"/>
      <c r="W150" s="107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spans="1:34" ht="15.75" customHeight="1" x14ac:dyDescent="0.25">
      <c r="A151" s="81" t="s">
        <v>14</v>
      </c>
      <c r="B151" s="64" t="str">
        <f ca="1">IFERROR(__xludf.DUMMYFUNCTION("""COMPUTED_VALUE"""),"Communication Cost")</f>
        <v>Communication Cost</v>
      </c>
      <c r="C151" s="64" t="str">
        <f ca="1">IFERROR(__xludf.DUMMYFUNCTION("""COMPUTED_VALUE"""),"Telecommunication expenses")</f>
        <v>Telecommunication expenses</v>
      </c>
      <c r="D151" s="290">
        <f ca="1">IFERROR(__xludf.DUMMYFUNCTION("""COMPUTED_VALUE"""),93303)</f>
        <v>93303</v>
      </c>
      <c r="E151" s="140">
        <f ca="1">IFERROR(__xludf.DUMMYFUNCTION("""COMPUTED_VALUE"""),0)</f>
        <v>0</v>
      </c>
      <c r="F151" s="140">
        <f ca="1">IFERROR(__xludf.DUMMYFUNCTION("""COMPUTED_VALUE"""),0)</f>
        <v>0</v>
      </c>
      <c r="G151" s="140">
        <f ca="1">IFERROR(__xludf.DUMMYFUNCTION("""COMPUTED_VALUE"""),0)</f>
        <v>0</v>
      </c>
      <c r="H151" s="140">
        <f ca="1">IFERROR(__xludf.DUMMYFUNCTION("""COMPUTED_VALUE"""),0)</f>
        <v>0</v>
      </c>
      <c r="I151" s="140">
        <f ca="1">IFERROR(__xludf.DUMMYFUNCTION("""COMPUTED_VALUE"""),0)</f>
        <v>0</v>
      </c>
      <c r="J151" s="140">
        <f ca="1">IFERROR(__xludf.DUMMYFUNCTION("""COMPUTED_VALUE"""),0)</f>
        <v>0</v>
      </c>
      <c r="K151" s="140">
        <f ca="1">IFERROR(__xludf.DUMMYFUNCTION("""COMPUTED_VALUE"""),0)</f>
        <v>0</v>
      </c>
      <c r="L151" s="140">
        <f ca="1">IFERROR(__xludf.DUMMYFUNCTION("""COMPUTED_VALUE"""),0)</f>
        <v>0</v>
      </c>
      <c r="M151" s="140">
        <f ca="1">IFERROR(__xludf.DUMMYFUNCTION("""COMPUTED_VALUE"""),0)</f>
        <v>0</v>
      </c>
      <c r="N151" s="140">
        <f ca="1">IFERROR(__xludf.DUMMYFUNCTION("""COMPUTED_VALUE"""),0)</f>
        <v>0</v>
      </c>
      <c r="O151" s="140">
        <f ca="1">IFERROR(__xludf.DUMMYFUNCTION("""COMPUTED_VALUE"""),0)</f>
        <v>0</v>
      </c>
      <c r="P151" s="140">
        <f ca="1">IFERROR(__xludf.DUMMYFUNCTION("""COMPUTED_VALUE"""),0)</f>
        <v>0</v>
      </c>
      <c r="Q151" s="288">
        <f ca="1">IFERROR(__xludf.DUMMYFUNCTION("""COMPUTED_VALUE"""),0)</f>
        <v>0</v>
      </c>
      <c r="R151" s="286"/>
      <c r="S151" s="291" t="e">
        <f ca="1">_xludf.ifs(A151="INDIA",E151/'Shared Summary by Dept_US$'!$B$31,A151="INDO",E151/'Shared Summary by Dept_US$'!$B$32,A151="BD",E151/'Shared Summary by Dept_US$'!$B$33,A151="Nepal",E151/'Shared Summary by Dept_US$'!$B$34,A151="US",E151/'Shared Summary by Dept_US$'!$B$35)</f>
        <v>#NAME?</v>
      </c>
      <c r="T151" s="292" t="s">
        <v>174</v>
      </c>
      <c r="U151" s="15"/>
      <c r="V151" s="15"/>
      <c r="W151" s="107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ht="15.75" customHeight="1" x14ac:dyDescent="0.25">
      <c r="A152" s="81" t="s">
        <v>14</v>
      </c>
      <c r="B152" s="64" t="str">
        <f ca="1">IFERROR(__xludf.DUMMYFUNCTION("""COMPUTED_VALUE"""),"Office Expenses")</f>
        <v>Office Expenses</v>
      </c>
      <c r="C152" s="64" t="str">
        <f ca="1">IFERROR(__xludf.DUMMYFUNCTION("""COMPUTED_VALUE"""),"Software and Subscriptions")</f>
        <v>Software and Subscriptions</v>
      </c>
      <c r="D152" s="290">
        <f ca="1">IFERROR(__xludf.DUMMYFUNCTION("""COMPUTED_VALUE"""),93401)</f>
        <v>93401</v>
      </c>
      <c r="E152" s="140">
        <f ca="1">IFERROR(__xludf.DUMMYFUNCTION("""COMPUTED_VALUE"""),0)</f>
        <v>0</v>
      </c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288"/>
      <c r="R152" s="286"/>
      <c r="S152" s="291" t="e">
        <f ca="1">_xludf.ifs(A152="INDIA",E152/'Shared Summary by Dept_US$'!$B$31,A152="INDO",E152/'Shared Summary by Dept_US$'!$B$32,A152="BD",E152/'Shared Summary by Dept_US$'!$B$33,A152="Nepal",E152/'Shared Summary by Dept_US$'!$B$34,A152="US",E152/'Shared Summary by Dept_US$'!$B$35)</f>
        <v>#NAME?</v>
      </c>
      <c r="T152" s="292" t="s">
        <v>174</v>
      </c>
      <c r="U152" s="15"/>
      <c r="V152" s="15"/>
      <c r="W152" s="107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spans="1:34" ht="15.75" customHeight="1" x14ac:dyDescent="0.25">
      <c r="A153" s="81" t="s">
        <v>14</v>
      </c>
      <c r="B153" s="64" t="str">
        <f ca="1">IFERROR(__xludf.DUMMYFUNCTION("""COMPUTED_VALUE"""),"Office Expenses")</f>
        <v>Office Expenses</v>
      </c>
      <c r="C153" s="64" t="str">
        <f ca="1">IFERROR(__xludf.DUMMYFUNCTION("""COMPUTED_VALUE"""),"Stationery &amp; Consumables")</f>
        <v>Stationery &amp; Consumables</v>
      </c>
      <c r="D153" s="290">
        <f ca="1">IFERROR(__xludf.DUMMYFUNCTION("""COMPUTED_VALUE"""),93404)</f>
        <v>93404</v>
      </c>
      <c r="E153" s="140">
        <f ca="1">IFERROR(__xludf.DUMMYFUNCTION("""COMPUTED_VALUE"""),0)</f>
        <v>0</v>
      </c>
      <c r="F153" s="140">
        <f ca="1">IFERROR(__xludf.DUMMYFUNCTION("""COMPUTED_VALUE"""),0)</f>
        <v>0</v>
      </c>
      <c r="G153" s="140">
        <f ca="1">IFERROR(__xludf.DUMMYFUNCTION("""COMPUTED_VALUE"""),0)</f>
        <v>0</v>
      </c>
      <c r="H153" s="140">
        <f ca="1">IFERROR(__xludf.DUMMYFUNCTION("""COMPUTED_VALUE"""),0)</f>
        <v>0</v>
      </c>
      <c r="I153" s="140">
        <f ca="1">IFERROR(__xludf.DUMMYFUNCTION("""COMPUTED_VALUE"""),0)</f>
        <v>0</v>
      </c>
      <c r="J153" s="140">
        <f ca="1">IFERROR(__xludf.DUMMYFUNCTION("""COMPUTED_VALUE"""),0)</f>
        <v>0</v>
      </c>
      <c r="K153" s="140">
        <f ca="1">IFERROR(__xludf.DUMMYFUNCTION("""COMPUTED_VALUE"""),0)</f>
        <v>0</v>
      </c>
      <c r="L153" s="140">
        <f ca="1">IFERROR(__xludf.DUMMYFUNCTION("""COMPUTED_VALUE"""),0)</f>
        <v>0</v>
      </c>
      <c r="M153" s="140">
        <f ca="1">IFERROR(__xludf.DUMMYFUNCTION("""COMPUTED_VALUE"""),0)</f>
        <v>0</v>
      </c>
      <c r="N153" s="140">
        <f ca="1">IFERROR(__xludf.DUMMYFUNCTION("""COMPUTED_VALUE"""),0)</f>
        <v>0</v>
      </c>
      <c r="O153" s="140">
        <f ca="1">IFERROR(__xludf.DUMMYFUNCTION("""COMPUTED_VALUE"""),0)</f>
        <v>0</v>
      </c>
      <c r="P153" s="140">
        <f ca="1">IFERROR(__xludf.DUMMYFUNCTION("""COMPUTED_VALUE"""),0)</f>
        <v>0</v>
      </c>
      <c r="Q153" s="288">
        <f ca="1">IFERROR(__xludf.DUMMYFUNCTION("""COMPUTED_VALUE"""),0)</f>
        <v>0</v>
      </c>
      <c r="R153" s="286"/>
      <c r="S153" s="291" t="e">
        <f ca="1">_xludf.ifs(A153="INDIA",E153/'Shared Summary by Dept_US$'!$B$31,A153="INDO",E153/'Shared Summary by Dept_US$'!$B$32,A153="BD",E153/'Shared Summary by Dept_US$'!$B$33,A153="Nepal",E153/'Shared Summary by Dept_US$'!$B$34,A153="US",E153/'Shared Summary by Dept_US$'!$B$35)</f>
        <v>#NAME?</v>
      </c>
      <c r="T153" s="292" t="s">
        <v>174</v>
      </c>
      <c r="U153" s="15"/>
      <c r="V153" s="15"/>
      <c r="W153" s="107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ht="15.75" customHeight="1" x14ac:dyDescent="0.25">
      <c r="A154" s="81" t="s">
        <v>14</v>
      </c>
      <c r="B154" s="64" t="str">
        <f ca="1">IFERROR(__xludf.DUMMYFUNCTION("""COMPUTED_VALUE"""),"Office Expenses")</f>
        <v>Office Expenses</v>
      </c>
      <c r="C154" s="64" t="str">
        <f ca="1">IFERROR(__xludf.DUMMYFUNCTION("""COMPUTED_VALUE"""),"Office Equipment Expense")</f>
        <v>Office Equipment Expense</v>
      </c>
      <c r="D154" s="290">
        <f ca="1">IFERROR(__xludf.DUMMYFUNCTION("""COMPUTED_VALUE"""),93405)</f>
        <v>93405</v>
      </c>
      <c r="E154" s="140">
        <f ca="1">IFERROR(__xludf.DUMMYFUNCTION("""COMPUTED_VALUE"""),0)</f>
        <v>0</v>
      </c>
      <c r="F154" s="140">
        <f ca="1">IFERROR(__xludf.DUMMYFUNCTION("""COMPUTED_VALUE"""),0)</f>
        <v>0</v>
      </c>
      <c r="G154" s="140">
        <f ca="1">IFERROR(__xludf.DUMMYFUNCTION("""COMPUTED_VALUE"""),0)</f>
        <v>0</v>
      </c>
      <c r="H154" s="140">
        <f ca="1">IFERROR(__xludf.DUMMYFUNCTION("""COMPUTED_VALUE"""),0)</f>
        <v>0</v>
      </c>
      <c r="I154" s="140">
        <f ca="1">IFERROR(__xludf.DUMMYFUNCTION("""COMPUTED_VALUE"""),0)</f>
        <v>0</v>
      </c>
      <c r="J154" s="140">
        <f ca="1">IFERROR(__xludf.DUMMYFUNCTION("""COMPUTED_VALUE"""),0)</f>
        <v>0</v>
      </c>
      <c r="K154" s="140">
        <f ca="1">IFERROR(__xludf.DUMMYFUNCTION("""COMPUTED_VALUE"""),0)</f>
        <v>0</v>
      </c>
      <c r="L154" s="140">
        <f ca="1">IFERROR(__xludf.DUMMYFUNCTION("""COMPUTED_VALUE"""),0)</f>
        <v>0</v>
      </c>
      <c r="M154" s="140">
        <f ca="1">IFERROR(__xludf.DUMMYFUNCTION("""COMPUTED_VALUE"""),0)</f>
        <v>0</v>
      </c>
      <c r="N154" s="140">
        <f ca="1">IFERROR(__xludf.DUMMYFUNCTION("""COMPUTED_VALUE"""),0)</f>
        <v>0</v>
      </c>
      <c r="O154" s="140">
        <f ca="1">IFERROR(__xludf.DUMMYFUNCTION("""COMPUTED_VALUE"""),0)</f>
        <v>0</v>
      </c>
      <c r="P154" s="140">
        <f ca="1">IFERROR(__xludf.DUMMYFUNCTION("""COMPUTED_VALUE"""),0)</f>
        <v>0</v>
      </c>
      <c r="Q154" s="288">
        <f ca="1">IFERROR(__xludf.DUMMYFUNCTION("""COMPUTED_VALUE"""),0)</f>
        <v>0</v>
      </c>
      <c r="R154" s="286"/>
      <c r="S154" s="291" t="e">
        <f ca="1">_xludf.ifs(A154="INDIA",E154/'Shared Summary by Dept_US$'!$B$31,A154="INDO",E154/'Shared Summary by Dept_US$'!$B$32,A154="BD",E154/'Shared Summary by Dept_US$'!$B$33,A154="Nepal",E154/'Shared Summary by Dept_US$'!$B$34,A154="US",E154/'Shared Summary by Dept_US$'!$B$35)</f>
        <v>#NAME?</v>
      </c>
      <c r="T154" s="292" t="s">
        <v>174</v>
      </c>
      <c r="U154" s="15"/>
      <c r="V154" s="15"/>
      <c r="W154" s="107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ht="15.75" customHeight="1" x14ac:dyDescent="0.25">
      <c r="A155" s="81" t="s">
        <v>14</v>
      </c>
      <c r="B155" s="64" t="str">
        <f ca="1">IFERROR(__xludf.DUMMYFUNCTION("""COMPUTED_VALUE"""),"Professional &amp; Consultancy Charges")</f>
        <v>Professional &amp; Consultancy Charges</v>
      </c>
      <c r="C155" s="64" t="str">
        <f ca="1">IFERROR(__xludf.DUMMYFUNCTION("""COMPUTED_VALUE"""),"Admin Consultants")</f>
        <v>Admin Consultants</v>
      </c>
      <c r="D155" s="290">
        <f ca="1">IFERROR(__xludf.DUMMYFUNCTION("""COMPUTED_VALUE"""),93703)</f>
        <v>93703</v>
      </c>
      <c r="E155" s="140">
        <f ca="1">IFERROR(__xludf.DUMMYFUNCTION("""COMPUTED_VALUE"""),0)</f>
        <v>0</v>
      </c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288"/>
      <c r="R155" s="286"/>
      <c r="S155" s="291" t="e">
        <f ca="1">_xludf.ifs(A155="INDIA",E155/'Shared Summary by Dept_US$'!$B$31,A155="INDO",E155/'Shared Summary by Dept_US$'!$B$32,A155="BD",E155/'Shared Summary by Dept_US$'!$B$33,A155="Nepal",E155/'Shared Summary by Dept_US$'!$B$34,A155="US",E155/'Shared Summary by Dept_US$'!$B$35)</f>
        <v>#NAME?</v>
      </c>
      <c r="T155" s="292" t="s">
        <v>174</v>
      </c>
      <c r="U155" s="15"/>
      <c r="V155" s="15"/>
      <c r="W155" s="107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34" ht="15.75" customHeight="1" x14ac:dyDescent="0.25">
      <c r="A156" s="81" t="s">
        <v>14</v>
      </c>
      <c r="B156" s="64" t="str">
        <f ca="1">IFERROR(__xludf.DUMMYFUNCTION("""COMPUTED_VALUE"""),"Fixed Assets")</f>
        <v>Fixed Assets</v>
      </c>
      <c r="C156" s="64" t="str">
        <f ca="1">IFERROR(__xludf.DUMMYFUNCTION("""COMPUTED_VALUE"""),"Laptop/ Printer")</f>
        <v>Laptop/ Printer</v>
      </c>
      <c r="D156" s="290">
        <f ca="1">IFERROR(__xludf.DUMMYFUNCTION("""COMPUTED_VALUE"""),11301)</f>
        <v>11301</v>
      </c>
      <c r="E156" s="140">
        <f ca="1">IFERROR(__xludf.DUMMYFUNCTION("""COMPUTED_VALUE"""),0)</f>
        <v>0</v>
      </c>
      <c r="F156" s="140">
        <f ca="1">IFERROR(__xludf.DUMMYFUNCTION("""COMPUTED_VALUE"""),0)</f>
        <v>0</v>
      </c>
      <c r="G156" s="140">
        <f ca="1">IFERROR(__xludf.DUMMYFUNCTION("""COMPUTED_VALUE"""),0)</f>
        <v>0</v>
      </c>
      <c r="H156" s="140">
        <f ca="1">IFERROR(__xludf.DUMMYFUNCTION("""COMPUTED_VALUE"""),0)</f>
        <v>0</v>
      </c>
      <c r="I156" s="140">
        <f ca="1">IFERROR(__xludf.DUMMYFUNCTION("""COMPUTED_VALUE"""),0)</f>
        <v>0</v>
      </c>
      <c r="J156" s="140">
        <f ca="1">IFERROR(__xludf.DUMMYFUNCTION("""COMPUTED_VALUE"""),0)</f>
        <v>0</v>
      </c>
      <c r="K156" s="140">
        <f ca="1">IFERROR(__xludf.DUMMYFUNCTION("""COMPUTED_VALUE"""),0)</f>
        <v>0</v>
      </c>
      <c r="L156" s="140">
        <f ca="1">IFERROR(__xludf.DUMMYFUNCTION("""COMPUTED_VALUE"""),0)</f>
        <v>0</v>
      </c>
      <c r="M156" s="140">
        <f ca="1">IFERROR(__xludf.DUMMYFUNCTION("""COMPUTED_VALUE"""),0)</f>
        <v>0</v>
      </c>
      <c r="N156" s="140">
        <f ca="1">IFERROR(__xludf.DUMMYFUNCTION("""COMPUTED_VALUE"""),0)</f>
        <v>0</v>
      </c>
      <c r="O156" s="140">
        <f ca="1">IFERROR(__xludf.DUMMYFUNCTION("""COMPUTED_VALUE"""),0)</f>
        <v>0</v>
      </c>
      <c r="P156" s="140">
        <f ca="1">IFERROR(__xludf.DUMMYFUNCTION("""COMPUTED_VALUE"""),0)</f>
        <v>0</v>
      </c>
      <c r="Q156" s="288">
        <f ca="1">IFERROR(__xludf.DUMMYFUNCTION("""COMPUTED_VALUE"""),0)</f>
        <v>0</v>
      </c>
      <c r="R156" s="286"/>
      <c r="S156" s="291" t="e">
        <f ca="1">_xludf.ifs(A156="INDIA",E156/'Shared Summary by Dept_US$'!$B$31,A156="INDO",E156/'Shared Summary by Dept_US$'!$B$32,A156="BD",E156/'Shared Summary by Dept_US$'!$B$33,A156="Nepal",E156/'Shared Summary by Dept_US$'!$B$34,A156="US",E156/'Shared Summary by Dept_US$'!$B$35)</f>
        <v>#NAME?</v>
      </c>
      <c r="T156" s="292" t="s">
        <v>174</v>
      </c>
      <c r="U156" s="15"/>
      <c r="V156" s="15"/>
      <c r="W156" s="107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spans="1:34" ht="15.75" customHeight="1" x14ac:dyDescent="0.25">
      <c r="A157" s="139" t="s">
        <v>24</v>
      </c>
      <c r="B157" s="64" t="str">
        <f ca="1">IFERROR(__xludf.DUMMYFUNCTION("""COMPUTED_VALUE"""),"Salaries and Wages")</f>
        <v>Salaries and Wages</v>
      </c>
      <c r="C157" s="64" t="str">
        <f ca="1">IFERROR(__xludf.DUMMYFUNCTION("""COMPUTED_VALUE"""),"Salaries and Wages")</f>
        <v>Salaries and Wages</v>
      </c>
      <c r="D157" s="290"/>
      <c r="E157" s="140">
        <f ca="1">IFERROR(__xludf.DUMMYFUNCTION("""COMPUTED_VALUE"""),1493996046)</f>
        <v>1493996046</v>
      </c>
      <c r="F157" s="140">
        <f ca="1">IFERROR(__xludf.DUMMYFUNCTION("""COMPUTED_VALUE"""),41305816)</f>
        <v>41305816</v>
      </c>
      <c r="G157" s="140">
        <f ca="1">IFERROR(__xludf.DUMMYFUNCTION("""COMPUTED_VALUE"""),65126640)</f>
        <v>65126640</v>
      </c>
      <c r="H157" s="140">
        <f ca="1">IFERROR(__xludf.DUMMYFUNCTION("""COMPUTED_VALUE"""),49190727)</f>
        <v>49190727</v>
      </c>
      <c r="I157" s="140">
        <f ca="1">IFERROR(__xludf.DUMMYFUNCTION("""COMPUTED_VALUE"""),125491607)</f>
        <v>125491607</v>
      </c>
      <c r="J157" s="140">
        <f ca="1">IFERROR(__xludf.DUMMYFUNCTION("""COMPUTED_VALUE"""),136956567)</f>
        <v>136956567</v>
      </c>
      <c r="K157" s="140">
        <f ca="1">IFERROR(__xludf.DUMMYFUNCTION("""COMPUTED_VALUE"""),153703527)</f>
        <v>153703527</v>
      </c>
      <c r="L157" s="140">
        <f ca="1">IFERROR(__xludf.DUMMYFUNCTION("""COMPUTED_VALUE"""),153703527)</f>
        <v>153703527</v>
      </c>
      <c r="M157" s="140">
        <f ca="1">IFERROR(__xludf.DUMMYFUNCTION("""COMPUTED_VALUE"""),153703527)</f>
        <v>153703527</v>
      </c>
      <c r="N157" s="140">
        <f ca="1">IFERROR(__xludf.DUMMYFUNCTION("""COMPUTED_VALUE"""),153703527)</f>
        <v>153703527</v>
      </c>
      <c r="O157" s="140">
        <f ca="1">IFERROR(__xludf.DUMMYFUNCTION("""COMPUTED_VALUE"""),153703527)</f>
        <v>153703527</v>
      </c>
      <c r="P157" s="140">
        <f ca="1">IFERROR(__xludf.DUMMYFUNCTION("""COMPUTED_VALUE"""),153703527)</f>
        <v>153703527</v>
      </c>
      <c r="Q157" s="288">
        <f ca="1">IFERROR(__xludf.DUMMYFUNCTION("""COMPUTED_VALUE"""),153703527)</f>
        <v>153703527</v>
      </c>
      <c r="R157" s="286"/>
      <c r="S157" s="291" t="e">
        <f ca="1">_xludf.ifs(A157="INDIA",E157/'Shared Summary by Dept_US$'!$B$31,A157="INDO",E157/'Shared Summary by Dept_US$'!$B$32,A157="BD",E157/'Shared Summary by Dept_US$'!$B$33,A157="Nepal",E157/'Shared Summary by Dept_US$'!$B$34,A157="US",E157/'Shared Summary by Dept_US$'!$B$35)</f>
        <v>#NAME?</v>
      </c>
      <c r="T157" s="292" t="s">
        <v>162</v>
      </c>
      <c r="U157" s="15"/>
      <c r="V157" s="15"/>
      <c r="W157" s="107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spans="1:34" ht="15.75" customHeight="1" x14ac:dyDescent="0.25">
      <c r="A158" s="139" t="s">
        <v>24</v>
      </c>
      <c r="B158" s="64" t="str">
        <f ca="1">IFERROR(__xludf.DUMMYFUNCTION("""COMPUTED_VALUE"""),"Health and Retirement Benefits")</f>
        <v>Health and Retirement Benefits</v>
      </c>
      <c r="C158" s="64" t="str">
        <f ca="1">IFERROR(__xludf.DUMMYFUNCTION("""COMPUTED_VALUE"""),"Gratuity &amp; Bonus")</f>
        <v>Gratuity &amp; Bonus</v>
      </c>
      <c r="D158" s="290"/>
      <c r="E158" s="140">
        <f ca="1">IFERROR(__xludf.DUMMYFUNCTION("""COMPUTED_VALUE"""),0)</f>
        <v>0</v>
      </c>
      <c r="F158" s="140">
        <f ca="1">IFERROR(__xludf.DUMMYFUNCTION("""COMPUTED_VALUE"""),0)</f>
        <v>0</v>
      </c>
      <c r="G158" s="140">
        <f ca="1">IFERROR(__xludf.DUMMYFUNCTION("""COMPUTED_VALUE"""),0)</f>
        <v>0</v>
      </c>
      <c r="H158" s="140">
        <f ca="1">IFERROR(__xludf.DUMMYFUNCTION("""COMPUTED_VALUE"""),0)</f>
        <v>0</v>
      </c>
      <c r="I158" s="140">
        <f ca="1">IFERROR(__xludf.DUMMYFUNCTION("""COMPUTED_VALUE"""),0)</f>
        <v>0</v>
      </c>
      <c r="J158" s="140">
        <f ca="1">IFERROR(__xludf.DUMMYFUNCTION("""COMPUTED_VALUE"""),0)</f>
        <v>0</v>
      </c>
      <c r="K158" s="140">
        <f ca="1">IFERROR(__xludf.DUMMYFUNCTION("""COMPUTED_VALUE"""),0)</f>
        <v>0</v>
      </c>
      <c r="L158" s="140">
        <f ca="1">IFERROR(__xludf.DUMMYFUNCTION("""COMPUTED_VALUE"""),0)</f>
        <v>0</v>
      </c>
      <c r="M158" s="140">
        <f ca="1">IFERROR(__xludf.DUMMYFUNCTION("""COMPUTED_VALUE"""),0)</f>
        <v>0</v>
      </c>
      <c r="N158" s="140">
        <f ca="1">IFERROR(__xludf.DUMMYFUNCTION("""COMPUTED_VALUE"""),0)</f>
        <v>0</v>
      </c>
      <c r="O158" s="140">
        <f ca="1">IFERROR(__xludf.DUMMYFUNCTION("""COMPUTED_VALUE"""),0)</f>
        <v>0</v>
      </c>
      <c r="P158" s="140">
        <f ca="1">IFERROR(__xludf.DUMMYFUNCTION("""COMPUTED_VALUE"""),0)</f>
        <v>0</v>
      </c>
      <c r="Q158" s="288">
        <f ca="1">IFERROR(__xludf.DUMMYFUNCTION("""COMPUTED_VALUE"""),0)</f>
        <v>0</v>
      </c>
      <c r="R158" s="286"/>
      <c r="S158" s="291" t="e">
        <f ca="1">_xludf.ifs(A158="INDIA",E158/'Shared Summary by Dept_US$'!$B$31,A158="INDO",E158/'Shared Summary by Dept_US$'!$B$32,A158="BD",E158/'Shared Summary by Dept_US$'!$B$33,A158="Nepal",E158/'Shared Summary by Dept_US$'!$B$34,A158="US",E158/'Shared Summary by Dept_US$'!$B$35)</f>
        <v>#NAME?</v>
      </c>
      <c r="T158" s="292" t="s">
        <v>162</v>
      </c>
      <c r="U158" s="15"/>
      <c r="V158" s="15"/>
      <c r="W158" s="107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spans="1:34" ht="15.75" customHeight="1" x14ac:dyDescent="0.25">
      <c r="A159" s="139" t="s">
        <v>24</v>
      </c>
      <c r="B159" s="64" t="str">
        <f ca="1">IFERROR(__xludf.DUMMYFUNCTION("""COMPUTED_VALUE"""),"Other Staff Expenses")</f>
        <v>Other Staff Expenses</v>
      </c>
      <c r="C159" s="64" t="str">
        <f ca="1">IFERROR(__xludf.DUMMYFUNCTION("""COMPUTED_VALUE"""),"Staff Training, Learning &amp; Development Exp")</f>
        <v>Staff Training, Learning &amp; Development Exp</v>
      </c>
      <c r="D159" s="290">
        <f ca="1">IFERROR(__xludf.DUMMYFUNCTION("""COMPUTED_VALUE"""),91302)</f>
        <v>91302</v>
      </c>
      <c r="E159" s="140">
        <f ca="1">IFERROR(__xludf.DUMMYFUNCTION("""COMPUTED_VALUE"""),0)</f>
        <v>0</v>
      </c>
      <c r="F159" s="140">
        <f ca="1">IFERROR(__xludf.DUMMYFUNCTION("""COMPUTED_VALUE"""),0)</f>
        <v>0</v>
      </c>
      <c r="G159" s="140">
        <f ca="1">IFERROR(__xludf.DUMMYFUNCTION("""COMPUTED_VALUE"""),0)</f>
        <v>0</v>
      </c>
      <c r="H159" s="140">
        <f ca="1">IFERROR(__xludf.DUMMYFUNCTION("""COMPUTED_VALUE"""),0)</f>
        <v>0</v>
      </c>
      <c r="I159" s="140">
        <f ca="1">IFERROR(__xludf.DUMMYFUNCTION("""COMPUTED_VALUE"""),0)</f>
        <v>0</v>
      </c>
      <c r="J159" s="140">
        <f ca="1">IFERROR(__xludf.DUMMYFUNCTION("""COMPUTED_VALUE"""),0)</f>
        <v>0</v>
      </c>
      <c r="K159" s="140">
        <f ca="1">IFERROR(__xludf.DUMMYFUNCTION("""COMPUTED_VALUE"""),0)</f>
        <v>0</v>
      </c>
      <c r="L159" s="140">
        <f ca="1">IFERROR(__xludf.DUMMYFUNCTION("""COMPUTED_VALUE"""),0)</f>
        <v>0</v>
      </c>
      <c r="M159" s="140">
        <f ca="1">IFERROR(__xludf.DUMMYFUNCTION("""COMPUTED_VALUE"""),0)</f>
        <v>0</v>
      </c>
      <c r="N159" s="140">
        <f ca="1">IFERROR(__xludf.DUMMYFUNCTION("""COMPUTED_VALUE"""),0)</f>
        <v>0</v>
      </c>
      <c r="O159" s="140">
        <f ca="1">IFERROR(__xludf.DUMMYFUNCTION("""COMPUTED_VALUE"""),0)</f>
        <v>0</v>
      </c>
      <c r="P159" s="140">
        <f ca="1">IFERROR(__xludf.DUMMYFUNCTION("""COMPUTED_VALUE"""),0)</f>
        <v>0</v>
      </c>
      <c r="Q159" s="288">
        <f ca="1">IFERROR(__xludf.DUMMYFUNCTION("""COMPUTED_VALUE"""),0)</f>
        <v>0</v>
      </c>
      <c r="R159" s="286"/>
      <c r="S159" s="291" t="e">
        <f ca="1">_xludf.ifs(A159="INDIA",E159/'Shared Summary by Dept_US$'!$B$31,A159="INDO",E159/'Shared Summary by Dept_US$'!$B$32,A159="BD",E159/'Shared Summary by Dept_US$'!$B$33,A159="Nepal",E159/'Shared Summary by Dept_US$'!$B$34,A159="US",E159/'Shared Summary by Dept_US$'!$B$35)</f>
        <v>#NAME?</v>
      </c>
      <c r="T159" s="292" t="s">
        <v>162</v>
      </c>
      <c r="U159" s="15"/>
      <c r="V159" s="15"/>
      <c r="W159" s="107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ht="15.75" customHeight="1" x14ac:dyDescent="0.25">
      <c r="A160" s="139" t="s">
        <v>24</v>
      </c>
      <c r="B160" s="64" t="str">
        <f ca="1">IFERROR(__xludf.DUMMYFUNCTION("""COMPUTED_VALUE"""),"Resource Persons")</f>
        <v>Resource Persons</v>
      </c>
      <c r="C160" s="64" t="str">
        <f ca="1">IFERROR(__xludf.DUMMYFUNCTION("""COMPUTED_VALUE"""),"Program Resource Consultant (EHA)")</f>
        <v>Program Resource Consultant (EHA)</v>
      </c>
      <c r="D160" s="290">
        <f ca="1">IFERROR(__xludf.DUMMYFUNCTION("""COMPUTED_VALUE"""),92101)</f>
        <v>92101</v>
      </c>
      <c r="E160" s="140">
        <f ca="1">IFERROR(__xludf.DUMMYFUNCTION("""COMPUTED_VALUE"""),1249960000)</f>
        <v>1249960000</v>
      </c>
      <c r="F160" s="140">
        <f ca="1">IFERROR(__xludf.DUMMYFUNCTION("""COMPUTED_VALUE"""),57220000)</f>
        <v>57220000</v>
      </c>
      <c r="G160" s="140">
        <f ca="1">IFERROR(__xludf.DUMMYFUNCTION("""COMPUTED_VALUE"""),72040000)</f>
        <v>72040000</v>
      </c>
      <c r="H160" s="140">
        <f ca="1">IFERROR(__xludf.DUMMYFUNCTION("""COMPUTED_VALUE"""),73740000)</f>
        <v>73740000</v>
      </c>
      <c r="I160" s="140">
        <f ca="1">IFERROR(__xludf.DUMMYFUNCTION("""COMPUTED_VALUE"""),93740000)</f>
        <v>93740000</v>
      </c>
      <c r="J160" s="140">
        <f ca="1">IFERROR(__xludf.DUMMYFUNCTION("""COMPUTED_VALUE"""),93740000)</f>
        <v>93740000</v>
      </c>
      <c r="K160" s="140">
        <f ca="1">IFERROR(__xludf.DUMMYFUNCTION("""COMPUTED_VALUE"""),113740000)</f>
        <v>113740000</v>
      </c>
      <c r="L160" s="140">
        <f ca="1">IFERROR(__xludf.DUMMYFUNCTION("""COMPUTED_VALUE"""),114690000)</f>
        <v>114690000</v>
      </c>
      <c r="M160" s="140">
        <f ca="1">IFERROR(__xludf.DUMMYFUNCTION("""COMPUTED_VALUE"""),124690000)</f>
        <v>124690000</v>
      </c>
      <c r="N160" s="140">
        <f ca="1">IFERROR(__xludf.DUMMYFUNCTION("""COMPUTED_VALUE"""),126590000)</f>
        <v>126590000</v>
      </c>
      <c r="O160" s="140">
        <f ca="1">IFERROR(__xludf.DUMMYFUNCTION("""COMPUTED_VALUE"""),126590000)</f>
        <v>126590000</v>
      </c>
      <c r="P160" s="140">
        <f ca="1">IFERROR(__xludf.DUMMYFUNCTION("""COMPUTED_VALUE"""),126590000)</f>
        <v>126590000</v>
      </c>
      <c r="Q160" s="288">
        <f ca="1">IFERROR(__xludf.DUMMYFUNCTION("""COMPUTED_VALUE"""),126590000)</f>
        <v>126590000</v>
      </c>
      <c r="R160" s="286"/>
      <c r="S160" s="291" t="e">
        <f ca="1">_xludf.ifs(A160="INDIA",E160/'Shared Summary by Dept_US$'!$B$31,A160="INDO",E160/'Shared Summary by Dept_US$'!$B$32,A160="BD",E160/'Shared Summary by Dept_US$'!$B$33,A160="Nepal",E160/'Shared Summary by Dept_US$'!$B$34,A160="US",E160/'Shared Summary by Dept_US$'!$B$35)</f>
        <v>#NAME?</v>
      </c>
      <c r="T160" s="292" t="s">
        <v>162</v>
      </c>
      <c r="U160" s="15"/>
      <c r="V160" s="15"/>
      <c r="W160" s="107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ht="15.75" customHeight="1" x14ac:dyDescent="0.25">
      <c r="A161" s="139" t="s">
        <v>24</v>
      </c>
      <c r="B161" s="64" t="str">
        <f ca="1">IFERROR(__xludf.DUMMYFUNCTION("""COMPUTED_VALUE"""),"Travel &amp; Lodging Expenses")</f>
        <v>Travel &amp; Lodging Expenses</v>
      </c>
      <c r="C161" s="64" t="str">
        <f ca="1">IFERROR(__xludf.DUMMYFUNCTION("""COMPUTED_VALUE"""),"Hotel Accomodation")</f>
        <v>Hotel Accomodation</v>
      </c>
      <c r="D161" s="290">
        <f ca="1">IFERROR(__xludf.DUMMYFUNCTION("""COMPUTED_VALUE"""),93101)</f>
        <v>93101</v>
      </c>
      <c r="E161" s="140">
        <f ca="1">IFERROR(__xludf.DUMMYFUNCTION("""COMPUTED_VALUE"""),51350000)</f>
        <v>51350000</v>
      </c>
      <c r="F161" s="140">
        <f ca="1">IFERROR(__xludf.DUMMYFUNCTION("""COMPUTED_VALUE"""),5200000)</f>
        <v>5200000</v>
      </c>
      <c r="G161" s="140">
        <f ca="1">IFERROR(__xludf.DUMMYFUNCTION("""COMPUTED_VALUE"""),4550000)</f>
        <v>4550000</v>
      </c>
      <c r="H161" s="140">
        <f ca="1">IFERROR(__xludf.DUMMYFUNCTION("""COMPUTED_VALUE"""),0)</f>
        <v>0</v>
      </c>
      <c r="I161" s="140">
        <f ca="1">IFERROR(__xludf.DUMMYFUNCTION("""COMPUTED_VALUE"""),0)</f>
        <v>0</v>
      </c>
      <c r="J161" s="140">
        <f ca="1">IFERROR(__xludf.DUMMYFUNCTION("""COMPUTED_VALUE"""),2600000)</f>
        <v>2600000</v>
      </c>
      <c r="K161" s="140">
        <f ca="1">IFERROR(__xludf.DUMMYFUNCTION("""COMPUTED_VALUE"""),2600000)</f>
        <v>2600000</v>
      </c>
      <c r="L161" s="140">
        <f ca="1">IFERROR(__xludf.DUMMYFUNCTION("""COMPUTED_VALUE"""),5200000)</f>
        <v>5200000</v>
      </c>
      <c r="M161" s="140">
        <f ca="1">IFERROR(__xludf.DUMMYFUNCTION("""COMPUTED_VALUE"""),2600000)</f>
        <v>2600000</v>
      </c>
      <c r="N161" s="140">
        <f ca="1">IFERROR(__xludf.DUMMYFUNCTION("""COMPUTED_VALUE"""),5200000)</f>
        <v>5200000</v>
      </c>
      <c r="O161" s="140">
        <f ca="1">IFERROR(__xludf.DUMMYFUNCTION("""COMPUTED_VALUE"""),7800000)</f>
        <v>7800000</v>
      </c>
      <c r="P161" s="140">
        <f ca="1">IFERROR(__xludf.DUMMYFUNCTION("""COMPUTED_VALUE"""),7800000)</f>
        <v>7800000</v>
      </c>
      <c r="Q161" s="288">
        <f ca="1">IFERROR(__xludf.DUMMYFUNCTION("""COMPUTED_VALUE"""),7800000)</f>
        <v>7800000</v>
      </c>
      <c r="R161" s="286"/>
      <c r="S161" s="291" t="e">
        <f ca="1">_xludf.ifs(A161="INDIA",E161/'Shared Summary by Dept_US$'!$B$31,A161="INDO",E161/'Shared Summary by Dept_US$'!$B$32,A161="BD",E161/'Shared Summary by Dept_US$'!$B$33,A161="Nepal",E161/'Shared Summary by Dept_US$'!$B$34,A161="US",E161/'Shared Summary by Dept_US$'!$B$35)</f>
        <v>#NAME?</v>
      </c>
      <c r="T161" s="292" t="s">
        <v>162</v>
      </c>
      <c r="U161" s="15"/>
      <c r="V161" s="15"/>
      <c r="W161" s="107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spans="1:34" ht="15.75" customHeight="1" x14ac:dyDescent="0.25">
      <c r="A162" s="139" t="s">
        <v>24</v>
      </c>
      <c r="B162" s="64" t="str">
        <f ca="1">IFERROR(__xludf.DUMMYFUNCTION("""COMPUTED_VALUE"""),"Travel &amp; Lodging Expenses")</f>
        <v>Travel &amp; Lodging Expenses</v>
      </c>
      <c r="C162" s="64" t="str">
        <f ca="1">IFERROR(__xludf.DUMMYFUNCTION("""COMPUTED_VALUE"""),"Food Expenses")</f>
        <v>Food Expenses</v>
      </c>
      <c r="D162" s="290">
        <f ca="1">IFERROR(__xludf.DUMMYFUNCTION("""COMPUTED_VALUE"""),93102)</f>
        <v>93102</v>
      </c>
      <c r="E162" s="140">
        <f ca="1">IFERROR(__xludf.DUMMYFUNCTION("""COMPUTED_VALUE"""),26100000)</f>
        <v>26100000</v>
      </c>
      <c r="F162" s="140">
        <f ca="1">IFERROR(__xludf.DUMMYFUNCTION("""COMPUTED_VALUE"""),3000000)</f>
        <v>3000000</v>
      </c>
      <c r="G162" s="140">
        <f ca="1">IFERROR(__xludf.DUMMYFUNCTION("""COMPUTED_VALUE"""),2100000)</f>
        <v>2100000</v>
      </c>
      <c r="H162" s="140">
        <f ca="1">IFERROR(__xludf.DUMMYFUNCTION("""COMPUTED_VALUE"""),600000)</f>
        <v>600000</v>
      </c>
      <c r="I162" s="140">
        <f ca="1">IFERROR(__xludf.DUMMYFUNCTION("""COMPUTED_VALUE"""),0)</f>
        <v>0</v>
      </c>
      <c r="J162" s="140">
        <f ca="1">IFERROR(__xludf.DUMMYFUNCTION("""COMPUTED_VALUE"""),1800000)</f>
        <v>1800000</v>
      </c>
      <c r="K162" s="140">
        <f ca="1">IFERROR(__xludf.DUMMYFUNCTION("""COMPUTED_VALUE"""),1200000)</f>
        <v>1200000</v>
      </c>
      <c r="L162" s="140">
        <f ca="1">IFERROR(__xludf.DUMMYFUNCTION("""COMPUTED_VALUE"""),3000000)</f>
        <v>3000000</v>
      </c>
      <c r="M162" s="140">
        <f ca="1">IFERROR(__xludf.DUMMYFUNCTION("""COMPUTED_VALUE"""),1200000)</f>
        <v>1200000</v>
      </c>
      <c r="N162" s="140">
        <f ca="1">IFERROR(__xludf.DUMMYFUNCTION("""COMPUTED_VALUE"""),2400000)</f>
        <v>2400000</v>
      </c>
      <c r="O162" s="140">
        <f ca="1">IFERROR(__xludf.DUMMYFUNCTION("""COMPUTED_VALUE"""),3600000)</f>
        <v>3600000</v>
      </c>
      <c r="P162" s="140">
        <f ca="1">IFERROR(__xludf.DUMMYFUNCTION("""COMPUTED_VALUE"""),3600000)</f>
        <v>3600000</v>
      </c>
      <c r="Q162" s="288">
        <f ca="1">IFERROR(__xludf.DUMMYFUNCTION("""COMPUTED_VALUE"""),3600000)</f>
        <v>3600000</v>
      </c>
      <c r="R162" s="286"/>
      <c r="S162" s="291" t="e">
        <f ca="1">_xludf.ifs(A162="INDIA",E162/'Shared Summary by Dept_US$'!$B$31,A162="INDO",E162/'Shared Summary by Dept_US$'!$B$32,A162="BD",E162/'Shared Summary by Dept_US$'!$B$33,A162="Nepal",E162/'Shared Summary by Dept_US$'!$B$34,A162="US",E162/'Shared Summary by Dept_US$'!$B$35)</f>
        <v>#NAME?</v>
      </c>
      <c r="T162" s="292" t="s">
        <v>162</v>
      </c>
      <c r="U162" s="15"/>
      <c r="V162" s="15"/>
      <c r="W162" s="107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ht="15.75" customHeight="1" x14ac:dyDescent="0.25">
      <c r="A163" s="139" t="s">
        <v>24</v>
      </c>
      <c r="B163" s="64" t="str">
        <f ca="1">IFERROR(__xludf.DUMMYFUNCTION("""COMPUTED_VALUE"""),"Travel &amp; Lodging Expenses")</f>
        <v>Travel &amp; Lodging Expenses</v>
      </c>
      <c r="C163" s="64" t="str">
        <f ca="1">IFERROR(__xludf.DUMMYFUNCTION("""COMPUTED_VALUE"""),"Air fare")</f>
        <v>Air fare</v>
      </c>
      <c r="D163" s="290">
        <f ca="1">IFERROR(__xludf.DUMMYFUNCTION("""COMPUTED_VALUE"""),93103)</f>
        <v>93103</v>
      </c>
      <c r="E163" s="140">
        <f ca="1">IFERROR(__xludf.DUMMYFUNCTION("""COMPUTED_VALUE"""),79748889)</f>
        <v>79748889</v>
      </c>
      <c r="F163" s="140">
        <f ca="1">IFERROR(__xludf.DUMMYFUNCTION("""COMPUTED_VALUE"""),6934686)</f>
        <v>6934686</v>
      </c>
      <c r="G163" s="140">
        <f ca="1">IFERROR(__xludf.DUMMYFUNCTION("""COMPUTED_VALUE"""),6934686)</f>
        <v>6934686</v>
      </c>
      <c r="H163" s="140">
        <f ca="1">IFERROR(__xludf.DUMMYFUNCTION("""COMPUTED_VALUE"""),0)</f>
        <v>0</v>
      </c>
      <c r="I163" s="140">
        <f ca="1">IFERROR(__xludf.DUMMYFUNCTION("""COMPUTED_VALUE"""),0)</f>
        <v>0</v>
      </c>
      <c r="J163" s="140">
        <f ca="1">IFERROR(__xludf.DUMMYFUNCTION("""COMPUTED_VALUE"""),3467343)</f>
        <v>3467343</v>
      </c>
      <c r="K163" s="140">
        <f ca="1">IFERROR(__xludf.DUMMYFUNCTION("""COMPUTED_VALUE"""),3467343)</f>
        <v>3467343</v>
      </c>
      <c r="L163" s="140">
        <f ca="1">IFERROR(__xludf.DUMMYFUNCTION("""COMPUTED_VALUE"""),6934686)</f>
        <v>6934686</v>
      </c>
      <c r="M163" s="140">
        <f ca="1">IFERROR(__xludf.DUMMYFUNCTION("""COMPUTED_VALUE"""),3467343)</f>
        <v>3467343</v>
      </c>
      <c r="N163" s="140">
        <f ca="1">IFERROR(__xludf.DUMMYFUNCTION("""COMPUTED_VALUE"""),6934686)</f>
        <v>6934686</v>
      </c>
      <c r="O163" s="140">
        <f ca="1">IFERROR(__xludf.DUMMYFUNCTION("""COMPUTED_VALUE"""),13869372)</f>
        <v>13869372</v>
      </c>
      <c r="P163" s="140">
        <f ca="1">IFERROR(__xludf.DUMMYFUNCTION("""COMPUTED_VALUE"""),13869372)</f>
        <v>13869372</v>
      </c>
      <c r="Q163" s="288">
        <f ca="1">IFERROR(__xludf.DUMMYFUNCTION("""COMPUTED_VALUE"""),13869372)</f>
        <v>13869372</v>
      </c>
      <c r="R163" s="286"/>
      <c r="S163" s="291" t="e">
        <f ca="1">_xludf.ifs(A163="INDIA",E163/'Shared Summary by Dept_US$'!$B$31,A163="INDO",E163/'Shared Summary by Dept_US$'!$B$32,A163="BD",E163/'Shared Summary by Dept_US$'!$B$33,A163="Nepal",E163/'Shared Summary by Dept_US$'!$B$34,A163="US",E163/'Shared Summary by Dept_US$'!$B$35)</f>
        <v>#NAME?</v>
      </c>
      <c r="T163" s="292" t="s">
        <v>162</v>
      </c>
      <c r="U163" s="15"/>
      <c r="V163" s="15"/>
      <c r="W163" s="107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spans="1:34" ht="15.75" customHeight="1" x14ac:dyDescent="0.25">
      <c r="A164" s="139" t="s">
        <v>24</v>
      </c>
      <c r="B164" s="64" t="str">
        <f ca="1">IFERROR(__xludf.DUMMYFUNCTION("""COMPUTED_VALUE"""),"Travel &amp; Lodging Expenses")</f>
        <v>Travel &amp; Lodging Expenses</v>
      </c>
      <c r="C164" s="64" t="str">
        <f ca="1">IFERROR(__xludf.DUMMYFUNCTION("""COMPUTED_VALUE"""),"Cab/Auto")</f>
        <v>Cab/Auto</v>
      </c>
      <c r="D164" s="290">
        <f ca="1">IFERROR(__xludf.DUMMYFUNCTION("""COMPUTED_VALUE"""),93104)</f>
        <v>93104</v>
      </c>
      <c r="E164" s="140">
        <f ca="1">IFERROR(__xludf.DUMMYFUNCTION("""COMPUTED_VALUE"""),39150000)</f>
        <v>39150000</v>
      </c>
      <c r="F164" s="140">
        <f ca="1">IFERROR(__xludf.DUMMYFUNCTION("""COMPUTED_VALUE"""),4500000)</f>
        <v>4500000</v>
      </c>
      <c r="G164" s="140">
        <f ca="1">IFERROR(__xludf.DUMMYFUNCTION("""COMPUTED_VALUE"""),3150000)</f>
        <v>3150000</v>
      </c>
      <c r="H164" s="140">
        <f ca="1">IFERROR(__xludf.DUMMYFUNCTION("""COMPUTED_VALUE"""),900000)</f>
        <v>900000</v>
      </c>
      <c r="I164" s="140">
        <f ca="1">IFERROR(__xludf.DUMMYFUNCTION("""COMPUTED_VALUE"""),0)</f>
        <v>0</v>
      </c>
      <c r="J164" s="140">
        <f ca="1">IFERROR(__xludf.DUMMYFUNCTION("""COMPUTED_VALUE"""),2700000)</f>
        <v>2700000</v>
      </c>
      <c r="K164" s="140">
        <f ca="1">IFERROR(__xludf.DUMMYFUNCTION("""COMPUTED_VALUE"""),1800000)</f>
        <v>1800000</v>
      </c>
      <c r="L164" s="140">
        <f ca="1">IFERROR(__xludf.DUMMYFUNCTION("""COMPUTED_VALUE"""),4500000)</f>
        <v>4500000</v>
      </c>
      <c r="M164" s="140">
        <f ca="1">IFERROR(__xludf.DUMMYFUNCTION("""COMPUTED_VALUE"""),1800000)</f>
        <v>1800000</v>
      </c>
      <c r="N164" s="140">
        <f ca="1">IFERROR(__xludf.DUMMYFUNCTION("""COMPUTED_VALUE"""),3600000)</f>
        <v>3600000</v>
      </c>
      <c r="O164" s="140">
        <f ca="1">IFERROR(__xludf.DUMMYFUNCTION("""COMPUTED_VALUE"""),5400000)</f>
        <v>5400000</v>
      </c>
      <c r="P164" s="140">
        <f ca="1">IFERROR(__xludf.DUMMYFUNCTION("""COMPUTED_VALUE"""),5400000)</f>
        <v>5400000</v>
      </c>
      <c r="Q164" s="288">
        <f ca="1">IFERROR(__xludf.DUMMYFUNCTION("""COMPUTED_VALUE"""),5400000)</f>
        <v>5400000</v>
      </c>
      <c r="R164" s="286"/>
      <c r="S164" s="291" t="e">
        <f ca="1">_xludf.ifs(A164="INDIA",E164/'Shared Summary by Dept_US$'!$B$31,A164="INDO",E164/'Shared Summary by Dept_US$'!$B$32,A164="BD",E164/'Shared Summary by Dept_US$'!$B$33,A164="Nepal",E164/'Shared Summary by Dept_US$'!$B$34,A164="US",E164/'Shared Summary by Dept_US$'!$B$35)</f>
        <v>#NAME?</v>
      </c>
      <c r="T164" s="292" t="s">
        <v>162</v>
      </c>
      <c r="U164" s="15"/>
      <c r="V164" s="15"/>
      <c r="W164" s="107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spans="1:34" ht="15.75" customHeight="1" x14ac:dyDescent="0.25">
      <c r="A165" s="139" t="s">
        <v>24</v>
      </c>
      <c r="B165" s="64" t="str">
        <f ca="1">IFERROR(__xludf.DUMMYFUNCTION("""COMPUTED_VALUE"""),"Travel &amp; Lodging Expenses")</f>
        <v>Travel &amp; Lodging Expenses</v>
      </c>
      <c r="C165" s="64" t="str">
        <f ca="1">IFERROR(__xludf.DUMMYFUNCTION("""COMPUTED_VALUE"""),"Bus/Train")</f>
        <v>Bus/Train</v>
      </c>
      <c r="D165" s="290">
        <f ca="1">IFERROR(__xludf.DUMMYFUNCTION("""COMPUTED_VALUE"""),93105)</f>
        <v>93105</v>
      </c>
      <c r="E165" s="140">
        <f ca="1">IFERROR(__xludf.DUMMYFUNCTION("""COMPUTED_VALUE"""),0)</f>
        <v>0</v>
      </c>
      <c r="F165" s="140">
        <f ca="1">IFERROR(__xludf.DUMMYFUNCTION("""COMPUTED_VALUE"""),0)</f>
        <v>0</v>
      </c>
      <c r="G165" s="140">
        <f ca="1">IFERROR(__xludf.DUMMYFUNCTION("""COMPUTED_VALUE"""),0)</f>
        <v>0</v>
      </c>
      <c r="H165" s="140">
        <f ca="1">IFERROR(__xludf.DUMMYFUNCTION("""COMPUTED_VALUE"""),0)</f>
        <v>0</v>
      </c>
      <c r="I165" s="140">
        <f ca="1">IFERROR(__xludf.DUMMYFUNCTION("""COMPUTED_VALUE"""),0)</f>
        <v>0</v>
      </c>
      <c r="J165" s="140">
        <f ca="1">IFERROR(__xludf.DUMMYFUNCTION("""COMPUTED_VALUE"""),0)</f>
        <v>0</v>
      </c>
      <c r="K165" s="140">
        <f ca="1">IFERROR(__xludf.DUMMYFUNCTION("""COMPUTED_VALUE"""),0)</f>
        <v>0</v>
      </c>
      <c r="L165" s="140">
        <f ca="1">IFERROR(__xludf.DUMMYFUNCTION("""COMPUTED_VALUE"""),0)</f>
        <v>0</v>
      </c>
      <c r="M165" s="140">
        <f ca="1">IFERROR(__xludf.DUMMYFUNCTION("""COMPUTED_VALUE"""),0)</f>
        <v>0</v>
      </c>
      <c r="N165" s="140">
        <f ca="1">IFERROR(__xludf.DUMMYFUNCTION("""COMPUTED_VALUE"""),0)</f>
        <v>0</v>
      </c>
      <c r="O165" s="140">
        <f ca="1">IFERROR(__xludf.DUMMYFUNCTION("""COMPUTED_VALUE"""),0)</f>
        <v>0</v>
      </c>
      <c r="P165" s="140">
        <f ca="1">IFERROR(__xludf.DUMMYFUNCTION("""COMPUTED_VALUE"""),0)</f>
        <v>0</v>
      </c>
      <c r="Q165" s="288">
        <f ca="1">IFERROR(__xludf.DUMMYFUNCTION("""COMPUTED_VALUE"""),0)</f>
        <v>0</v>
      </c>
      <c r="R165" s="286"/>
      <c r="S165" s="291" t="e">
        <f ca="1">_xludf.ifs(A165="INDIA",E165/'Shared Summary by Dept_US$'!$B$31,A165="INDO",E165/'Shared Summary by Dept_US$'!$B$32,A165="BD",E165/'Shared Summary by Dept_US$'!$B$33,A165="Nepal",E165/'Shared Summary by Dept_US$'!$B$34,A165="US",E165/'Shared Summary by Dept_US$'!$B$35)</f>
        <v>#NAME?</v>
      </c>
      <c r="T165" s="292" t="s">
        <v>162</v>
      </c>
      <c r="U165" s="15"/>
      <c r="V165" s="15"/>
      <c r="W165" s="107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ht="15.75" customHeight="1" x14ac:dyDescent="0.25">
      <c r="A166" s="139" t="s">
        <v>24</v>
      </c>
      <c r="B166" s="64" t="str">
        <f ca="1">IFERROR(__xludf.DUMMYFUNCTION("""COMPUTED_VALUE"""),"Travel &amp; Lodging Expenses")</f>
        <v>Travel &amp; Lodging Expenses</v>
      </c>
      <c r="C166" s="64" t="str">
        <f ca="1">IFERROR(__xludf.DUMMYFUNCTION("""COMPUTED_VALUE"""),"Other incidental travel costs")</f>
        <v>Other incidental travel costs</v>
      </c>
      <c r="D166" s="290">
        <f ca="1">IFERROR(__xludf.DUMMYFUNCTION("""COMPUTED_VALUE"""),93106)</f>
        <v>93106</v>
      </c>
      <c r="E166" s="140">
        <f ca="1">IFERROR(__xludf.DUMMYFUNCTION("""COMPUTED_VALUE"""),13550000)</f>
        <v>13550000</v>
      </c>
      <c r="F166" s="140">
        <f ca="1">IFERROR(__xludf.DUMMYFUNCTION("""COMPUTED_VALUE"""),200000)</f>
        <v>200000</v>
      </c>
      <c r="G166" s="140">
        <f ca="1">IFERROR(__xludf.DUMMYFUNCTION("""COMPUTED_VALUE"""),100000)</f>
        <v>100000</v>
      </c>
      <c r="H166" s="140">
        <f ca="1">IFERROR(__xludf.DUMMYFUNCTION("""COMPUTED_VALUE"""),100000)</f>
        <v>100000</v>
      </c>
      <c r="I166" s="140">
        <f ca="1">IFERROR(__xludf.DUMMYFUNCTION("""COMPUTED_VALUE"""),0)</f>
        <v>0</v>
      </c>
      <c r="J166" s="140">
        <f ca="1">IFERROR(__xludf.DUMMYFUNCTION("""COMPUTED_VALUE"""),150000)</f>
        <v>150000</v>
      </c>
      <c r="K166" s="140">
        <f ca="1">IFERROR(__xludf.DUMMYFUNCTION("""COMPUTED_VALUE"""),50000)</f>
        <v>50000</v>
      </c>
      <c r="L166" s="140">
        <f ca="1">IFERROR(__xludf.DUMMYFUNCTION("""COMPUTED_VALUE"""),200000)</f>
        <v>200000</v>
      </c>
      <c r="M166" s="140">
        <f ca="1">IFERROR(__xludf.DUMMYFUNCTION("""COMPUTED_VALUE"""),50000)</f>
        <v>50000</v>
      </c>
      <c r="N166" s="140">
        <f ca="1">IFERROR(__xludf.DUMMYFUNCTION("""COMPUTED_VALUE"""),100000)</f>
        <v>100000</v>
      </c>
      <c r="O166" s="140">
        <f ca="1">IFERROR(__xludf.DUMMYFUNCTION("""COMPUTED_VALUE"""),4200000)</f>
        <v>4200000</v>
      </c>
      <c r="P166" s="140">
        <f ca="1">IFERROR(__xludf.DUMMYFUNCTION("""COMPUTED_VALUE"""),4200000)</f>
        <v>4200000</v>
      </c>
      <c r="Q166" s="288">
        <f ca="1">IFERROR(__xludf.DUMMYFUNCTION("""COMPUTED_VALUE"""),4200000)</f>
        <v>4200000</v>
      </c>
      <c r="R166" s="286"/>
      <c r="S166" s="291" t="e">
        <f ca="1">_xludf.ifs(A166="INDIA",E166/'Shared Summary by Dept_US$'!$B$31,A166="INDO",E166/'Shared Summary by Dept_US$'!$B$32,A166="BD",E166/'Shared Summary by Dept_US$'!$B$33,A166="Nepal",E166/'Shared Summary by Dept_US$'!$B$34,A166="US",E166/'Shared Summary by Dept_US$'!$B$35)</f>
        <v>#NAME?</v>
      </c>
      <c r="T166" s="292" t="s">
        <v>162</v>
      </c>
      <c r="U166" s="15"/>
      <c r="V166" s="15"/>
      <c r="W166" s="107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34" ht="15.75" customHeight="1" x14ac:dyDescent="0.25">
      <c r="A167" s="139" t="s">
        <v>24</v>
      </c>
      <c r="B167" s="64" t="str">
        <f ca="1">IFERROR(__xludf.DUMMYFUNCTION("""COMPUTED_VALUE"""),"Supplies &amp; Printing Costs")</f>
        <v>Supplies &amp; Printing Costs</v>
      </c>
      <c r="C167" s="64" t="str">
        <f ca="1">IFERROR(__xludf.DUMMYFUNCTION("""COMPUTED_VALUE"""),"Other Direct Expenses")</f>
        <v>Other Direct Expenses</v>
      </c>
      <c r="D167" s="290">
        <f ca="1">IFERROR(__xludf.DUMMYFUNCTION("""COMPUTED_VALUE"""),93201)</f>
        <v>93201</v>
      </c>
      <c r="E167" s="140">
        <f ca="1">IFERROR(__xludf.DUMMYFUNCTION("""COMPUTED_VALUE"""),0)</f>
        <v>0</v>
      </c>
      <c r="F167" s="140">
        <f ca="1">IFERROR(__xludf.DUMMYFUNCTION("""COMPUTED_VALUE"""),0)</f>
        <v>0</v>
      </c>
      <c r="G167" s="140">
        <f ca="1">IFERROR(__xludf.DUMMYFUNCTION("""COMPUTED_VALUE"""),0)</f>
        <v>0</v>
      </c>
      <c r="H167" s="140">
        <f ca="1">IFERROR(__xludf.DUMMYFUNCTION("""COMPUTED_VALUE"""),0)</f>
        <v>0</v>
      </c>
      <c r="I167" s="140">
        <f ca="1">IFERROR(__xludf.DUMMYFUNCTION("""COMPUTED_VALUE"""),0)</f>
        <v>0</v>
      </c>
      <c r="J167" s="140">
        <f ca="1">IFERROR(__xludf.DUMMYFUNCTION("""COMPUTED_VALUE"""),0)</f>
        <v>0</v>
      </c>
      <c r="K167" s="140">
        <f ca="1">IFERROR(__xludf.DUMMYFUNCTION("""COMPUTED_VALUE"""),0)</f>
        <v>0</v>
      </c>
      <c r="L167" s="140">
        <f ca="1">IFERROR(__xludf.DUMMYFUNCTION("""COMPUTED_VALUE"""),0)</f>
        <v>0</v>
      </c>
      <c r="M167" s="140">
        <f ca="1">IFERROR(__xludf.DUMMYFUNCTION("""COMPUTED_VALUE"""),0)</f>
        <v>0</v>
      </c>
      <c r="N167" s="140">
        <f ca="1">IFERROR(__xludf.DUMMYFUNCTION("""COMPUTED_VALUE"""),0)</f>
        <v>0</v>
      </c>
      <c r="O167" s="140">
        <f ca="1">IFERROR(__xludf.DUMMYFUNCTION("""COMPUTED_VALUE"""),0)</f>
        <v>0</v>
      </c>
      <c r="P167" s="140">
        <f ca="1">IFERROR(__xludf.DUMMYFUNCTION("""COMPUTED_VALUE"""),0)</f>
        <v>0</v>
      </c>
      <c r="Q167" s="288">
        <f ca="1">IFERROR(__xludf.DUMMYFUNCTION("""COMPUTED_VALUE"""),0)</f>
        <v>0</v>
      </c>
      <c r="R167" s="286"/>
      <c r="S167" s="291" t="e">
        <f ca="1">_xludf.ifs(A167="INDIA",E167/'Shared Summary by Dept_US$'!$B$31,A167="INDO",E167/'Shared Summary by Dept_US$'!$B$32,A167="BD",E167/'Shared Summary by Dept_US$'!$B$33,A167="Nepal",E167/'Shared Summary by Dept_US$'!$B$34,A167="US",E167/'Shared Summary by Dept_US$'!$B$35)</f>
        <v>#NAME?</v>
      </c>
      <c r="T167" s="292" t="s">
        <v>162</v>
      </c>
      <c r="U167" s="15"/>
      <c r="V167" s="15"/>
      <c r="W167" s="107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ht="15.75" customHeight="1" x14ac:dyDescent="0.25">
      <c r="A168" s="139" t="s">
        <v>24</v>
      </c>
      <c r="B168" s="64" t="str">
        <f ca="1">IFERROR(__xludf.DUMMYFUNCTION("""COMPUTED_VALUE"""),"Supplies &amp; Printing Costs")</f>
        <v>Supplies &amp; Printing Costs</v>
      </c>
      <c r="C168" s="64" t="str">
        <f ca="1">IFERROR(__xludf.DUMMYFUNCTION("""COMPUTED_VALUE"""),"Printing expenses")</f>
        <v>Printing expenses</v>
      </c>
      <c r="D168" s="290">
        <f ca="1">IFERROR(__xludf.DUMMYFUNCTION("""COMPUTED_VALUE"""),93204)</f>
        <v>93204</v>
      </c>
      <c r="E168" s="140">
        <f ca="1">IFERROR(__xludf.DUMMYFUNCTION("""COMPUTED_VALUE"""),15000000)</f>
        <v>15000000</v>
      </c>
      <c r="F168" s="140">
        <f ca="1">IFERROR(__xludf.DUMMYFUNCTION("""COMPUTED_VALUE"""),0)</f>
        <v>0</v>
      </c>
      <c r="G168" s="140">
        <f ca="1">IFERROR(__xludf.DUMMYFUNCTION("""COMPUTED_VALUE"""),0)</f>
        <v>0</v>
      </c>
      <c r="H168" s="140">
        <f ca="1">IFERROR(__xludf.DUMMYFUNCTION("""COMPUTED_VALUE"""),0)</f>
        <v>0</v>
      </c>
      <c r="I168" s="140">
        <f ca="1">IFERROR(__xludf.DUMMYFUNCTION("""COMPUTED_VALUE"""),0)</f>
        <v>0</v>
      </c>
      <c r="J168" s="140">
        <f ca="1">IFERROR(__xludf.DUMMYFUNCTION("""COMPUTED_VALUE"""),0)</f>
        <v>0</v>
      </c>
      <c r="K168" s="140">
        <f ca="1">IFERROR(__xludf.DUMMYFUNCTION("""COMPUTED_VALUE"""),0)</f>
        <v>0</v>
      </c>
      <c r="L168" s="140">
        <f ca="1">IFERROR(__xludf.DUMMYFUNCTION("""COMPUTED_VALUE"""),0)</f>
        <v>0</v>
      </c>
      <c r="M168" s="140">
        <f ca="1">IFERROR(__xludf.DUMMYFUNCTION("""COMPUTED_VALUE"""),0)</f>
        <v>0</v>
      </c>
      <c r="N168" s="140">
        <f ca="1">IFERROR(__xludf.DUMMYFUNCTION("""COMPUTED_VALUE"""),0)</f>
        <v>0</v>
      </c>
      <c r="O168" s="140">
        <f ca="1">IFERROR(__xludf.DUMMYFUNCTION("""COMPUTED_VALUE"""),5000000)</f>
        <v>5000000</v>
      </c>
      <c r="P168" s="140">
        <f ca="1">IFERROR(__xludf.DUMMYFUNCTION("""COMPUTED_VALUE"""),5000000)</f>
        <v>5000000</v>
      </c>
      <c r="Q168" s="288">
        <f ca="1">IFERROR(__xludf.DUMMYFUNCTION("""COMPUTED_VALUE"""),5000000)</f>
        <v>5000000</v>
      </c>
      <c r="R168" s="286"/>
      <c r="S168" s="291" t="e">
        <f ca="1">_xludf.ifs(A168="INDIA",E168/'Shared Summary by Dept_US$'!$B$31,A168="INDO",E168/'Shared Summary by Dept_US$'!$B$32,A168="BD",E168/'Shared Summary by Dept_US$'!$B$33,A168="Nepal",E168/'Shared Summary by Dept_US$'!$B$34,A168="US",E168/'Shared Summary by Dept_US$'!$B$35)</f>
        <v>#NAME?</v>
      </c>
      <c r="T168" s="292" t="s">
        <v>162</v>
      </c>
      <c r="U168" s="15"/>
      <c r="V168" s="15"/>
      <c r="W168" s="107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spans="1:34" ht="15.75" customHeight="1" x14ac:dyDescent="0.25">
      <c r="A169" s="139" t="s">
        <v>24</v>
      </c>
      <c r="B169" s="64" t="str">
        <f ca="1">IFERROR(__xludf.DUMMYFUNCTION("""COMPUTED_VALUE"""),"Communication Cost")</f>
        <v>Communication Cost</v>
      </c>
      <c r="C169" s="64" t="str">
        <f ca="1">IFERROR(__xludf.DUMMYFUNCTION("""COMPUTED_VALUE"""),"Internet Expenses")</f>
        <v>Internet Expenses</v>
      </c>
      <c r="D169" s="290">
        <f ca="1">IFERROR(__xludf.DUMMYFUNCTION("""COMPUTED_VALUE"""),93301)</f>
        <v>93301</v>
      </c>
      <c r="E169" s="140">
        <f ca="1">IFERROR(__xludf.DUMMYFUNCTION("""COMPUTED_VALUE"""),0)</f>
        <v>0</v>
      </c>
      <c r="F169" s="140">
        <f ca="1">IFERROR(__xludf.DUMMYFUNCTION("""COMPUTED_VALUE"""),0)</f>
        <v>0</v>
      </c>
      <c r="G169" s="140">
        <f ca="1">IFERROR(__xludf.DUMMYFUNCTION("""COMPUTED_VALUE"""),0)</f>
        <v>0</v>
      </c>
      <c r="H169" s="140">
        <f ca="1">IFERROR(__xludf.DUMMYFUNCTION("""COMPUTED_VALUE"""),0)</f>
        <v>0</v>
      </c>
      <c r="I169" s="140">
        <f ca="1">IFERROR(__xludf.DUMMYFUNCTION("""COMPUTED_VALUE"""),0)</f>
        <v>0</v>
      </c>
      <c r="J169" s="140">
        <f ca="1">IFERROR(__xludf.DUMMYFUNCTION("""COMPUTED_VALUE"""),0)</f>
        <v>0</v>
      </c>
      <c r="K169" s="140">
        <f ca="1">IFERROR(__xludf.DUMMYFUNCTION("""COMPUTED_VALUE"""),0)</f>
        <v>0</v>
      </c>
      <c r="L169" s="140">
        <f ca="1">IFERROR(__xludf.DUMMYFUNCTION("""COMPUTED_VALUE"""),0)</f>
        <v>0</v>
      </c>
      <c r="M169" s="140">
        <f ca="1">IFERROR(__xludf.DUMMYFUNCTION("""COMPUTED_VALUE"""),0)</f>
        <v>0</v>
      </c>
      <c r="N169" s="140">
        <f ca="1">IFERROR(__xludf.DUMMYFUNCTION("""COMPUTED_VALUE"""),0)</f>
        <v>0</v>
      </c>
      <c r="O169" s="140">
        <f ca="1">IFERROR(__xludf.DUMMYFUNCTION("""COMPUTED_VALUE"""),0)</f>
        <v>0</v>
      </c>
      <c r="P169" s="140">
        <f ca="1">IFERROR(__xludf.DUMMYFUNCTION("""COMPUTED_VALUE"""),0)</f>
        <v>0</v>
      </c>
      <c r="Q169" s="288">
        <f ca="1">IFERROR(__xludf.DUMMYFUNCTION("""COMPUTED_VALUE"""),0)</f>
        <v>0</v>
      </c>
      <c r="R169" s="286"/>
      <c r="S169" s="291" t="e">
        <f ca="1">_xludf.ifs(A169="INDIA",E169/'Shared Summary by Dept_US$'!$B$31,A169="INDO",E169/'Shared Summary by Dept_US$'!$B$32,A169="BD",E169/'Shared Summary by Dept_US$'!$B$33,A169="Nepal",E169/'Shared Summary by Dept_US$'!$B$34,A169="US",E169/'Shared Summary by Dept_US$'!$B$35)</f>
        <v>#NAME?</v>
      </c>
      <c r="T169" s="292" t="s">
        <v>162</v>
      </c>
      <c r="U169" s="15"/>
      <c r="V169" s="15"/>
      <c r="W169" s="107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spans="1:34" ht="15.75" customHeight="1" x14ac:dyDescent="0.25">
      <c r="A170" s="139" t="s">
        <v>24</v>
      </c>
      <c r="B170" s="64" t="str">
        <f ca="1">IFERROR(__xludf.DUMMYFUNCTION("""COMPUTED_VALUE"""),"Communication Cost")</f>
        <v>Communication Cost</v>
      </c>
      <c r="C170" s="64" t="str">
        <f ca="1">IFERROR(__xludf.DUMMYFUNCTION("""COMPUTED_VALUE"""),"Postage &amp; Courier Expenses")</f>
        <v>Postage &amp; Courier Expenses</v>
      </c>
      <c r="D170" s="290">
        <f ca="1">IFERROR(__xludf.DUMMYFUNCTION("""COMPUTED_VALUE"""),93302)</f>
        <v>93302</v>
      </c>
      <c r="E170" s="140">
        <f ca="1">IFERROR(__xludf.DUMMYFUNCTION("""COMPUTED_VALUE"""),0)</f>
        <v>0</v>
      </c>
      <c r="F170" s="140">
        <f ca="1">IFERROR(__xludf.DUMMYFUNCTION("""COMPUTED_VALUE"""),0)</f>
        <v>0</v>
      </c>
      <c r="G170" s="140">
        <f ca="1">IFERROR(__xludf.DUMMYFUNCTION("""COMPUTED_VALUE"""),0)</f>
        <v>0</v>
      </c>
      <c r="H170" s="140">
        <f ca="1">IFERROR(__xludf.DUMMYFUNCTION("""COMPUTED_VALUE"""),0)</f>
        <v>0</v>
      </c>
      <c r="I170" s="140">
        <f ca="1">IFERROR(__xludf.DUMMYFUNCTION("""COMPUTED_VALUE"""),0)</f>
        <v>0</v>
      </c>
      <c r="J170" s="140">
        <f ca="1">IFERROR(__xludf.DUMMYFUNCTION("""COMPUTED_VALUE"""),0)</f>
        <v>0</v>
      </c>
      <c r="K170" s="140">
        <f ca="1">IFERROR(__xludf.DUMMYFUNCTION("""COMPUTED_VALUE"""),0)</f>
        <v>0</v>
      </c>
      <c r="L170" s="140">
        <f ca="1">IFERROR(__xludf.DUMMYFUNCTION("""COMPUTED_VALUE"""),0)</f>
        <v>0</v>
      </c>
      <c r="M170" s="140">
        <f ca="1">IFERROR(__xludf.DUMMYFUNCTION("""COMPUTED_VALUE"""),0)</f>
        <v>0</v>
      </c>
      <c r="N170" s="140">
        <f ca="1">IFERROR(__xludf.DUMMYFUNCTION("""COMPUTED_VALUE"""),0)</f>
        <v>0</v>
      </c>
      <c r="O170" s="140">
        <f ca="1">IFERROR(__xludf.DUMMYFUNCTION("""COMPUTED_VALUE"""),0)</f>
        <v>0</v>
      </c>
      <c r="P170" s="140">
        <f ca="1">IFERROR(__xludf.DUMMYFUNCTION("""COMPUTED_VALUE"""),0)</f>
        <v>0</v>
      </c>
      <c r="Q170" s="288">
        <f ca="1">IFERROR(__xludf.DUMMYFUNCTION("""COMPUTED_VALUE"""),0)</f>
        <v>0</v>
      </c>
      <c r="R170" s="286"/>
      <c r="S170" s="291" t="e">
        <f ca="1">_xludf.ifs(A170="INDIA",E170/'Shared Summary by Dept_US$'!$B$31,A170="INDO",E170/'Shared Summary by Dept_US$'!$B$32,A170="BD",E170/'Shared Summary by Dept_US$'!$B$33,A170="Nepal",E170/'Shared Summary by Dept_US$'!$B$34,A170="US",E170/'Shared Summary by Dept_US$'!$B$35)</f>
        <v>#NAME?</v>
      </c>
      <c r="T170" s="292" t="s">
        <v>162</v>
      </c>
      <c r="U170" s="15"/>
      <c r="V170" s="15"/>
      <c r="W170" s="107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ht="15.75" customHeight="1" x14ac:dyDescent="0.25">
      <c r="A171" s="139" t="s">
        <v>24</v>
      </c>
      <c r="B171" s="64" t="str">
        <f ca="1">IFERROR(__xludf.DUMMYFUNCTION("""COMPUTED_VALUE"""),"Communication Cost")</f>
        <v>Communication Cost</v>
      </c>
      <c r="C171" s="64" t="str">
        <f ca="1">IFERROR(__xludf.DUMMYFUNCTION("""COMPUTED_VALUE"""),"Telecommunication expenses")</f>
        <v>Telecommunication expenses</v>
      </c>
      <c r="D171" s="290">
        <f ca="1">IFERROR(__xludf.DUMMYFUNCTION("""COMPUTED_VALUE"""),93303)</f>
        <v>93303</v>
      </c>
      <c r="E171" s="140">
        <f ca="1">IFERROR(__xludf.DUMMYFUNCTION("""COMPUTED_VALUE"""),0)</f>
        <v>0</v>
      </c>
      <c r="F171" s="140">
        <f ca="1">IFERROR(__xludf.DUMMYFUNCTION("""COMPUTED_VALUE"""),0)</f>
        <v>0</v>
      </c>
      <c r="G171" s="140">
        <f ca="1">IFERROR(__xludf.DUMMYFUNCTION("""COMPUTED_VALUE"""),0)</f>
        <v>0</v>
      </c>
      <c r="H171" s="140">
        <f ca="1">IFERROR(__xludf.DUMMYFUNCTION("""COMPUTED_VALUE"""),0)</f>
        <v>0</v>
      </c>
      <c r="I171" s="140">
        <f ca="1">IFERROR(__xludf.DUMMYFUNCTION("""COMPUTED_VALUE"""),0)</f>
        <v>0</v>
      </c>
      <c r="J171" s="140">
        <f ca="1">IFERROR(__xludf.DUMMYFUNCTION("""COMPUTED_VALUE"""),0)</f>
        <v>0</v>
      </c>
      <c r="K171" s="140">
        <f ca="1">IFERROR(__xludf.DUMMYFUNCTION("""COMPUTED_VALUE"""),0)</f>
        <v>0</v>
      </c>
      <c r="L171" s="140">
        <f ca="1">IFERROR(__xludf.DUMMYFUNCTION("""COMPUTED_VALUE"""),0)</f>
        <v>0</v>
      </c>
      <c r="M171" s="140">
        <f ca="1">IFERROR(__xludf.DUMMYFUNCTION("""COMPUTED_VALUE"""),0)</f>
        <v>0</v>
      </c>
      <c r="N171" s="140">
        <f ca="1">IFERROR(__xludf.DUMMYFUNCTION("""COMPUTED_VALUE"""),0)</f>
        <v>0</v>
      </c>
      <c r="O171" s="140">
        <f ca="1">IFERROR(__xludf.DUMMYFUNCTION("""COMPUTED_VALUE"""),0)</f>
        <v>0</v>
      </c>
      <c r="P171" s="140">
        <f ca="1">IFERROR(__xludf.DUMMYFUNCTION("""COMPUTED_VALUE"""),0)</f>
        <v>0</v>
      </c>
      <c r="Q171" s="288">
        <f ca="1">IFERROR(__xludf.DUMMYFUNCTION("""COMPUTED_VALUE"""),0)</f>
        <v>0</v>
      </c>
      <c r="R171" s="286"/>
      <c r="S171" s="291" t="e">
        <f ca="1">_xludf.ifs(A171="INDIA",E171/'Shared Summary by Dept_US$'!$B$31,A171="INDO",E171/'Shared Summary by Dept_US$'!$B$32,A171="BD",E171/'Shared Summary by Dept_US$'!$B$33,A171="Nepal",E171/'Shared Summary by Dept_US$'!$B$34,A171="US",E171/'Shared Summary by Dept_US$'!$B$35)</f>
        <v>#NAME?</v>
      </c>
      <c r="T171" s="292" t="s">
        <v>162</v>
      </c>
      <c r="U171" s="15"/>
      <c r="V171" s="15"/>
      <c r="W171" s="107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spans="1:34" ht="15.75" customHeight="1" x14ac:dyDescent="0.25">
      <c r="A172" s="139" t="s">
        <v>24</v>
      </c>
      <c r="B172" s="64" t="str">
        <f ca="1">IFERROR(__xludf.DUMMYFUNCTION("""COMPUTED_VALUE"""),"Office Expenses")</f>
        <v>Office Expenses</v>
      </c>
      <c r="C172" s="64" t="str">
        <f ca="1">IFERROR(__xludf.DUMMYFUNCTION("""COMPUTED_VALUE"""),"Software and Subscriptions")</f>
        <v>Software and Subscriptions</v>
      </c>
      <c r="D172" s="290">
        <f ca="1">IFERROR(__xludf.DUMMYFUNCTION("""COMPUTED_VALUE"""),93401)</f>
        <v>93401</v>
      </c>
      <c r="E172" s="140">
        <f ca="1">IFERROR(__xludf.DUMMYFUNCTION("""COMPUTED_VALUE"""),4800000)</f>
        <v>4800000</v>
      </c>
      <c r="F172" s="140">
        <f ca="1">IFERROR(__xludf.DUMMYFUNCTION("""COMPUTED_VALUE"""),400000)</f>
        <v>400000</v>
      </c>
      <c r="G172" s="140">
        <f ca="1">IFERROR(__xludf.DUMMYFUNCTION("""COMPUTED_VALUE"""),400000)</f>
        <v>400000</v>
      </c>
      <c r="H172" s="140">
        <f ca="1">IFERROR(__xludf.DUMMYFUNCTION("""COMPUTED_VALUE"""),400000)</f>
        <v>400000</v>
      </c>
      <c r="I172" s="140">
        <f ca="1">IFERROR(__xludf.DUMMYFUNCTION("""COMPUTED_VALUE"""),400000)</f>
        <v>400000</v>
      </c>
      <c r="J172" s="140">
        <f ca="1">IFERROR(__xludf.DUMMYFUNCTION("""COMPUTED_VALUE"""),400000)</f>
        <v>400000</v>
      </c>
      <c r="K172" s="140">
        <f ca="1">IFERROR(__xludf.DUMMYFUNCTION("""COMPUTED_VALUE"""),400000)</f>
        <v>400000</v>
      </c>
      <c r="L172" s="140">
        <f ca="1">IFERROR(__xludf.DUMMYFUNCTION("""COMPUTED_VALUE"""),400000)</f>
        <v>400000</v>
      </c>
      <c r="M172" s="140">
        <f ca="1">IFERROR(__xludf.DUMMYFUNCTION("""COMPUTED_VALUE"""),400000)</f>
        <v>400000</v>
      </c>
      <c r="N172" s="140">
        <f ca="1">IFERROR(__xludf.DUMMYFUNCTION("""COMPUTED_VALUE"""),400000)</f>
        <v>400000</v>
      </c>
      <c r="O172" s="140">
        <f ca="1">IFERROR(__xludf.DUMMYFUNCTION("""COMPUTED_VALUE"""),400000)</f>
        <v>400000</v>
      </c>
      <c r="P172" s="140">
        <f ca="1">IFERROR(__xludf.DUMMYFUNCTION("""COMPUTED_VALUE"""),400000)</f>
        <v>400000</v>
      </c>
      <c r="Q172" s="288">
        <f ca="1">IFERROR(__xludf.DUMMYFUNCTION("""COMPUTED_VALUE"""),400000)</f>
        <v>400000</v>
      </c>
      <c r="R172" s="286"/>
      <c r="S172" s="291" t="e">
        <f ca="1">_xludf.ifs(A172="INDIA",E172/'Shared Summary by Dept_US$'!$B$31,A172="INDO",E172/'Shared Summary by Dept_US$'!$B$32,A172="BD",E172/'Shared Summary by Dept_US$'!$B$33,A172="Nepal",E172/'Shared Summary by Dept_US$'!$B$34,A172="US",E172/'Shared Summary by Dept_US$'!$B$35)</f>
        <v>#NAME?</v>
      </c>
      <c r="T172" s="292" t="s">
        <v>162</v>
      </c>
      <c r="U172" s="15"/>
      <c r="V172" s="15"/>
      <c r="W172" s="107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spans="1:34" ht="15.75" customHeight="1" x14ac:dyDescent="0.25">
      <c r="A173" s="139" t="s">
        <v>24</v>
      </c>
      <c r="B173" s="64" t="str">
        <f ca="1">IFERROR(__xludf.DUMMYFUNCTION("""COMPUTED_VALUE"""),"Office Expenses")</f>
        <v>Office Expenses</v>
      </c>
      <c r="C173" s="64" t="str">
        <f ca="1">IFERROR(__xludf.DUMMYFUNCTION("""COMPUTED_VALUE"""),"Stationery &amp; Consumables")</f>
        <v>Stationery &amp; Consumables</v>
      </c>
      <c r="D173" s="290">
        <f ca="1">IFERROR(__xludf.DUMMYFUNCTION("""COMPUTED_VALUE"""),93404)</f>
        <v>93404</v>
      </c>
      <c r="E173" s="140">
        <f ca="1">IFERROR(__xludf.DUMMYFUNCTION("""COMPUTED_VALUE"""),0)</f>
        <v>0</v>
      </c>
      <c r="F173" s="140">
        <f ca="1">IFERROR(__xludf.DUMMYFUNCTION("""COMPUTED_VALUE"""),0)</f>
        <v>0</v>
      </c>
      <c r="G173" s="140">
        <f ca="1">IFERROR(__xludf.DUMMYFUNCTION("""COMPUTED_VALUE"""),0)</f>
        <v>0</v>
      </c>
      <c r="H173" s="140">
        <f ca="1">IFERROR(__xludf.DUMMYFUNCTION("""COMPUTED_VALUE"""),0)</f>
        <v>0</v>
      </c>
      <c r="I173" s="140">
        <f ca="1">IFERROR(__xludf.DUMMYFUNCTION("""COMPUTED_VALUE"""),0)</f>
        <v>0</v>
      </c>
      <c r="J173" s="140">
        <f ca="1">IFERROR(__xludf.DUMMYFUNCTION("""COMPUTED_VALUE"""),0)</f>
        <v>0</v>
      </c>
      <c r="K173" s="140">
        <f ca="1">IFERROR(__xludf.DUMMYFUNCTION("""COMPUTED_VALUE"""),0)</f>
        <v>0</v>
      </c>
      <c r="L173" s="140">
        <f ca="1">IFERROR(__xludf.DUMMYFUNCTION("""COMPUTED_VALUE"""),0)</f>
        <v>0</v>
      </c>
      <c r="M173" s="140">
        <f ca="1">IFERROR(__xludf.DUMMYFUNCTION("""COMPUTED_VALUE"""),0)</f>
        <v>0</v>
      </c>
      <c r="N173" s="140">
        <f ca="1">IFERROR(__xludf.DUMMYFUNCTION("""COMPUTED_VALUE"""),0)</f>
        <v>0</v>
      </c>
      <c r="O173" s="140">
        <f ca="1">IFERROR(__xludf.DUMMYFUNCTION("""COMPUTED_VALUE"""),0)</f>
        <v>0</v>
      </c>
      <c r="P173" s="140">
        <f ca="1">IFERROR(__xludf.DUMMYFUNCTION("""COMPUTED_VALUE"""),0)</f>
        <v>0</v>
      </c>
      <c r="Q173" s="288">
        <f ca="1">IFERROR(__xludf.DUMMYFUNCTION("""COMPUTED_VALUE"""),0)</f>
        <v>0</v>
      </c>
      <c r="R173" s="286"/>
      <c r="S173" s="291" t="e">
        <f ca="1">_xludf.ifs(A173="INDIA",E173/'Shared Summary by Dept_US$'!$B$31,A173="INDO",E173/'Shared Summary by Dept_US$'!$B$32,A173="BD",E173/'Shared Summary by Dept_US$'!$B$33,A173="Nepal",E173/'Shared Summary by Dept_US$'!$B$34,A173="US",E173/'Shared Summary by Dept_US$'!$B$35)</f>
        <v>#NAME?</v>
      </c>
      <c r="T173" s="292" t="s">
        <v>162</v>
      </c>
      <c r="U173" s="15"/>
      <c r="V173" s="15"/>
      <c r="W173" s="107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ht="15.75" customHeight="1" x14ac:dyDescent="0.25">
      <c r="A174" s="139" t="s">
        <v>24</v>
      </c>
      <c r="B174" s="64" t="str">
        <f ca="1">IFERROR(__xludf.DUMMYFUNCTION("""COMPUTED_VALUE"""),"Office Expenses")</f>
        <v>Office Expenses</v>
      </c>
      <c r="C174" s="64" t="str">
        <f ca="1">IFERROR(__xludf.DUMMYFUNCTION("""COMPUTED_VALUE"""),"Office Equipment Expense")</f>
        <v>Office Equipment Expense</v>
      </c>
      <c r="D174" s="290">
        <f ca="1">IFERROR(__xludf.DUMMYFUNCTION("""COMPUTED_VALUE"""),93405)</f>
        <v>93405</v>
      </c>
      <c r="E174" s="140">
        <f ca="1">IFERROR(__xludf.DUMMYFUNCTION("""COMPUTED_VALUE"""),0)</f>
        <v>0</v>
      </c>
      <c r="F174" s="140">
        <f ca="1">IFERROR(__xludf.DUMMYFUNCTION("""COMPUTED_VALUE"""),0)</f>
        <v>0</v>
      </c>
      <c r="G174" s="140">
        <f ca="1">IFERROR(__xludf.DUMMYFUNCTION("""COMPUTED_VALUE"""),0)</f>
        <v>0</v>
      </c>
      <c r="H174" s="140">
        <f ca="1">IFERROR(__xludf.DUMMYFUNCTION("""COMPUTED_VALUE"""),0)</f>
        <v>0</v>
      </c>
      <c r="I174" s="140">
        <f ca="1">IFERROR(__xludf.DUMMYFUNCTION("""COMPUTED_VALUE"""),0)</f>
        <v>0</v>
      </c>
      <c r="J174" s="140">
        <f ca="1">IFERROR(__xludf.DUMMYFUNCTION("""COMPUTED_VALUE"""),0)</f>
        <v>0</v>
      </c>
      <c r="K174" s="140">
        <f ca="1">IFERROR(__xludf.DUMMYFUNCTION("""COMPUTED_VALUE"""),0)</f>
        <v>0</v>
      </c>
      <c r="L174" s="140">
        <f ca="1">IFERROR(__xludf.DUMMYFUNCTION("""COMPUTED_VALUE"""),0)</f>
        <v>0</v>
      </c>
      <c r="M174" s="140">
        <f ca="1">IFERROR(__xludf.DUMMYFUNCTION("""COMPUTED_VALUE"""),0)</f>
        <v>0</v>
      </c>
      <c r="N174" s="140">
        <f ca="1">IFERROR(__xludf.DUMMYFUNCTION("""COMPUTED_VALUE"""),0)</f>
        <v>0</v>
      </c>
      <c r="O174" s="140">
        <f ca="1">IFERROR(__xludf.DUMMYFUNCTION("""COMPUTED_VALUE"""),0)</f>
        <v>0</v>
      </c>
      <c r="P174" s="140">
        <f ca="1">IFERROR(__xludf.DUMMYFUNCTION("""COMPUTED_VALUE"""),0)</f>
        <v>0</v>
      </c>
      <c r="Q174" s="288">
        <f ca="1">IFERROR(__xludf.DUMMYFUNCTION("""COMPUTED_VALUE"""),0)</f>
        <v>0</v>
      </c>
      <c r="R174" s="286"/>
      <c r="S174" s="291" t="e">
        <f ca="1">_xludf.ifs(A174="INDIA",E174/'Shared Summary by Dept_US$'!$B$31,A174="INDO",E174/'Shared Summary by Dept_US$'!$B$32,A174="BD",E174/'Shared Summary by Dept_US$'!$B$33,A174="Nepal",E174/'Shared Summary by Dept_US$'!$B$34,A174="US",E174/'Shared Summary by Dept_US$'!$B$35)</f>
        <v>#NAME?</v>
      </c>
      <c r="T174" s="292" t="s">
        <v>162</v>
      </c>
      <c r="U174" s="15"/>
      <c r="V174" s="15"/>
      <c r="W174" s="107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spans="1:34" ht="15.75" customHeight="1" x14ac:dyDescent="0.25">
      <c r="A175" s="139" t="s">
        <v>24</v>
      </c>
      <c r="B175" s="64" t="str">
        <f ca="1">IFERROR(__xludf.DUMMYFUNCTION("""COMPUTED_VALUE"""),"Professional &amp; Consultancy Charges")</f>
        <v>Professional &amp; Consultancy Charges</v>
      </c>
      <c r="C175" s="64" t="str">
        <f ca="1">IFERROR(__xludf.DUMMYFUNCTION("""COMPUTED_VALUE"""),"Admin Consultants")</f>
        <v>Admin Consultants</v>
      </c>
      <c r="D175" s="290">
        <f ca="1">IFERROR(__xludf.DUMMYFUNCTION("""COMPUTED_VALUE"""),93703)</f>
        <v>93703</v>
      </c>
      <c r="E175" s="140">
        <f ca="1">IFERROR(__xludf.DUMMYFUNCTION("""COMPUTED_VALUE"""),40000000)</f>
        <v>40000000</v>
      </c>
      <c r="F175" s="140">
        <f ca="1">IFERROR(__xludf.DUMMYFUNCTION("""COMPUTED_VALUE"""),0)</f>
        <v>0</v>
      </c>
      <c r="G175" s="140">
        <f ca="1">IFERROR(__xludf.DUMMYFUNCTION("""COMPUTED_VALUE"""),0)</f>
        <v>0</v>
      </c>
      <c r="H175" s="140">
        <f ca="1">IFERROR(__xludf.DUMMYFUNCTION("""COMPUTED_VALUE"""),0)</f>
        <v>0</v>
      </c>
      <c r="I175" s="140">
        <f ca="1">IFERROR(__xludf.DUMMYFUNCTION("""COMPUTED_VALUE"""),0)</f>
        <v>0</v>
      </c>
      <c r="J175" s="140">
        <f ca="1">IFERROR(__xludf.DUMMYFUNCTION("""COMPUTED_VALUE"""),0)</f>
        <v>0</v>
      </c>
      <c r="K175" s="140">
        <f ca="1">IFERROR(__xludf.DUMMYFUNCTION("""COMPUTED_VALUE"""),0)</f>
        <v>0</v>
      </c>
      <c r="L175" s="140">
        <f ca="1">IFERROR(__xludf.DUMMYFUNCTION("""COMPUTED_VALUE"""),0)</f>
        <v>0</v>
      </c>
      <c r="M175" s="140">
        <f ca="1">IFERROR(__xludf.DUMMYFUNCTION("""COMPUTED_VALUE"""),0)</f>
        <v>0</v>
      </c>
      <c r="N175" s="140">
        <f ca="1">IFERROR(__xludf.DUMMYFUNCTION("""COMPUTED_VALUE"""),0)</f>
        <v>0</v>
      </c>
      <c r="O175" s="140">
        <f ca="1">IFERROR(__xludf.DUMMYFUNCTION("""COMPUTED_VALUE"""),40000000)</f>
        <v>40000000</v>
      </c>
      <c r="P175" s="140">
        <f ca="1">IFERROR(__xludf.DUMMYFUNCTION("""COMPUTED_VALUE"""),0)</f>
        <v>0</v>
      </c>
      <c r="Q175" s="288">
        <f ca="1">IFERROR(__xludf.DUMMYFUNCTION("""COMPUTED_VALUE"""),0)</f>
        <v>0</v>
      </c>
      <c r="R175" s="286"/>
      <c r="S175" s="291" t="e">
        <f ca="1">_xludf.ifs(A175="INDIA",E175/'Shared Summary by Dept_US$'!$B$31,A175="INDO",E175/'Shared Summary by Dept_US$'!$B$32,A175="BD",E175/'Shared Summary by Dept_US$'!$B$33,A175="Nepal",E175/'Shared Summary by Dept_US$'!$B$34,A175="US",E175/'Shared Summary by Dept_US$'!$B$35)</f>
        <v>#NAME?</v>
      </c>
      <c r="T175" s="292" t="s">
        <v>162</v>
      </c>
      <c r="U175" s="15"/>
      <c r="V175" s="15"/>
      <c r="W175" s="107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spans="1:34" ht="15.75" customHeight="1" x14ac:dyDescent="0.25">
      <c r="A176" s="139" t="s">
        <v>24</v>
      </c>
      <c r="B176" s="64" t="str">
        <f ca="1">IFERROR(__xludf.DUMMYFUNCTION("""COMPUTED_VALUE"""),"Fixed Assets")</f>
        <v>Fixed Assets</v>
      </c>
      <c r="C176" s="64" t="str">
        <f ca="1">IFERROR(__xludf.DUMMYFUNCTION("""COMPUTED_VALUE"""),"Laptop/ Printer")</f>
        <v>Laptop/ Printer</v>
      </c>
      <c r="D176" s="290">
        <f ca="1">IFERROR(__xludf.DUMMYFUNCTION("""COMPUTED_VALUE"""),11301)</f>
        <v>11301</v>
      </c>
      <c r="E176" s="140">
        <f ca="1">IFERROR(__xludf.DUMMYFUNCTION("""COMPUTED_VALUE"""),125000000)</f>
        <v>125000000</v>
      </c>
      <c r="F176" s="140">
        <f ca="1">IFERROR(__xludf.DUMMYFUNCTION("""COMPUTED_VALUE"""),0)</f>
        <v>0</v>
      </c>
      <c r="G176" s="140">
        <f ca="1">IFERROR(__xludf.DUMMYFUNCTION("""COMPUTED_VALUE"""),0)</f>
        <v>0</v>
      </c>
      <c r="H176" s="140">
        <f ca="1">IFERROR(__xludf.DUMMYFUNCTION("""COMPUTED_VALUE"""),0)</f>
        <v>0</v>
      </c>
      <c r="I176" s="140">
        <f ca="1">IFERROR(__xludf.DUMMYFUNCTION("""COMPUTED_VALUE"""),125000000)</f>
        <v>125000000</v>
      </c>
      <c r="J176" s="140">
        <f ca="1">IFERROR(__xludf.DUMMYFUNCTION("""COMPUTED_VALUE"""),0)</f>
        <v>0</v>
      </c>
      <c r="K176" s="140">
        <f ca="1">IFERROR(__xludf.DUMMYFUNCTION("""COMPUTED_VALUE"""),0)</f>
        <v>0</v>
      </c>
      <c r="L176" s="140">
        <f ca="1">IFERROR(__xludf.DUMMYFUNCTION("""COMPUTED_VALUE"""),0)</f>
        <v>0</v>
      </c>
      <c r="M176" s="140">
        <f ca="1">IFERROR(__xludf.DUMMYFUNCTION("""COMPUTED_VALUE"""),0)</f>
        <v>0</v>
      </c>
      <c r="N176" s="140">
        <f ca="1">IFERROR(__xludf.DUMMYFUNCTION("""COMPUTED_VALUE"""),0)</f>
        <v>0</v>
      </c>
      <c r="O176" s="140">
        <f ca="1">IFERROR(__xludf.DUMMYFUNCTION("""COMPUTED_VALUE"""),0)</f>
        <v>0</v>
      </c>
      <c r="P176" s="140">
        <f ca="1">IFERROR(__xludf.DUMMYFUNCTION("""COMPUTED_VALUE"""),0)</f>
        <v>0</v>
      </c>
      <c r="Q176" s="288">
        <f ca="1">IFERROR(__xludf.DUMMYFUNCTION("""COMPUTED_VALUE"""),0)</f>
        <v>0</v>
      </c>
      <c r="R176" s="286"/>
      <c r="S176" s="291" t="e">
        <f ca="1">_xludf.ifs(A176="INDIA",E176/'Shared Summary by Dept_US$'!$B$31,A176="INDO",E176/'Shared Summary by Dept_US$'!$B$32,A176="BD",E176/'Shared Summary by Dept_US$'!$B$33,A176="Nepal",E176/'Shared Summary by Dept_US$'!$B$34,A176="US",E176/'Shared Summary by Dept_US$'!$B$35)</f>
        <v>#NAME?</v>
      </c>
      <c r="T176" s="292" t="s">
        <v>162</v>
      </c>
      <c r="U176" s="15"/>
      <c r="V176" s="15"/>
      <c r="W176" s="107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spans="1:34" ht="15.75" customHeight="1" x14ac:dyDescent="0.25">
      <c r="A177" s="139" t="s">
        <v>24</v>
      </c>
      <c r="B177" s="64" t="str">
        <f ca="1">IFERROR(__xludf.DUMMYFUNCTION("""COMPUTED_VALUE"""),"Salaries and Wages")</f>
        <v>Salaries and Wages</v>
      </c>
      <c r="C177" s="64" t="str">
        <f ca="1">IFERROR(__xludf.DUMMYFUNCTION("""COMPUTED_VALUE"""),"Salaries and Wages")</f>
        <v>Salaries and Wages</v>
      </c>
      <c r="D177" s="290"/>
      <c r="E177" s="140">
        <f ca="1">IFERROR(__xludf.DUMMYFUNCTION("""COMPUTED_VALUE"""),580274056)</f>
        <v>580274056</v>
      </c>
      <c r="F177" s="140">
        <f ca="1">IFERROR(__xludf.DUMMYFUNCTION("""COMPUTED_VALUE"""),31970343)</f>
        <v>31970343</v>
      </c>
      <c r="G177" s="140">
        <f ca="1">IFERROR(__xludf.DUMMYFUNCTION("""COMPUTED_VALUE"""),49732843)</f>
        <v>49732843</v>
      </c>
      <c r="H177" s="140">
        <f ca="1">IFERROR(__xludf.DUMMYFUNCTION("""COMPUTED_VALUE"""),31970343)</f>
        <v>31970343</v>
      </c>
      <c r="I177" s="140">
        <f ca="1">IFERROR(__xludf.DUMMYFUNCTION("""COMPUTED_VALUE"""),51844503)</f>
        <v>51844503</v>
      </c>
      <c r="J177" s="140">
        <f ca="1">IFERROR(__xludf.DUMMYFUNCTION("""COMPUTED_VALUE"""),51844503)</f>
        <v>51844503</v>
      </c>
      <c r="K177" s="140">
        <f ca="1">IFERROR(__xludf.DUMMYFUNCTION("""COMPUTED_VALUE"""),51844503)</f>
        <v>51844503</v>
      </c>
      <c r="L177" s="140">
        <f ca="1">IFERROR(__xludf.DUMMYFUNCTION("""COMPUTED_VALUE"""),51844503)</f>
        <v>51844503</v>
      </c>
      <c r="M177" s="140">
        <f ca="1">IFERROR(__xludf.DUMMYFUNCTION("""COMPUTED_VALUE"""),51844503)</f>
        <v>51844503</v>
      </c>
      <c r="N177" s="140">
        <f ca="1">IFERROR(__xludf.DUMMYFUNCTION("""COMPUTED_VALUE"""),51844503)</f>
        <v>51844503</v>
      </c>
      <c r="O177" s="140">
        <f ca="1">IFERROR(__xludf.DUMMYFUNCTION("""COMPUTED_VALUE"""),51844503)</f>
        <v>51844503</v>
      </c>
      <c r="P177" s="140">
        <f ca="1">IFERROR(__xludf.DUMMYFUNCTION("""COMPUTED_VALUE"""),51844503)</f>
        <v>51844503</v>
      </c>
      <c r="Q177" s="288">
        <f ca="1">IFERROR(__xludf.DUMMYFUNCTION("""COMPUTED_VALUE"""),51844503)</f>
        <v>51844503</v>
      </c>
      <c r="R177" s="286"/>
      <c r="S177" s="291" t="e">
        <f ca="1">_xludf.ifs(A177="INDIA",E177/'Shared Summary by Dept_US$'!$B$31,A177="INDO",E177/'Shared Summary by Dept_US$'!$B$32,A177="BD",E177/'Shared Summary by Dept_US$'!$B$33,A177="Nepal",E177/'Shared Summary by Dept_US$'!$B$34,A177="US",E177/'Shared Summary by Dept_US$'!$B$35)</f>
        <v>#NAME?</v>
      </c>
      <c r="T177" s="292" t="s">
        <v>167</v>
      </c>
      <c r="U177" s="15"/>
      <c r="V177" s="15"/>
      <c r="W177" s="107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spans="1:34" ht="15.75" customHeight="1" x14ac:dyDescent="0.25">
      <c r="A178" s="139" t="s">
        <v>24</v>
      </c>
      <c r="B178" s="64" t="str">
        <f ca="1">IFERROR(__xludf.DUMMYFUNCTION("""COMPUTED_VALUE"""),"Health and Retirement Benefits")</f>
        <v>Health and Retirement Benefits</v>
      </c>
      <c r="C178" s="64" t="str">
        <f ca="1">IFERROR(__xludf.DUMMYFUNCTION("""COMPUTED_VALUE"""),"Gratuity &amp; Bonus")</f>
        <v>Gratuity &amp; Bonus</v>
      </c>
      <c r="D178" s="290"/>
      <c r="E178" s="140">
        <f ca="1">IFERROR(__xludf.DUMMYFUNCTION("""COMPUTED_VALUE"""),0)</f>
        <v>0</v>
      </c>
      <c r="F178" s="140">
        <f ca="1">IFERROR(__xludf.DUMMYFUNCTION("""COMPUTED_VALUE"""),0)</f>
        <v>0</v>
      </c>
      <c r="G178" s="140">
        <f ca="1">IFERROR(__xludf.DUMMYFUNCTION("""COMPUTED_VALUE"""),0)</f>
        <v>0</v>
      </c>
      <c r="H178" s="140">
        <f ca="1">IFERROR(__xludf.DUMMYFUNCTION("""COMPUTED_VALUE"""),0)</f>
        <v>0</v>
      </c>
      <c r="I178" s="140">
        <f ca="1">IFERROR(__xludf.DUMMYFUNCTION("""COMPUTED_VALUE"""),0)</f>
        <v>0</v>
      </c>
      <c r="J178" s="140">
        <f ca="1">IFERROR(__xludf.DUMMYFUNCTION("""COMPUTED_VALUE"""),0)</f>
        <v>0</v>
      </c>
      <c r="K178" s="140">
        <f ca="1">IFERROR(__xludf.DUMMYFUNCTION("""COMPUTED_VALUE"""),0)</f>
        <v>0</v>
      </c>
      <c r="L178" s="140">
        <f ca="1">IFERROR(__xludf.DUMMYFUNCTION("""COMPUTED_VALUE"""),0)</f>
        <v>0</v>
      </c>
      <c r="M178" s="140">
        <f ca="1">IFERROR(__xludf.DUMMYFUNCTION("""COMPUTED_VALUE"""),0)</f>
        <v>0</v>
      </c>
      <c r="N178" s="140">
        <f ca="1">IFERROR(__xludf.DUMMYFUNCTION("""COMPUTED_VALUE"""),0)</f>
        <v>0</v>
      </c>
      <c r="O178" s="140">
        <f ca="1">IFERROR(__xludf.DUMMYFUNCTION("""COMPUTED_VALUE"""),0)</f>
        <v>0</v>
      </c>
      <c r="P178" s="140">
        <f ca="1">IFERROR(__xludf.DUMMYFUNCTION("""COMPUTED_VALUE"""),0)</f>
        <v>0</v>
      </c>
      <c r="Q178" s="288">
        <f ca="1">IFERROR(__xludf.DUMMYFUNCTION("""COMPUTED_VALUE"""),0)</f>
        <v>0</v>
      </c>
      <c r="R178" s="286"/>
      <c r="S178" s="291" t="e">
        <f ca="1">_xludf.ifs(A178="INDIA",E178/'Shared Summary by Dept_US$'!$B$31,A178="INDO",E178/'Shared Summary by Dept_US$'!$B$32,A178="BD",E178/'Shared Summary by Dept_US$'!$B$33,A178="Nepal",E178/'Shared Summary by Dept_US$'!$B$34,A178="US",E178/'Shared Summary by Dept_US$'!$B$35)</f>
        <v>#NAME?</v>
      </c>
      <c r="T178" s="292" t="s">
        <v>167</v>
      </c>
      <c r="U178" s="15"/>
      <c r="V178" s="15"/>
      <c r="W178" s="107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spans="1:34" ht="15.75" customHeight="1" x14ac:dyDescent="0.25">
      <c r="A179" s="139" t="s">
        <v>24</v>
      </c>
      <c r="B179" s="64" t="str">
        <f ca="1">IFERROR(__xludf.DUMMYFUNCTION("""COMPUTED_VALUE"""),"Other Staff Expenses")</f>
        <v>Other Staff Expenses</v>
      </c>
      <c r="C179" s="64" t="str">
        <f ca="1">IFERROR(__xludf.DUMMYFUNCTION("""COMPUTED_VALUE"""),"Staff Training, Learning &amp; Development Exp")</f>
        <v>Staff Training, Learning &amp; Development Exp</v>
      </c>
      <c r="D179" s="290">
        <f ca="1">IFERROR(__xludf.DUMMYFUNCTION("""COMPUTED_VALUE"""),91302)</f>
        <v>91302</v>
      </c>
      <c r="E179" s="140">
        <f ca="1">IFERROR(__xludf.DUMMYFUNCTION("""COMPUTED_VALUE"""),0)</f>
        <v>0</v>
      </c>
      <c r="F179" s="140">
        <f ca="1">IFERROR(__xludf.DUMMYFUNCTION("""COMPUTED_VALUE"""),0)</f>
        <v>0</v>
      </c>
      <c r="G179" s="140">
        <f ca="1">IFERROR(__xludf.DUMMYFUNCTION("""COMPUTED_VALUE"""),0)</f>
        <v>0</v>
      </c>
      <c r="H179" s="140">
        <f ca="1">IFERROR(__xludf.DUMMYFUNCTION("""COMPUTED_VALUE"""),0)</f>
        <v>0</v>
      </c>
      <c r="I179" s="140">
        <f ca="1">IFERROR(__xludf.DUMMYFUNCTION("""COMPUTED_VALUE"""),0)</f>
        <v>0</v>
      </c>
      <c r="J179" s="140">
        <f ca="1">IFERROR(__xludf.DUMMYFUNCTION("""COMPUTED_VALUE"""),0)</f>
        <v>0</v>
      </c>
      <c r="K179" s="140">
        <f ca="1">IFERROR(__xludf.DUMMYFUNCTION("""COMPUTED_VALUE"""),0)</f>
        <v>0</v>
      </c>
      <c r="L179" s="140">
        <f ca="1">IFERROR(__xludf.DUMMYFUNCTION("""COMPUTED_VALUE"""),0)</f>
        <v>0</v>
      </c>
      <c r="M179" s="140">
        <f ca="1">IFERROR(__xludf.DUMMYFUNCTION("""COMPUTED_VALUE"""),0)</f>
        <v>0</v>
      </c>
      <c r="N179" s="140">
        <f ca="1">IFERROR(__xludf.DUMMYFUNCTION("""COMPUTED_VALUE"""),0)</f>
        <v>0</v>
      </c>
      <c r="O179" s="140">
        <f ca="1">IFERROR(__xludf.DUMMYFUNCTION("""COMPUTED_VALUE"""),0)</f>
        <v>0</v>
      </c>
      <c r="P179" s="140">
        <f ca="1">IFERROR(__xludf.DUMMYFUNCTION("""COMPUTED_VALUE"""),0)</f>
        <v>0</v>
      </c>
      <c r="Q179" s="288">
        <f ca="1">IFERROR(__xludf.DUMMYFUNCTION("""COMPUTED_VALUE"""),0)</f>
        <v>0</v>
      </c>
      <c r="R179" s="286"/>
      <c r="S179" s="291" t="e">
        <f ca="1">_xludf.ifs(A179="INDIA",E179/'Shared Summary by Dept_US$'!$B$31,A179="INDO",E179/'Shared Summary by Dept_US$'!$B$32,A179="BD",E179/'Shared Summary by Dept_US$'!$B$33,A179="Nepal",E179/'Shared Summary by Dept_US$'!$B$34,A179="US",E179/'Shared Summary by Dept_US$'!$B$35)</f>
        <v>#NAME?</v>
      </c>
      <c r="T179" s="292" t="s">
        <v>167</v>
      </c>
      <c r="U179" s="15"/>
      <c r="V179" s="15"/>
      <c r="W179" s="107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ht="15.75" customHeight="1" x14ac:dyDescent="0.25">
      <c r="A180" s="139" t="s">
        <v>24</v>
      </c>
      <c r="B180" s="64" t="str">
        <f ca="1">IFERROR(__xludf.DUMMYFUNCTION("""COMPUTED_VALUE"""),"Resource Persons")</f>
        <v>Resource Persons</v>
      </c>
      <c r="C180" s="64" t="str">
        <f ca="1">IFERROR(__xludf.DUMMYFUNCTION("""COMPUTED_VALUE"""),"Program Resource Consultant (EHA)")</f>
        <v>Program Resource Consultant (EHA)</v>
      </c>
      <c r="D180" s="290">
        <f ca="1">IFERROR(__xludf.DUMMYFUNCTION("""COMPUTED_VALUE"""),92101)</f>
        <v>92101</v>
      </c>
      <c r="E180" s="140">
        <f ca="1">IFERROR(__xludf.DUMMYFUNCTION("""COMPUTED_VALUE"""),0)</f>
        <v>0</v>
      </c>
      <c r="F180" s="140">
        <f ca="1">IFERROR(__xludf.DUMMYFUNCTION("""COMPUTED_VALUE"""),0)</f>
        <v>0</v>
      </c>
      <c r="G180" s="140">
        <f ca="1">IFERROR(__xludf.DUMMYFUNCTION("""COMPUTED_VALUE"""),0)</f>
        <v>0</v>
      </c>
      <c r="H180" s="140">
        <f ca="1">IFERROR(__xludf.DUMMYFUNCTION("""COMPUTED_VALUE"""),0)</f>
        <v>0</v>
      </c>
      <c r="I180" s="140">
        <f ca="1">IFERROR(__xludf.DUMMYFUNCTION("""COMPUTED_VALUE"""),0)</f>
        <v>0</v>
      </c>
      <c r="J180" s="140">
        <f ca="1">IFERROR(__xludf.DUMMYFUNCTION("""COMPUTED_VALUE"""),0)</f>
        <v>0</v>
      </c>
      <c r="K180" s="140">
        <f ca="1">IFERROR(__xludf.DUMMYFUNCTION("""COMPUTED_VALUE"""),0)</f>
        <v>0</v>
      </c>
      <c r="L180" s="140">
        <f ca="1">IFERROR(__xludf.DUMMYFUNCTION("""COMPUTED_VALUE"""),0)</f>
        <v>0</v>
      </c>
      <c r="M180" s="140">
        <f ca="1">IFERROR(__xludf.DUMMYFUNCTION("""COMPUTED_VALUE"""),0)</f>
        <v>0</v>
      </c>
      <c r="N180" s="140">
        <f ca="1">IFERROR(__xludf.DUMMYFUNCTION("""COMPUTED_VALUE"""),0)</f>
        <v>0</v>
      </c>
      <c r="O180" s="140">
        <f ca="1">IFERROR(__xludf.DUMMYFUNCTION("""COMPUTED_VALUE"""),0)</f>
        <v>0</v>
      </c>
      <c r="P180" s="140">
        <f ca="1">IFERROR(__xludf.DUMMYFUNCTION("""COMPUTED_VALUE"""),0)</f>
        <v>0</v>
      </c>
      <c r="Q180" s="288">
        <f ca="1">IFERROR(__xludf.DUMMYFUNCTION("""COMPUTED_VALUE"""),0)</f>
        <v>0</v>
      </c>
      <c r="R180" s="286"/>
      <c r="S180" s="291" t="e">
        <f ca="1">_xludf.ifs(A180="INDIA",E180/'Shared Summary by Dept_US$'!$B$31,A180="INDO",E180/'Shared Summary by Dept_US$'!$B$32,A180="BD",E180/'Shared Summary by Dept_US$'!$B$33,A180="Nepal",E180/'Shared Summary by Dept_US$'!$B$34,A180="US",E180/'Shared Summary by Dept_US$'!$B$35)</f>
        <v>#NAME?</v>
      </c>
      <c r="T180" s="292" t="s">
        <v>167</v>
      </c>
      <c r="U180" s="15"/>
      <c r="V180" s="15"/>
      <c r="W180" s="107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spans="1:34" ht="15.75" customHeight="1" x14ac:dyDescent="0.25">
      <c r="A181" s="139" t="s">
        <v>24</v>
      </c>
      <c r="B181" s="64" t="str">
        <f ca="1">IFERROR(__xludf.DUMMYFUNCTION("""COMPUTED_VALUE"""),"Travel &amp; Lodging Expenses")</f>
        <v>Travel &amp; Lodging Expenses</v>
      </c>
      <c r="C181" s="64" t="str">
        <f ca="1">IFERROR(__xludf.DUMMYFUNCTION("""COMPUTED_VALUE"""),"Hotel Accomodation")</f>
        <v>Hotel Accomodation</v>
      </c>
      <c r="D181" s="290">
        <f ca="1">IFERROR(__xludf.DUMMYFUNCTION("""COMPUTED_VALUE"""),93101)</f>
        <v>93101</v>
      </c>
      <c r="E181" s="140">
        <f ca="1">IFERROR(__xludf.DUMMYFUNCTION("""COMPUTED_VALUE"""),4500000)</f>
        <v>4500000</v>
      </c>
      <c r="F181" s="140">
        <f ca="1">IFERROR(__xludf.DUMMYFUNCTION("""COMPUTED_VALUE"""),0)</f>
        <v>0</v>
      </c>
      <c r="G181" s="140">
        <f ca="1">IFERROR(__xludf.DUMMYFUNCTION("""COMPUTED_VALUE"""),0)</f>
        <v>0</v>
      </c>
      <c r="H181" s="140">
        <f ca="1">IFERROR(__xludf.DUMMYFUNCTION("""COMPUTED_VALUE"""),4500000)</f>
        <v>4500000</v>
      </c>
      <c r="I181" s="140">
        <f ca="1">IFERROR(__xludf.DUMMYFUNCTION("""COMPUTED_VALUE"""),0)</f>
        <v>0</v>
      </c>
      <c r="J181" s="140">
        <f ca="1">IFERROR(__xludf.DUMMYFUNCTION("""COMPUTED_VALUE"""),0)</f>
        <v>0</v>
      </c>
      <c r="K181" s="140">
        <f ca="1">IFERROR(__xludf.DUMMYFUNCTION("""COMPUTED_VALUE"""),0)</f>
        <v>0</v>
      </c>
      <c r="L181" s="140">
        <f ca="1">IFERROR(__xludf.DUMMYFUNCTION("""COMPUTED_VALUE"""),0)</f>
        <v>0</v>
      </c>
      <c r="M181" s="140">
        <f ca="1">IFERROR(__xludf.DUMMYFUNCTION("""COMPUTED_VALUE"""),0)</f>
        <v>0</v>
      </c>
      <c r="N181" s="140">
        <f ca="1">IFERROR(__xludf.DUMMYFUNCTION("""COMPUTED_VALUE"""),0)</f>
        <v>0</v>
      </c>
      <c r="O181" s="140">
        <f ca="1">IFERROR(__xludf.DUMMYFUNCTION("""COMPUTED_VALUE"""),0)</f>
        <v>0</v>
      </c>
      <c r="P181" s="140">
        <f ca="1">IFERROR(__xludf.DUMMYFUNCTION("""COMPUTED_VALUE"""),0)</f>
        <v>0</v>
      </c>
      <c r="Q181" s="288">
        <f ca="1">IFERROR(__xludf.DUMMYFUNCTION("""COMPUTED_VALUE"""),0)</f>
        <v>0</v>
      </c>
      <c r="R181" s="286"/>
      <c r="S181" s="291" t="e">
        <f ca="1">_xludf.ifs(A181="INDIA",E181/'Shared Summary by Dept_US$'!$B$31,A181="INDO",E181/'Shared Summary by Dept_US$'!$B$32,A181="BD",E181/'Shared Summary by Dept_US$'!$B$33,A181="Nepal",E181/'Shared Summary by Dept_US$'!$B$34,A181="US",E181/'Shared Summary by Dept_US$'!$B$35)</f>
        <v>#NAME?</v>
      </c>
      <c r="T181" s="292" t="s">
        <v>167</v>
      </c>
      <c r="U181" s="15"/>
      <c r="V181" s="15"/>
      <c r="W181" s="107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spans="1:34" ht="15.75" customHeight="1" x14ac:dyDescent="0.25">
      <c r="A182" s="139" t="s">
        <v>24</v>
      </c>
      <c r="B182" s="64" t="str">
        <f ca="1">IFERROR(__xludf.DUMMYFUNCTION("""COMPUTED_VALUE"""),"Travel &amp; Lodging Expenses")</f>
        <v>Travel &amp; Lodging Expenses</v>
      </c>
      <c r="C182" s="64" t="str">
        <f ca="1">IFERROR(__xludf.DUMMYFUNCTION("""COMPUTED_VALUE"""),"Food Expenses")</f>
        <v>Food Expenses</v>
      </c>
      <c r="D182" s="290">
        <f ca="1">IFERROR(__xludf.DUMMYFUNCTION("""COMPUTED_VALUE"""),93102)</f>
        <v>93102</v>
      </c>
      <c r="E182" s="140">
        <f ca="1">IFERROR(__xludf.DUMMYFUNCTION("""COMPUTED_VALUE"""),30000000)</f>
        <v>30000000</v>
      </c>
      <c r="F182" s="140">
        <f ca="1">IFERROR(__xludf.DUMMYFUNCTION("""COMPUTED_VALUE"""),0)</f>
        <v>0</v>
      </c>
      <c r="G182" s="140">
        <f ca="1">IFERROR(__xludf.DUMMYFUNCTION("""COMPUTED_VALUE"""),0)</f>
        <v>0</v>
      </c>
      <c r="H182" s="140">
        <f ca="1">IFERROR(__xludf.DUMMYFUNCTION("""COMPUTED_VALUE"""),30000000)</f>
        <v>30000000</v>
      </c>
      <c r="I182" s="140">
        <f ca="1">IFERROR(__xludf.DUMMYFUNCTION("""COMPUTED_VALUE"""),0)</f>
        <v>0</v>
      </c>
      <c r="J182" s="140">
        <f ca="1">IFERROR(__xludf.DUMMYFUNCTION("""COMPUTED_VALUE"""),0)</f>
        <v>0</v>
      </c>
      <c r="K182" s="140">
        <f ca="1">IFERROR(__xludf.DUMMYFUNCTION("""COMPUTED_VALUE"""),0)</f>
        <v>0</v>
      </c>
      <c r="L182" s="140">
        <f ca="1">IFERROR(__xludf.DUMMYFUNCTION("""COMPUTED_VALUE"""),0)</f>
        <v>0</v>
      </c>
      <c r="M182" s="140">
        <f ca="1">IFERROR(__xludf.DUMMYFUNCTION("""COMPUTED_VALUE"""),0)</f>
        <v>0</v>
      </c>
      <c r="N182" s="140">
        <f ca="1">IFERROR(__xludf.DUMMYFUNCTION("""COMPUTED_VALUE"""),0)</f>
        <v>0</v>
      </c>
      <c r="O182" s="140">
        <f ca="1">IFERROR(__xludf.DUMMYFUNCTION("""COMPUTED_VALUE"""),0)</f>
        <v>0</v>
      </c>
      <c r="P182" s="140">
        <f ca="1">IFERROR(__xludf.DUMMYFUNCTION("""COMPUTED_VALUE"""),0)</f>
        <v>0</v>
      </c>
      <c r="Q182" s="288">
        <f ca="1">IFERROR(__xludf.DUMMYFUNCTION("""COMPUTED_VALUE"""),0)</f>
        <v>0</v>
      </c>
      <c r="R182" s="286"/>
      <c r="S182" s="291" t="e">
        <f ca="1">_xludf.ifs(A182="INDIA",E182/'Shared Summary by Dept_US$'!$B$31,A182="INDO",E182/'Shared Summary by Dept_US$'!$B$32,A182="BD",E182/'Shared Summary by Dept_US$'!$B$33,A182="Nepal",E182/'Shared Summary by Dept_US$'!$B$34,A182="US",E182/'Shared Summary by Dept_US$'!$B$35)</f>
        <v>#NAME?</v>
      </c>
      <c r="T182" s="292" t="s">
        <v>167</v>
      </c>
      <c r="U182" s="15"/>
      <c r="V182" s="15"/>
      <c r="W182" s="107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spans="1:34" ht="15.75" customHeight="1" x14ac:dyDescent="0.25">
      <c r="A183" s="139" t="s">
        <v>24</v>
      </c>
      <c r="B183" s="64" t="str">
        <f ca="1">IFERROR(__xludf.DUMMYFUNCTION("""COMPUTED_VALUE"""),"Travel &amp; Lodging Expenses")</f>
        <v>Travel &amp; Lodging Expenses</v>
      </c>
      <c r="C183" s="64" t="str">
        <f ca="1">IFERROR(__xludf.DUMMYFUNCTION("""COMPUTED_VALUE"""),"Air fare")</f>
        <v>Air fare</v>
      </c>
      <c r="D183" s="290">
        <f ca="1">IFERROR(__xludf.DUMMYFUNCTION("""COMPUTED_VALUE"""),93103)</f>
        <v>93103</v>
      </c>
      <c r="E183" s="140">
        <f ca="1">IFERROR(__xludf.DUMMYFUNCTION("""COMPUTED_VALUE"""),0)</f>
        <v>0</v>
      </c>
      <c r="F183" s="140">
        <f ca="1">IFERROR(__xludf.DUMMYFUNCTION("""COMPUTED_VALUE"""),0)</f>
        <v>0</v>
      </c>
      <c r="G183" s="140">
        <f ca="1">IFERROR(__xludf.DUMMYFUNCTION("""COMPUTED_VALUE"""),0)</f>
        <v>0</v>
      </c>
      <c r="H183" s="140">
        <f ca="1">IFERROR(__xludf.DUMMYFUNCTION("""COMPUTED_VALUE"""),0)</f>
        <v>0</v>
      </c>
      <c r="I183" s="140">
        <f ca="1">IFERROR(__xludf.DUMMYFUNCTION("""COMPUTED_VALUE"""),0)</f>
        <v>0</v>
      </c>
      <c r="J183" s="140">
        <f ca="1">IFERROR(__xludf.DUMMYFUNCTION("""COMPUTED_VALUE"""),0)</f>
        <v>0</v>
      </c>
      <c r="K183" s="140">
        <f ca="1">IFERROR(__xludf.DUMMYFUNCTION("""COMPUTED_VALUE"""),0)</f>
        <v>0</v>
      </c>
      <c r="L183" s="140">
        <f ca="1">IFERROR(__xludf.DUMMYFUNCTION("""COMPUTED_VALUE"""),0)</f>
        <v>0</v>
      </c>
      <c r="M183" s="140">
        <f ca="1">IFERROR(__xludf.DUMMYFUNCTION("""COMPUTED_VALUE"""),0)</f>
        <v>0</v>
      </c>
      <c r="N183" s="140">
        <f ca="1">IFERROR(__xludf.DUMMYFUNCTION("""COMPUTED_VALUE"""),0)</f>
        <v>0</v>
      </c>
      <c r="O183" s="140">
        <f ca="1">IFERROR(__xludf.DUMMYFUNCTION("""COMPUTED_VALUE"""),0)</f>
        <v>0</v>
      </c>
      <c r="P183" s="140">
        <f ca="1">IFERROR(__xludf.DUMMYFUNCTION("""COMPUTED_VALUE"""),0)</f>
        <v>0</v>
      </c>
      <c r="Q183" s="288">
        <f ca="1">IFERROR(__xludf.DUMMYFUNCTION("""COMPUTED_VALUE"""),0)</f>
        <v>0</v>
      </c>
      <c r="R183" s="286"/>
      <c r="S183" s="291" t="e">
        <f ca="1">_xludf.ifs(A183="INDIA",E183/'Shared Summary by Dept_US$'!$B$31,A183="INDO",E183/'Shared Summary by Dept_US$'!$B$32,A183="BD",E183/'Shared Summary by Dept_US$'!$B$33,A183="Nepal",E183/'Shared Summary by Dept_US$'!$B$34,A183="US",E183/'Shared Summary by Dept_US$'!$B$35)</f>
        <v>#NAME?</v>
      </c>
      <c r="T183" s="292" t="s">
        <v>167</v>
      </c>
      <c r="U183" s="15"/>
      <c r="V183" s="15"/>
      <c r="W183" s="107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spans="1:34" ht="15.75" customHeight="1" x14ac:dyDescent="0.25">
      <c r="A184" s="139" t="s">
        <v>24</v>
      </c>
      <c r="B184" s="64" t="str">
        <f ca="1">IFERROR(__xludf.DUMMYFUNCTION("""COMPUTED_VALUE"""),"Travel &amp; Lodging Expenses")</f>
        <v>Travel &amp; Lodging Expenses</v>
      </c>
      <c r="C184" s="64" t="str">
        <f ca="1">IFERROR(__xludf.DUMMYFUNCTION("""COMPUTED_VALUE"""),"Cab/Auto")</f>
        <v>Cab/Auto</v>
      </c>
      <c r="D184" s="290">
        <f ca="1">IFERROR(__xludf.DUMMYFUNCTION("""COMPUTED_VALUE"""),93104)</f>
        <v>93104</v>
      </c>
      <c r="E184" s="140">
        <f ca="1">IFERROR(__xludf.DUMMYFUNCTION("""COMPUTED_VALUE"""),15000000)</f>
        <v>15000000</v>
      </c>
      <c r="F184" s="140">
        <f ca="1">IFERROR(__xludf.DUMMYFUNCTION("""COMPUTED_VALUE"""),0)</f>
        <v>0</v>
      </c>
      <c r="G184" s="140">
        <f ca="1">IFERROR(__xludf.DUMMYFUNCTION("""COMPUTED_VALUE"""),0)</f>
        <v>0</v>
      </c>
      <c r="H184" s="140">
        <f ca="1">IFERROR(__xludf.DUMMYFUNCTION("""COMPUTED_VALUE"""),15000000)</f>
        <v>15000000</v>
      </c>
      <c r="I184" s="140">
        <f ca="1">IFERROR(__xludf.DUMMYFUNCTION("""COMPUTED_VALUE"""),0)</f>
        <v>0</v>
      </c>
      <c r="J184" s="140">
        <f ca="1">IFERROR(__xludf.DUMMYFUNCTION("""COMPUTED_VALUE"""),0)</f>
        <v>0</v>
      </c>
      <c r="K184" s="140">
        <f ca="1">IFERROR(__xludf.DUMMYFUNCTION("""COMPUTED_VALUE"""),0)</f>
        <v>0</v>
      </c>
      <c r="L184" s="140">
        <f ca="1">IFERROR(__xludf.DUMMYFUNCTION("""COMPUTED_VALUE"""),0)</f>
        <v>0</v>
      </c>
      <c r="M184" s="140">
        <f ca="1">IFERROR(__xludf.DUMMYFUNCTION("""COMPUTED_VALUE"""),0)</f>
        <v>0</v>
      </c>
      <c r="N184" s="140">
        <f ca="1">IFERROR(__xludf.DUMMYFUNCTION("""COMPUTED_VALUE"""),0)</f>
        <v>0</v>
      </c>
      <c r="O184" s="140">
        <f ca="1">IFERROR(__xludf.DUMMYFUNCTION("""COMPUTED_VALUE"""),0)</f>
        <v>0</v>
      </c>
      <c r="P184" s="140">
        <f ca="1">IFERROR(__xludf.DUMMYFUNCTION("""COMPUTED_VALUE"""),0)</f>
        <v>0</v>
      </c>
      <c r="Q184" s="288">
        <f ca="1">IFERROR(__xludf.DUMMYFUNCTION("""COMPUTED_VALUE"""),0)</f>
        <v>0</v>
      </c>
      <c r="R184" s="286"/>
      <c r="S184" s="291" t="e">
        <f ca="1">_xludf.ifs(A184="INDIA",E184/'Shared Summary by Dept_US$'!$B$31,A184="INDO",E184/'Shared Summary by Dept_US$'!$B$32,A184="BD",E184/'Shared Summary by Dept_US$'!$B$33,A184="Nepal",E184/'Shared Summary by Dept_US$'!$B$34,A184="US",E184/'Shared Summary by Dept_US$'!$B$35)</f>
        <v>#NAME?</v>
      </c>
      <c r="T184" s="292" t="s">
        <v>167</v>
      </c>
      <c r="U184" s="15"/>
      <c r="V184" s="15"/>
      <c r="W184" s="107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ht="15.75" customHeight="1" x14ac:dyDescent="0.25">
      <c r="A185" s="139" t="s">
        <v>24</v>
      </c>
      <c r="B185" s="64" t="str">
        <f ca="1">IFERROR(__xludf.DUMMYFUNCTION("""COMPUTED_VALUE"""),"Travel &amp; Lodging Expenses")</f>
        <v>Travel &amp; Lodging Expenses</v>
      </c>
      <c r="C185" s="64" t="str">
        <f ca="1">IFERROR(__xludf.DUMMYFUNCTION("""COMPUTED_VALUE"""),"Bus/Train")</f>
        <v>Bus/Train</v>
      </c>
      <c r="D185" s="290">
        <f ca="1">IFERROR(__xludf.DUMMYFUNCTION("""COMPUTED_VALUE"""),93105)</f>
        <v>93105</v>
      </c>
      <c r="E185" s="140">
        <f ca="1">IFERROR(__xludf.DUMMYFUNCTION("""COMPUTED_VALUE"""),0)</f>
        <v>0</v>
      </c>
      <c r="F185" s="140">
        <f ca="1">IFERROR(__xludf.DUMMYFUNCTION("""COMPUTED_VALUE"""),0)</f>
        <v>0</v>
      </c>
      <c r="G185" s="140">
        <f ca="1">IFERROR(__xludf.DUMMYFUNCTION("""COMPUTED_VALUE"""),0)</f>
        <v>0</v>
      </c>
      <c r="H185" s="140">
        <f ca="1">IFERROR(__xludf.DUMMYFUNCTION("""COMPUTED_VALUE"""),0)</f>
        <v>0</v>
      </c>
      <c r="I185" s="140">
        <f ca="1">IFERROR(__xludf.DUMMYFUNCTION("""COMPUTED_VALUE"""),0)</f>
        <v>0</v>
      </c>
      <c r="J185" s="140">
        <f ca="1">IFERROR(__xludf.DUMMYFUNCTION("""COMPUTED_VALUE"""),0)</f>
        <v>0</v>
      </c>
      <c r="K185" s="140">
        <f ca="1">IFERROR(__xludf.DUMMYFUNCTION("""COMPUTED_VALUE"""),0)</f>
        <v>0</v>
      </c>
      <c r="L185" s="140">
        <f ca="1">IFERROR(__xludf.DUMMYFUNCTION("""COMPUTED_VALUE"""),0)</f>
        <v>0</v>
      </c>
      <c r="M185" s="140">
        <f ca="1">IFERROR(__xludf.DUMMYFUNCTION("""COMPUTED_VALUE"""),0)</f>
        <v>0</v>
      </c>
      <c r="N185" s="140">
        <f ca="1">IFERROR(__xludf.DUMMYFUNCTION("""COMPUTED_VALUE"""),0)</f>
        <v>0</v>
      </c>
      <c r="O185" s="140">
        <f ca="1">IFERROR(__xludf.DUMMYFUNCTION("""COMPUTED_VALUE"""),0)</f>
        <v>0</v>
      </c>
      <c r="P185" s="140">
        <f ca="1">IFERROR(__xludf.DUMMYFUNCTION("""COMPUTED_VALUE"""),0)</f>
        <v>0</v>
      </c>
      <c r="Q185" s="288">
        <f ca="1">IFERROR(__xludf.DUMMYFUNCTION("""COMPUTED_VALUE"""),0)</f>
        <v>0</v>
      </c>
      <c r="R185" s="286"/>
      <c r="S185" s="291" t="e">
        <f ca="1">_xludf.ifs(A185="INDIA",E185/'Shared Summary by Dept_US$'!$B$31,A185="INDO",E185/'Shared Summary by Dept_US$'!$B$32,A185="BD",E185/'Shared Summary by Dept_US$'!$B$33,A185="Nepal",E185/'Shared Summary by Dept_US$'!$B$34,A185="US",E185/'Shared Summary by Dept_US$'!$B$35)</f>
        <v>#NAME?</v>
      </c>
      <c r="T185" s="292" t="s">
        <v>167</v>
      </c>
      <c r="U185" s="15"/>
      <c r="V185" s="15"/>
      <c r="W185" s="107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spans="1:34" ht="15.75" customHeight="1" x14ac:dyDescent="0.25">
      <c r="A186" s="139" t="s">
        <v>24</v>
      </c>
      <c r="B186" s="64" t="str">
        <f ca="1">IFERROR(__xludf.DUMMYFUNCTION("""COMPUTED_VALUE"""),"Travel &amp; Lodging Expenses")</f>
        <v>Travel &amp; Lodging Expenses</v>
      </c>
      <c r="C186" s="64" t="str">
        <f ca="1">IFERROR(__xludf.DUMMYFUNCTION("""COMPUTED_VALUE"""),"Other incidental travel costs")</f>
        <v>Other incidental travel costs</v>
      </c>
      <c r="D186" s="290">
        <f ca="1">IFERROR(__xludf.DUMMYFUNCTION("""COMPUTED_VALUE"""),93106)</f>
        <v>93106</v>
      </c>
      <c r="E186" s="140">
        <f ca="1">IFERROR(__xludf.DUMMYFUNCTION("""COMPUTED_VALUE"""),26797000)</f>
        <v>26797000</v>
      </c>
      <c r="F186" s="140">
        <f ca="1">IFERROR(__xludf.DUMMYFUNCTION("""COMPUTED_VALUE"""),0)</f>
        <v>0</v>
      </c>
      <c r="G186" s="140">
        <f ca="1">IFERROR(__xludf.DUMMYFUNCTION("""COMPUTED_VALUE"""),0)</f>
        <v>0</v>
      </c>
      <c r="H186" s="140">
        <f ca="1">IFERROR(__xludf.DUMMYFUNCTION("""COMPUTED_VALUE"""),22300000)</f>
        <v>22300000</v>
      </c>
      <c r="I186" s="140">
        <f ca="1">IFERROR(__xludf.DUMMYFUNCTION("""COMPUTED_VALUE"""),0)</f>
        <v>0</v>
      </c>
      <c r="J186" s="140">
        <f ca="1">IFERROR(__xludf.DUMMYFUNCTION("""COMPUTED_VALUE"""),0)</f>
        <v>0</v>
      </c>
      <c r="K186" s="140">
        <f ca="1">IFERROR(__xludf.DUMMYFUNCTION("""COMPUTED_VALUE"""),0)</f>
        <v>0</v>
      </c>
      <c r="L186" s="140">
        <f ca="1">IFERROR(__xludf.DUMMYFUNCTION("""COMPUTED_VALUE"""),0)</f>
        <v>0</v>
      </c>
      <c r="M186" s="140">
        <f ca="1">IFERROR(__xludf.DUMMYFUNCTION("""COMPUTED_VALUE"""),0)</f>
        <v>0</v>
      </c>
      <c r="N186" s="140">
        <f ca="1">IFERROR(__xludf.DUMMYFUNCTION("""COMPUTED_VALUE"""),4497000)</f>
        <v>4497000</v>
      </c>
      <c r="O186" s="140">
        <f ca="1">IFERROR(__xludf.DUMMYFUNCTION("""COMPUTED_VALUE"""),0)</f>
        <v>0</v>
      </c>
      <c r="P186" s="140">
        <f ca="1">IFERROR(__xludf.DUMMYFUNCTION("""COMPUTED_VALUE"""),0)</f>
        <v>0</v>
      </c>
      <c r="Q186" s="288">
        <f ca="1">IFERROR(__xludf.DUMMYFUNCTION("""COMPUTED_VALUE"""),0)</f>
        <v>0</v>
      </c>
      <c r="R186" s="286"/>
      <c r="S186" s="291" t="e">
        <f ca="1">_xludf.ifs(A186="INDIA",E186/'Shared Summary by Dept_US$'!$B$31,A186="INDO",E186/'Shared Summary by Dept_US$'!$B$32,A186="BD",E186/'Shared Summary by Dept_US$'!$B$33,A186="Nepal",E186/'Shared Summary by Dept_US$'!$B$34,A186="US",E186/'Shared Summary by Dept_US$'!$B$35)</f>
        <v>#NAME?</v>
      </c>
      <c r="T186" s="292" t="s">
        <v>167</v>
      </c>
      <c r="U186" s="15"/>
      <c r="V186" s="15"/>
      <c r="W186" s="107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spans="1:34" ht="15.75" customHeight="1" x14ac:dyDescent="0.25">
      <c r="A187" s="139" t="s">
        <v>24</v>
      </c>
      <c r="B187" s="64" t="str">
        <f ca="1">IFERROR(__xludf.DUMMYFUNCTION("""COMPUTED_VALUE"""),"Supplies &amp; Printing Costs")</f>
        <v>Supplies &amp; Printing Costs</v>
      </c>
      <c r="C187" s="64" t="str">
        <f ca="1">IFERROR(__xludf.DUMMYFUNCTION("""COMPUTED_VALUE"""),"Other Direct Expenses")</f>
        <v>Other Direct Expenses</v>
      </c>
      <c r="D187" s="290">
        <f ca="1">IFERROR(__xludf.DUMMYFUNCTION("""COMPUTED_VALUE"""),93201)</f>
        <v>93201</v>
      </c>
      <c r="E187" s="140">
        <f ca="1">IFERROR(__xludf.DUMMYFUNCTION("""COMPUTED_VALUE"""),0)</f>
        <v>0</v>
      </c>
      <c r="F187" s="140">
        <f ca="1">IFERROR(__xludf.DUMMYFUNCTION("""COMPUTED_VALUE"""),0)</f>
        <v>0</v>
      </c>
      <c r="G187" s="140">
        <f ca="1">IFERROR(__xludf.DUMMYFUNCTION("""COMPUTED_VALUE"""),0)</f>
        <v>0</v>
      </c>
      <c r="H187" s="140">
        <f ca="1">IFERROR(__xludf.DUMMYFUNCTION("""COMPUTED_VALUE"""),0)</f>
        <v>0</v>
      </c>
      <c r="I187" s="140">
        <f ca="1">IFERROR(__xludf.DUMMYFUNCTION("""COMPUTED_VALUE"""),0)</f>
        <v>0</v>
      </c>
      <c r="J187" s="140">
        <f ca="1">IFERROR(__xludf.DUMMYFUNCTION("""COMPUTED_VALUE"""),0)</f>
        <v>0</v>
      </c>
      <c r="K187" s="140">
        <f ca="1">IFERROR(__xludf.DUMMYFUNCTION("""COMPUTED_VALUE"""),0)</f>
        <v>0</v>
      </c>
      <c r="L187" s="140">
        <f ca="1">IFERROR(__xludf.DUMMYFUNCTION("""COMPUTED_VALUE"""),0)</f>
        <v>0</v>
      </c>
      <c r="M187" s="140">
        <f ca="1">IFERROR(__xludf.DUMMYFUNCTION("""COMPUTED_VALUE"""),0)</f>
        <v>0</v>
      </c>
      <c r="N187" s="140">
        <f ca="1">IFERROR(__xludf.DUMMYFUNCTION("""COMPUTED_VALUE"""),0)</f>
        <v>0</v>
      </c>
      <c r="O187" s="140">
        <f ca="1">IFERROR(__xludf.DUMMYFUNCTION("""COMPUTED_VALUE"""),0)</f>
        <v>0</v>
      </c>
      <c r="P187" s="140">
        <f ca="1">IFERROR(__xludf.DUMMYFUNCTION("""COMPUTED_VALUE"""),0)</f>
        <v>0</v>
      </c>
      <c r="Q187" s="288">
        <f ca="1">IFERROR(__xludf.DUMMYFUNCTION("""COMPUTED_VALUE"""),0)</f>
        <v>0</v>
      </c>
      <c r="R187" s="286"/>
      <c r="S187" s="291" t="e">
        <f ca="1">_xludf.ifs(A187="INDIA",E187/'Shared Summary by Dept_US$'!$B$31,A187="INDO",E187/'Shared Summary by Dept_US$'!$B$32,A187="BD",E187/'Shared Summary by Dept_US$'!$B$33,A187="Nepal",E187/'Shared Summary by Dept_US$'!$B$34,A187="US",E187/'Shared Summary by Dept_US$'!$B$35)</f>
        <v>#NAME?</v>
      </c>
      <c r="T187" s="292" t="s">
        <v>167</v>
      </c>
      <c r="U187" s="15"/>
      <c r="V187" s="15"/>
      <c r="W187" s="107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spans="1:34" ht="15.75" customHeight="1" x14ac:dyDescent="0.25">
      <c r="A188" s="139" t="s">
        <v>24</v>
      </c>
      <c r="B188" s="64" t="str">
        <f ca="1">IFERROR(__xludf.DUMMYFUNCTION("""COMPUTED_VALUE"""),"Supplies &amp; Printing Costs")</f>
        <v>Supplies &amp; Printing Costs</v>
      </c>
      <c r="C188" s="64" t="str">
        <f ca="1">IFERROR(__xludf.DUMMYFUNCTION("""COMPUTED_VALUE"""),"Printing expenses")</f>
        <v>Printing expenses</v>
      </c>
      <c r="D188" s="290">
        <f ca="1">IFERROR(__xludf.DUMMYFUNCTION("""COMPUTED_VALUE"""),93204)</f>
        <v>93204</v>
      </c>
      <c r="E188" s="140">
        <f ca="1">IFERROR(__xludf.DUMMYFUNCTION("""COMPUTED_VALUE"""),50000000)</f>
        <v>50000000</v>
      </c>
      <c r="F188" s="140">
        <f ca="1">IFERROR(__xludf.DUMMYFUNCTION("""COMPUTED_VALUE"""),0)</f>
        <v>0</v>
      </c>
      <c r="G188" s="140">
        <f ca="1">IFERROR(__xludf.DUMMYFUNCTION("""COMPUTED_VALUE"""),0)</f>
        <v>0</v>
      </c>
      <c r="H188" s="140">
        <f ca="1">IFERROR(__xludf.DUMMYFUNCTION("""COMPUTED_VALUE"""),0)</f>
        <v>0</v>
      </c>
      <c r="I188" s="140">
        <f ca="1">IFERROR(__xludf.DUMMYFUNCTION("""COMPUTED_VALUE"""),50000000)</f>
        <v>50000000</v>
      </c>
      <c r="J188" s="140">
        <f ca="1">IFERROR(__xludf.DUMMYFUNCTION("""COMPUTED_VALUE"""),0)</f>
        <v>0</v>
      </c>
      <c r="K188" s="140">
        <f ca="1">IFERROR(__xludf.DUMMYFUNCTION("""COMPUTED_VALUE"""),0)</f>
        <v>0</v>
      </c>
      <c r="L188" s="140">
        <f ca="1">IFERROR(__xludf.DUMMYFUNCTION("""COMPUTED_VALUE"""),0)</f>
        <v>0</v>
      </c>
      <c r="M188" s="140">
        <f ca="1">IFERROR(__xludf.DUMMYFUNCTION("""COMPUTED_VALUE"""),0)</f>
        <v>0</v>
      </c>
      <c r="N188" s="140">
        <f ca="1">IFERROR(__xludf.DUMMYFUNCTION("""COMPUTED_VALUE"""),0)</f>
        <v>0</v>
      </c>
      <c r="O188" s="140">
        <f ca="1">IFERROR(__xludf.DUMMYFUNCTION("""COMPUTED_VALUE"""),0)</f>
        <v>0</v>
      </c>
      <c r="P188" s="140">
        <f ca="1">IFERROR(__xludf.DUMMYFUNCTION("""COMPUTED_VALUE"""),0)</f>
        <v>0</v>
      </c>
      <c r="Q188" s="288">
        <f ca="1">IFERROR(__xludf.DUMMYFUNCTION("""COMPUTED_VALUE"""),0)</f>
        <v>0</v>
      </c>
      <c r="R188" s="286"/>
      <c r="S188" s="291" t="e">
        <f ca="1">_xludf.ifs(A188="INDIA",E188/'Shared Summary by Dept_US$'!$B$31,A188="INDO",E188/'Shared Summary by Dept_US$'!$B$32,A188="BD",E188/'Shared Summary by Dept_US$'!$B$33,A188="Nepal",E188/'Shared Summary by Dept_US$'!$B$34,A188="US",E188/'Shared Summary by Dept_US$'!$B$35)</f>
        <v>#NAME?</v>
      </c>
      <c r="T188" s="292" t="s">
        <v>167</v>
      </c>
      <c r="U188" s="15"/>
      <c r="V188" s="15"/>
      <c r="W188" s="107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ht="15.75" customHeight="1" x14ac:dyDescent="0.25">
      <c r="A189" s="139" t="s">
        <v>24</v>
      </c>
      <c r="B189" s="64" t="str">
        <f ca="1">IFERROR(__xludf.DUMMYFUNCTION("""COMPUTED_VALUE"""),"Communication Cost")</f>
        <v>Communication Cost</v>
      </c>
      <c r="C189" s="64" t="str">
        <f ca="1">IFERROR(__xludf.DUMMYFUNCTION("""COMPUTED_VALUE"""),"Internet Expenses")</f>
        <v>Internet Expenses</v>
      </c>
      <c r="D189" s="290">
        <f ca="1">IFERROR(__xludf.DUMMYFUNCTION("""COMPUTED_VALUE"""),93301)</f>
        <v>93301</v>
      </c>
      <c r="E189" s="140">
        <f ca="1">IFERROR(__xludf.DUMMYFUNCTION("""COMPUTED_VALUE"""),0)</f>
        <v>0</v>
      </c>
      <c r="F189" s="140">
        <f ca="1">IFERROR(__xludf.DUMMYFUNCTION("""COMPUTED_VALUE"""),0)</f>
        <v>0</v>
      </c>
      <c r="G189" s="140">
        <f ca="1">IFERROR(__xludf.DUMMYFUNCTION("""COMPUTED_VALUE"""),0)</f>
        <v>0</v>
      </c>
      <c r="H189" s="140">
        <f ca="1">IFERROR(__xludf.DUMMYFUNCTION("""COMPUTED_VALUE"""),0)</f>
        <v>0</v>
      </c>
      <c r="I189" s="140">
        <f ca="1">IFERROR(__xludf.DUMMYFUNCTION("""COMPUTED_VALUE"""),0)</f>
        <v>0</v>
      </c>
      <c r="J189" s="140">
        <f ca="1">IFERROR(__xludf.DUMMYFUNCTION("""COMPUTED_VALUE"""),0)</f>
        <v>0</v>
      </c>
      <c r="K189" s="140">
        <f ca="1">IFERROR(__xludf.DUMMYFUNCTION("""COMPUTED_VALUE"""),0)</f>
        <v>0</v>
      </c>
      <c r="L189" s="140">
        <f ca="1">IFERROR(__xludf.DUMMYFUNCTION("""COMPUTED_VALUE"""),0)</f>
        <v>0</v>
      </c>
      <c r="M189" s="140">
        <f ca="1">IFERROR(__xludf.DUMMYFUNCTION("""COMPUTED_VALUE"""),0)</f>
        <v>0</v>
      </c>
      <c r="N189" s="140">
        <f ca="1">IFERROR(__xludf.DUMMYFUNCTION("""COMPUTED_VALUE"""),0)</f>
        <v>0</v>
      </c>
      <c r="O189" s="140">
        <f ca="1">IFERROR(__xludf.DUMMYFUNCTION("""COMPUTED_VALUE"""),0)</f>
        <v>0</v>
      </c>
      <c r="P189" s="140">
        <f ca="1">IFERROR(__xludf.DUMMYFUNCTION("""COMPUTED_VALUE"""),0)</f>
        <v>0</v>
      </c>
      <c r="Q189" s="288">
        <f ca="1">IFERROR(__xludf.DUMMYFUNCTION("""COMPUTED_VALUE"""),0)</f>
        <v>0</v>
      </c>
      <c r="R189" s="286"/>
      <c r="S189" s="291" t="e">
        <f ca="1">_xludf.ifs(A189="INDIA",E189/'Shared Summary by Dept_US$'!$B$31,A189="INDO",E189/'Shared Summary by Dept_US$'!$B$32,A189="BD",E189/'Shared Summary by Dept_US$'!$B$33,A189="Nepal",E189/'Shared Summary by Dept_US$'!$B$34,A189="US",E189/'Shared Summary by Dept_US$'!$B$35)</f>
        <v>#NAME?</v>
      </c>
      <c r="T189" s="292" t="s">
        <v>167</v>
      </c>
      <c r="U189" s="15"/>
      <c r="V189" s="15"/>
      <c r="W189" s="107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spans="1:34" ht="15.75" customHeight="1" x14ac:dyDescent="0.25">
      <c r="A190" s="139" t="s">
        <v>24</v>
      </c>
      <c r="B190" s="64" t="str">
        <f ca="1">IFERROR(__xludf.DUMMYFUNCTION("""COMPUTED_VALUE"""),"Communication Cost")</f>
        <v>Communication Cost</v>
      </c>
      <c r="C190" s="64" t="str">
        <f ca="1">IFERROR(__xludf.DUMMYFUNCTION("""COMPUTED_VALUE"""),"Postage &amp; Courier Expenses")</f>
        <v>Postage &amp; Courier Expenses</v>
      </c>
      <c r="D190" s="290">
        <f ca="1">IFERROR(__xludf.DUMMYFUNCTION("""COMPUTED_VALUE"""),93302)</f>
        <v>93302</v>
      </c>
      <c r="E190" s="140">
        <f ca="1">IFERROR(__xludf.DUMMYFUNCTION("""COMPUTED_VALUE"""),0)</f>
        <v>0</v>
      </c>
      <c r="F190" s="140">
        <f ca="1">IFERROR(__xludf.DUMMYFUNCTION("""COMPUTED_VALUE"""),0)</f>
        <v>0</v>
      </c>
      <c r="G190" s="140">
        <f ca="1">IFERROR(__xludf.DUMMYFUNCTION("""COMPUTED_VALUE"""),0)</f>
        <v>0</v>
      </c>
      <c r="H190" s="140">
        <f ca="1">IFERROR(__xludf.DUMMYFUNCTION("""COMPUTED_VALUE"""),0)</f>
        <v>0</v>
      </c>
      <c r="I190" s="140">
        <f ca="1">IFERROR(__xludf.DUMMYFUNCTION("""COMPUTED_VALUE"""),0)</f>
        <v>0</v>
      </c>
      <c r="J190" s="140">
        <f ca="1">IFERROR(__xludf.DUMMYFUNCTION("""COMPUTED_VALUE"""),0)</f>
        <v>0</v>
      </c>
      <c r="K190" s="140">
        <f ca="1">IFERROR(__xludf.DUMMYFUNCTION("""COMPUTED_VALUE"""),0)</f>
        <v>0</v>
      </c>
      <c r="L190" s="140">
        <f ca="1">IFERROR(__xludf.DUMMYFUNCTION("""COMPUTED_VALUE"""),0)</f>
        <v>0</v>
      </c>
      <c r="M190" s="140">
        <f ca="1">IFERROR(__xludf.DUMMYFUNCTION("""COMPUTED_VALUE"""),0)</f>
        <v>0</v>
      </c>
      <c r="N190" s="140">
        <f ca="1">IFERROR(__xludf.DUMMYFUNCTION("""COMPUTED_VALUE"""),0)</f>
        <v>0</v>
      </c>
      <c r="O190" s="140">
        <f ca="1">IFERROR(__xludf.DUMMYFUNCTION("""COMPUTED_VALUE"""),0)</f>
        <v>0</v>
      </c>
      <c r="P190" s="140">
        <f ca="1">IFERROR(__xludf.DUMMYFUNCTION("""COMPUTED_VALUE"""),0)</f>
        <v>0</v>
      </c>
      <c r="Q190" s="288">
        <f ca="1">IFERROR(__xludf.DUMMYFUNCTION("""COMPUTED_VALUE"""),0)</f>
        <v>0</v>
      </c>
      <c r="R190" s="286"/>
      <c r="S190" s="291" t="e">
        <f ca="1">_xludf.ifs(A190="INDIA",E190/'Shared Summary by Dept_US$'!$B$31,A190="INDO",E190/'Shared Summary by Dept_US$'!$B$32,A190="BD",E190/'Shared Summary by Dept_US$'!$B$33,A190="Nepal",E190/'Shared Summary by Dept_US$'!$B$34,A190="US",E190/'Shared Summary by Dept_US$'!$B$35)</f>
        <v>#NAME?</v>
      </c>
      <c r="T190" s="292" t="s">
        <v>167</v>
      </c>
      <c r="U190" s="15"/>
      <c r="V190" s="15"/>
      <c r="W190" s="107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spans="1:34" ht="15.75" customHeight="1" x14ac:dyDescent="0.25">
      <c r="A191" s="139" t="s">
        <v>24</v>
      </c>
      <c r="B191" s="64" t="str">
        <f ca="1">IFERROR(__xludf.DUMMYFUNCTION("""COMPUTED_VALUE"""),"Communication Cost")</f>
        <v>Communication Cost</v>
      </c>
      <c r="C191" s="64" t="str">
        <f ca="1">IFERROR(__xludf.DUMMYFUNCTION("""COMPUTED_VALUE"""),"Telecommunication expenses")</f>
        <v>Telecommunication expenses</v>
      </c>
      <c r="D191" s="290">
        <f ca="1">IFERROR(__xludf.DUMMYFUNCTION("""COMPUTED_VALUE"""),93303)</f>
        <v>93303</v>
      </c>
      <c r="E191" s="140">
        <f ca="1">IFERROR(__xludf.DUMMYFUNCTION("""COMPUTED_VALUE"""),0)</f>
        <v>0</v>
      </c>
      <c r="F191" s="140">
        <f ca="1">IFERROR(__xludf.DUMMYFUNCTION("""COMPUTED_VALUE"""),0)</f>
        <v>0</v>
      </c>
      <c r="G191" s="140">
        <f ca="1">IFERROR(__xludf.DUMMYFUNCTION("""COMPUTED_VALUE"""),0)</f>
        <v>0</v>
      </c>
      <c r="H191" s="140">
        <f ca="1">IFERROR(__xludf.DUMMYFUNCTION("""COMPUTED_VALUE"""),0)</f>
        <v>0</v>
      </c>
      <c r="I191" s="140">
        <f ca="1">IFERROR(__xludf.DUMMYFUNCTION("""COMPUTED_VALUE"""),0)</f>
        <v>0</v>
      </c>
      <c r="J191" s="140">
        <f ca="1">IFERROR(__xludf.DUMMYFUNCTION("""COMPUTED_VALUE"""),0)</f>
        <v>0</v>
      </c>
      <c r="K191" s="140">
        <f ca="1">IFERROR(__xludf.DUMMYFUNCTION("""COMPUTED_VALUE"""),0)</f>
        <v>0</v>
      </c>
      <c r="L191" s="140">
        <f ca="1">IFERROR(__xludf.DUMMYFUNCTION("""COMPUTED_VALUE"""),0)</f>
        <v>0</v>
      </c>
      <c r="M191" s="140">
        <f ca="1">IFERROR(__xludf.DUMMYFUNCTION("""COMPUTED_VALUE"""),0)</f>
        <v>0</v>
      </c>
      <c r="N191" s="140">
        <f ca="1">IFERROR(__xludf.DUMMYFUNCTION("""COMPUTED_VALUE"""),0)</f>
        <v>0</v>
      </c>
      <c r="O191" s="140">
        <f ca="1">IFERROR(__xludf.DUMMYFUNCTION("""COMPUTED_VALUE"""),0)</f>
        <v>0</v>
      </c>
      <c r="P191" s="140">
        <f ca="1">IFERROR(__xludf.DUMMYFUNCTION("""COMPUTED_VALUE"""),0)</f>
        <v>0</v>
      </c>
      <c r="Q191" s="288">
        <f ca="1">IFERROR(__xludf.DUMMYFUNCTION("""COMPUTED_VALUE"""),0)</f>
        <v>0</v>
      </c>
      <c r="R191" s="286"/>
      <c r="S191" s="291" t="e">
        <f ca="1">_xludf.ifs(A191="INDIA",E191/'Shared Summary by Dept_US$'!$B$31,A191="INDO",E191/'Shared Summary by Dept_US$'!$B$32,A191="BD",E191/'Shared Summary by Dept_US$'!$B$33,A191="Nepal",E191/'Shared Summary by Dept_US$'!$B$34,A191="US",E191/'Shared Summary by Dept_US$'!$B$35)</f>
        <v>#NAME?</v>
      </c>
      <c r="T191" s="292" t="s">
        <v>167</v>
      </c>
      <c r="U191" s="15"/>
      <c r="V191" s="15"/>
      <c r="W191" s="107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ht="15.75" customHeight="1" x14ac:dyDescent="0.25">
      <c r="A192" s="139" t="s">
        <v>24</v>
      </c>
      <c r="B192" s="64" t="str">
        <f ca="1">IFERROR(__xludf.DUMMYFUNCTION("""COMPUTED_VALUE"""),"Office Expenses")</f>
        <v>Office Expenses</v>
      </c>
      <c r="C192" s="64" t="str">
        <f ca="1">IFERROR(__xludf.DUMMYFUNCTION("""COMPUTED_VALUE"""),"Software and Subscriptions")</f>
        <v>Software and Subscriptions</v>
      </c>
      <c r="D192" s="290">
        <f ca="1">IFERROR(__xludf.DUMMYFUNCTION("""COMPUTED_VALUE"""),93401)</f>
        <v>93401</v>
      </c>
      <c r="E192" s="140">
        <f ca="1">IFERROR(__xludf.DUMMYFUNCTION("""COMPUTED_VALUE"""),15000000)</f>
        <v>15000000</v>
      </c>
      <c r="F192" s="140">
        <f ca="1">IFERROR(__xludf.DUMMYFUNCTION("""COMPUTED_VALUE"""),600000)</f>
        <v>600000</v>
      </c>
      <c r="G192" s="140">
        <f ca="1">IFERROR(__xludf.DUMMYFUNCTION("""COMPUTED_VALUE"""),600000)</f>
        <v>600000</v>
      </c>
      <c r="H192" s="140">
        <f ca="1">IFERROR(__xludf.DUMMYFUNCTION("""COMPUTED_VALUE"""),900000)</f>
        <v>900000</v>
      </c>
      <c r="I192" s="140">
        <f ca="1">IFERROR(__xludf.DUMMYFUNCTION("""COMPUTED_VALUE"""),900000)</f>
        <v>900000</v>
      </c>
      <c r="J192" s="140">
        <f ca="1">IFERROR(__xludf.DUMMYFUNCTION("""COMPUTED_VALUE"""),1500000)</f>
        <v>1500000</v>
      </c>
      <c r="K192" s="140">
        <f ca="1">IFERROR(__xludf.DUMMYFUNCTION("""COMPUTED_VALUE"""),1500000)</f>
        <v>1500000</v>
      </c>
      <c r="L192" s="140">
        <f ca="1">IFERROR(__xludf.DUMMYFUNCTION("""COMPUTED_VALUE"""),1500000)</f>
        <v>1500000</v>
      </c>
      <c r="M192" s="140">
        <f ca="1">IFERROR(__xludf.DUMMYFUNCTION("""COMPUTED_VALUE"""),1500000)</f>
        <v>1500000</v>
      </c>
      <c r="N192" s="140">
        <f ca="1">IFERROR(__xludf.DUMMYFUNCTION("""COMPUTED_VALUE"""),1500000)</f>
        <v>1500000</v>
      </c>
      <c r="O192" s="140">
        <f ca="1">IFERROR(__xludf.DUMMYFUNCTION("""COMPUTED_VALUE"""),1500000)</f>
        <v>1500000</v>
      </c>
      <c r="P192" s="140">
        <f ca="1">IFERROR(__xludf.DUMMYFUNCTION("""COMPUTED_VALUE"""),1500000)</f>
        <v>1500000</v>
      </c>
      <c r="Q192" s="288">
        <f ca="1">IFERROR(__xludf.DUMMYFUNCTION("""COMPUTED_VALUE"""),1500000)</f>
        <v>1500000</v>
      </c>
      <c r="R192" s="286"/>
      <c r="S192" s="291" t="e">
        <f ca="1">_xludf.ifs(A192="INDIA",E192/'Shared Summary by Dept_US$'!$B$31,A192="INDO",E192/'Shared Summary by Dept_US$'!$B$32,A192="BD",E192/'Shared Summary by Dept_US$'!$B$33,A192="Nepal",E192/'Shared Summary by Dept_US$'!$B$34,A192="US",E192/'Shared Summary by Dept_US$'!$B$35)</f>
        <v>#NAME?</v>
      </c>
      <c r="T192" s="292" t="s">
        <v>167</v>
      </c>
      <c r="U192" s="15"/>
      <c r="V192" s="15"/>
      <c r="W192" s="107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spans="1:34" ht="15.75" customHeight="1" x14ac:dyDescent="0.25">
      <c r="A193" s="139" t="s">
        <v>24</v>
      </c>
      <c r="B193" s="64" t="str">
        <f ca="1">IFERROR(__xludf.DUMMYFUNCTION("""COMPUTED_VALUE"""),"Office Expenses")</f>
        <v>Office Expenses</v>
      </c>
      <c r="C193" s="64" t="str">
        <f ca="1">IFERROR(__xludf.DUMMYFUNCTION("""COMPUTED_VALUE"""),"Stationery &amp; Consumables")</f>
        <v>Stationery &amp; Consumables</v>
      </c>
      <c r="D193" s="290">
        <f ca="1">IFERROR(__xludf.DUMMYFUNCTION("""COMPUTED_VALUE"""),93404)</f>
        <v>93404</v>
      </c>
      <c r="E193" s="140">
        <f ca="1">IFERROR(__xludf.DUMMYFUNCTION("""COMPUTED_VALUE"""),0)</f>
        <v>0</v>
      </c>
      <c r="F193" s="140">
        <f ca="1">IFERROR(__xludf.DUMMYFUNCTION("""COMPUTED_VALUE"""),0)</f>
        <v>0</v>
      </c>
      <c r="G193" s="140">
        <f ca="1">IFERROR(__xludf.DUMMYFUNCTION("""COMPUTED_VALUE"""),0)</f>
        <v>0</v>
      </c>
      <c r="H193" s="140">
        <f ca="1">IFERROR(__xludf.DUMMYFUNCTION("""COMPUTED_VALUE"""),0)</f>
        <v>0</v>
      </c>
      <c r="I193" s="140">
        <f ca="1">IFERROR(__xludf.DUMMYFUNCTION("""COMPUTED_VALUE"""),0)</f>
        <v>0</v>
      </c>
      <c r="J193" s="140">
        <f ca="1">IFERROR(__xludf.DUMMYFUNCTION("""COMPUTED_VALUE"""),0)</f>
        <v>0</v>
      </c>
      <c r="K193" s="140">
        <f ca="1">IFERROR(__xludf.DUMMYFUNCTION("""COMPUTED_VALUE"""),0)</f>
        <v>0</v>
      </c>
      <c r="L193" s="140">
        <f ca="1">IFERROR(__xludf.DUMMYFUNCTION("""COMPUTED_VALUE"""),0)</f>
        <v>0</v>
      </c>
      <c r="M193" s="140">
        <f ca="1">IFERROR(__xludf.DUMMYFUNCTION("""COMPUTED_VALUE"""),0)</f>
        <v>0</v>
      </c>
      <c r="N193" s="140">
        <f ca="1">IFERROR(__xludf.DUMMYFUNCTION("""COMPUTED_VALUE"""),0)</f>
        <v>0</v>
      </c>
      <c r="O193" s="140">
        <f ca="1">IFERROR(__xludf.DUMMYFUNCTION("""COMPUTED_VALUE"""),0)</f>
        <v>0</v>
      </c>
      <c r="P193" s="140">
        <f ca="1">IFERROR(__xludf.DUMMYFUNCTION("""COMPUTED_VALUE"""),0)</f>
        <v>0</v>
      </c>
      <c r="Q193" s="288">
        <f ca="1">IFERROR(__xludf.DUMMYFUNCTION("""COMPUTED_VALUE"""),0)</f>
        <v>0</v>
      </c>
      <c r="R193" s="286"/>
      <c r="S193" s="291" t="e">
        <f ca="1">_xludf.ifs(A193="INDIA",E193/'Shared Summary by Dept_US$'!$B$31,A193="INDO",E193/'Shared Summary by Dept_US$'!$B$32,A193="BD",E193/'Shared Summary by Dept_US$'!$B$33,A193="Nepal",E193/'Shared Summary by Dept_US$'!$B$34,A193="US",E193/'Shared Summary by Dept_US$'!$B$35)</f>
        <v>#NAME?</v>
      </c>
      <c r="T193" s="292" t="s">
        <v>167</v>
      </c>
      <c r="U193" s="15"/>
      <c r="V193" s="15"/>
      <c r="W193" s="107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spans="1:34" ht="15.75" customHeight="1" x14ac:dyDescent="0.25">
      <c r="A194" s="139" t="s">
        <v>24</v>
      </c>
      <c r="B194" s="64" t="str">
        <f ca="1">IFERROR(__xludf.DUMMYFUNCTION("""COMPUTED_VALUE"""),"Office Expenses")</f>
        <v>Office Expenses</v>
      </c>
      <c r="C194" s="64" t="str">
        <f ca="1">IFERROR(__xludf.DUMMYFUNCTION("""COMPUTED_VALUE"""),"Office Equipment Expense")</f>
        <v>Office Equipment Expense</v>
      </c>
      <c r="D194" s="290">
        <f ca="1">IFERROR(__xludf.DUMMYFUNCTION("""COMPUTED_VALUE"""),93405)</f>
        <v>93405</v>
      </c>
      <c r="E194" s="140">
        <f ca="1">IFERROR(__xludf.DUMMYFUNCTION("""COMPUTED_VALUE"""),0)</f>
        <v>0</v>
      </c>
      <c r="F194" s="140">
        <f ca="1">IFERROR(__xludf.DUMMYFUNCTION("""COMPUTED_VALUE"""),0)</f>
        <v>0</v>
      </c>
      <c r="G194" s="140">
        <f ca="1">IFERROR(__xludf.DUMMYFUNCTION("""COMPUTED_VALUE"""),0)</f>
        <v>0</v>
      </c>
      <c r="H194" s="140">
        <f ca="1">IFERROR(__xludf.DUMMYFUNCTION("""COMPUTED_VALUE"""),0)</f>
        <v>0</v>
      </c>
      <c r="I194" s="140">
        <f ca="1">IFERROR(__xludf.DUMMYFUNCTION("""COMPUTED_VALUE"""),0)</f>
        <v>0</v>
      </c>
      <c r="J194" s="140">
        <f ca="1">IFERROR(__xludf.DUMMYFUNCTION("""COMPUTED_VALUE"""),0)</f>
        <v>0</v>
      </c>
      <c r="K194" s="140">
        <f ca="1">IFERROR(__xludf.DUMMYFUNCTION("""COMPUTED_VALUE"""),0)</f>
        <v>0</v>
      </c>
      <c r="L194" s="140">
        <f ca="1">IFERROR(__xludf.DUMMYFUNCTION("""COMPUTED_VALUE"""),0)</f>
        <v>0</v>
      </c>
      <c r="M194" s="140">
        <f ca="1">IFERROR(__xludf.DUMMYFUNCTION("""COMPUTED_VALUE"""),0)</f>
        <v>0</v>
      </c>
      <c r="N194" s="140">
        <f ca="1">IFERROR(__xludf.DUMMYFUNCTION("""COMPUTED_VALUE"""),0)</f>
        <v>0</v>
      </c>
      <c r="O194" s="140">
        <f ca="1">IFERROR(__xludf.DUMMYFUNCTION("""COMPUTED_VALUE"""),0)</f>
        <v>0</v>
      </c>
      <c r="P194" s="140">
        <f ca="1">IFERROR(__xludf.DUMMYFUNCTION("""COMPUTED_VALUE"""),0)</f>
        <v>0</v>
      </c>
      <c r="Q194" s="288">
        <f ca="1">IFERROR(__xludf.DUMMYFUNCTION("""COMPUTED_VALUE"""),0)</f>
        <v>0</v>
      </c>
      <c r="R194" s="286"/>
      <c r="S194" s="291" t="e">
        <f ca="1">_xludf.ifs(A194="INDIA",E194/'Shared Summary by Dept_US$'!$B$31,A194="INDO",E194/'Shared Summary by Dept_US$'!$B$32,A194="BD",E194/'Shared Summary by Dept_US$'!$B$33,A194="Nepal",E194/'Shared Summary by Dept_US$'!$B$34,A194="US",E194/'Shared Summary by Dept_US$'!$B$35)</f>
        <v>#NAME?</v>
      </c>
      <c r="T194" s="292" t="s">
        <v>167</v>
      </c>
      <c r="U194" s="15"/>
      <c r="V194" s="15"/>
      <c r="W194" s="107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spans="1:34" ht="15.75" customHeight="1" x14ac:dyDescent="0.25">
      <c r="A195" s="139" t="s">
        <v>24</v>
      </c>
      <c r="B195" s="64" t="str">
        <f ca="1">IFERROR(__xludf.DUMMYFUNCTION("""COMPUTED_VALUE"""),"Professional &amp; Consultancy Charges")</f>
        <v>Professional &amp; Consultancy Charges</v>
      </c>
      <c r="C195" s="64" t="str">
        <f ca="1">IFERROR(__xludf.DUMMYFUNCTION("""COMPUTED_VALUE"""),"Admin Consultants")</f>
        <v>Admin Consultants</v>
      </c>
      <c r="D195" s="290">
        <f ca="1">IFERROR(__xludf.DUMMYFUNCTION("""COMPUTED_VALUE"""),93703)</f>
        <v>93703</v>
      </c>
      <c r="E195" s="140">
        <f ca="1">IFERROR(__xludf.DUMMYFUNCTION("""COMPUTED_VALUE"""),0)</f>
        <v>0</v>
      </c>
      <c r="F195" s="140">
        <f ca="1">IFERROR(__xludf.DUMMYFUNCTION("""COMPUTED_VALUE"""),0)</f>
        <v>0</v>
      </c>
      <c r="G195" s="140">
        <f ca="1">IFERROR(__xludf.DUMMYFUNCTION("""COMPUTED_VALUE"""),0)</f>
        <v>0</v>
      </c>
      <c r="H195" s="140">
        <f ca="1">IFERROR(__xludf.DUMMYFUNCTION("""COMPUTED_VALUE"""),0)</f>
        <v>0</v>
      </c>
      <c r="I195" s="140">
        <f ca="1">IFERROR(__xludf.DUMMYFUNCTION("""COMPUTED_VALUE"""),0)</f>
        <v>0</v>
      </c>
      <c r="J195" s="140">
        <f ca="1">IFERROR(__xludf.DUMMYFUNCTION("""COMPUTED_VALUE"""),0)</f>
        <v>0</v>
      </c>
      <c r="K195" s="140">
        <f ca="1">IFERROR(__xludf.DUMMYFUNCTION("""COMPUTED_VALUE"""),0)</f>
        <v>0</v>
      </c>
      <c r="L195" s="140">
        <f ca="1">IFERROR(__xludf.DUMMYFUNCTION("""COMPUTED_VALUE"""),0)</f>
        <v>0</v>
      </c>
      <c r="M195" s="140">
        <f ca="1">IFERROR(__xludf.DUMMYFUNCTION("""COMPUTED_VALUE"""),0)</f>
        <v>0</v>
      </c>
      <c r="N195" s="140">
        <f ca="1">IFERROR(__xludf.DUMMYFUNCTION("""COMPUTED_VALUE"""),0)</f>
        <v>0</v>
      </c>
      <c r="O195" s="140">
        <f ca="1">IFERROR(__xludf.DUMMYFUNCTION("""COMPUTED_VALUE"""),0)</f>
        <v>0</v>
      </c>
      <c r="P195" s="140">
        <f ca="1">IFERROR(__xludf.DUMMYFUNCTION("""COMPUTED_VALUE"""),0)</f>
        <v>0</v>
      </c>
      <c r="Q195" s="288">
        <f ca="1">IFERROR(__xludf.DUMMYFUNCTION("""COMPUTED_VALUE"""),0)</f>
        <v>0</v>
      </c>
      <c r="R195" s="286"/>
      <c r="S195" s="291" t="e">
        <f ca="1">_xludf.ifs(A195="INDIA",E195/'Shared Summary by Dept_US$'!$B$31,A195="INDO",E195/'Shared Summary by Dept_US$'!$B$32,A195="BD",E195/'Shared Summary by Dept_US$'!$B$33,A195="Nepal",E195/'Shared Summary by Dept_US$'!$B$34,A195="US",E195/'Shared Summary by Dept_US$'!$B$35)</f>
        <v>#NAME?</v>
      </c>
      <c r="T195" s="292" t="s">
        <v>167</v>
      </c>
      <c r="U195" s="15"/>
      <c r="V195" s="15"/>
      <c r="W195" s="107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spans="1:34" ht="15.75" customHeight="1" x14ac:dyDescent="0.25">
      <c r="A196" s="139" t="s">
        <v>24</v>
      </c>
      <c r="B196" s="64" t="str">
        <f ca="1">IFERROR(__xludf.DUMMYFUNCTION("""COMPUTED_VALUE"""),"Fixed Assets")</f>
        <v>Fixed Assets</v>
      </c>
      <c r="C196" s="64" t="str">
        <f ca="1">IFERROR(__xludf.DUMMYFUNCTION("""COMPUTED_VALUE"""),"Laptop/ Printer")</f>
        <v>Laptop/ Printer</v>
      </c>
      <c r="D196" s="290">
        <f ca="1">IFERROR(__xludf.DUMMYFUNCTION("""COMPUTED_VALUE"""),11301)</f>
        <v>11301</v>
      </c>
      <c r="E196" s="140">
        <f ca="1">IFERROR(__xludf.DUMMYFUNCTION("""COMPUTED_VALUE"""),25000000)</f>
        <v>25000000</v>
      </c>
      <c r="F196" s="140">
        <f ca="1">IFERROR(__xludf.DUMMYFUNCTION("""COMPUTED_VALUE"""),0)</f>
        <v>0</v>
      </c>
      <c r="G196" s="140">
        <f ca="1">IFERROR(__xludf.DUMMYFUNCTION("""COMPUTED_VALUE"""),0)</f>
        <v>0</v>
      </c>
      <c r="H196" s="140">
        <f ca="1">IFERROR(__xludf.DUMMYFUNCTION("""COMPUTED_VALUE"""),0)</f>
        <v>0</v>
      </c>
      <c r="I196" s="140">
        <f ca="1">IFERROR(__xludf.DUMMYFUNCTION("""COMPUTED_VALUE"""),25000000)</f>
        <v>25000000</v>
      </c>
      <c r="J196" s="140">
        <f ca="1">IFERROR(__xludf.DUMMYFUNCTION("""COMPUTED_VALUE"""),0)</f>
        <v>0</v>
      </c>
      <c r="K196" s="140">
        <f ca="1">IFERROR(__xludf.DUMMYFUNCTION("""COMPUTED_VALUE"""),0)</f>
        <v>0</v>
      </c>
      <c r="L196" s="140">
        <f ca="1">IFERROR(__xludf.DUMMYFUNCTION("""COMPUTED_VALUE"""),0)</f>
        <v>0</v>
      </c>
      <c r="M196" s="140">
        <f ca="1">IFERROR(__xludf.DUMMYFUNCTION("""COMPUTED_VALUE"""),0)</f>
        <v>0</v>
      </c>
      <c r="N196" s="140">
        <f ca="1">IFERROR(__xludf.DUMMYFUNCTION("""COMPUTED_VALUE"""),0)</f>
        <v>0</v>
      </c>
      <c r="O196" s="140">
        <f ca="1">IFERROR(__xludf.DUMMYFUNCTION("""COMPUTED_VALUE"""),0)</f>
        <v>0</v>
      </c>
      <c r="P196" s="140">
        <f ca="1">IFERROR(__xludf.DUMMYFUNCTION("""COMPUTED_VALUE"""),0)</f>
        <v>0</v>
      </c>
      <c r="Q196" s="288">
        <f ca="1">IFERROR(__xludf.DUMMYFUNCTION("""COMPUTED_VALUE"""),0)</f>
        <v>0</v>
      </c>
      <c r="R196" s="286"/>
      <c r="S196" s="291" t="e">
        <f ca="1">_xludf.ifs(A196="INDIA",E196/'Shared Summary by Dept_US$'!$B$31,A196="INDO",E196/'Shared Summary by Dept_US$'!$B$32,A196="BD",E196/'Shared Summary by Dept_US$'!$B$33,A196="Nepal",E196/'Shared Summary by Dept_US$'!$B$34,A196="US",E196/'Shared Summary by Dept_US$'!$B$35)</f>
        <v>#NAME?</v>
      </c>
      <c r="T196" s="292" t="s">
        <v>167</v>
      </c>
      <c r="U196" s="15"/>
      <c r="V196" s="15"/>
      <c r="W196" s="107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spans="1:34" ht="15.75" customHeight="1" x14ac:dyDescent="0.25">
      <c r="A197" s="139" t="s">
        <v>30</v>
      </c>
      <c r="B197" s="64" t="str">
        <f ca="1">IFERROR(__xludf.DUMMYFUNCTION("""COMPUTED_VALUE"""),"Salaries and Wages")</f>
        <v>Salaries and Wages</v>
      </c>
      <c r="C197" s="64" t="str">
        <f ca="1">IFERROR(__xludf.DUMMYFUNCTION("""COMPUTED_VALUE"""),"Salaries and Wages")</f>
        <v>Salaries and Wages</v>
      </c>
      <c r="D197" s="290"/>
      <c r="E197" s="140">
        <f ca="1">IFERROR(__xludf.DUMMYFUNCTION("""COMPUTED_VALUE"""),9919904.2)</f>
        <v>9919904.1999999993</v>
      </c>
      <c r="F197" s="140">
        <f ca="1">IFERROR(__xludf.DUMMYFUNCTION("""COMPUTED_VALUE"""),531792.36)</f>
        <v>531792.36</v>
      </c>
      <c r="G197" s="140">
        <f ca="1">IFERROR(__xludf.DUMMYFUNCTION("""COMPUTED_VALUE"""),793188.539999999)</f>
        <v>793188.53999999899</v>
      </c>
      <c r="H197" s="140">
        <f ca="1">IFERROR(__xludf.DUMMYFUNCTION("""COMPUTED_VALUE"""),638081.64)</f>
        <v>638081.64</v>
      </c>
      <c r="I197" s="140">
        <f ca="1">IFERROR(__xludf.DUMMYFUNCTION("""COMPUTED_VALUE"""),781081.64)</f>
        <v>781081.64</v>
      </c>
      <c r="J197" s="140">
        <f ca="1">IFERROR(__xludf.DUMMYFUNCTION("""COMPUTED_VALUE"""),1032688.53999999)</f>
        <v>1032688.53999999</v>
      </c>
      <c r="K197" s="140">
        <f ca="1">IFERROR(__xludf.DUMMYFUNCTION("""COMPUTED_VALUE"""),877581.64)</f>
        <v>877581.64</v>
      </c>
      <c r="L197" s="140">
        <f ca="1">IFERROR(__xludf.DUMMYFUNCTION("""COMPUTED_VALUE"""),877581.64)</f>
        <v>877581.64</v>
      </c>
      <c r="M197" s="140">
        <f ca="1">IFERROR(__xludf.DUMMYFUNCTION("""COMPUTED_VALUE"""),877581.64)</f>
        <v>877581.64</v>
      </c>
      <c r="N197" s="140">
        <f ca="1">IFERROR(__xludf.DUMMYFUNCTION("""COMPUTED_VALUE"""),877581.64)</f>
        <v>877581.64</v>
      </c>
      <c r="O197" s="140">
        <f ca="1">IFERROR(__xludf.DUMMYFUNCTION("""COMPUTED_VALUE"""),877581.64)</f>
        <v>877581.64</v>
      </c>
      <c r="P197" s="140">
        <f ca="1">IFERROR(__xludf.DUMMYFUNCTION("""COMPUTED_VALUE"""),877581.64)</f>
        <v>877581.64</v>
      </c>
      <c r="Q197" s="288">
        <f ca="1">IFERROR(__xludf.DUMMYFUNCTION("""COMPUTED_VALUE"""),877581.64)</f>
        <v>877581.64</v>
      </c>
      <c r="R197" s="286"/>
      <c r="S197" s="291" t="e">
        <f ca="1">_xludf.ifs(A197="INDIA",E197/'Shared Summary by Dept_US$'!$B$31,A197="INDO",E197/'Shared Summary by Dept_US$'!$B$32,A197="BD",E197/'Shared Summary by Dept_US$'!$B$33,A197="Nepal",E197/'Shared Summary by Dept_US$'!$B$34,A197="US",E197/'Shared Summary by Dept_US$'!$B$35)</f>
        <v>#NAME?</v>
      </c>
      <c r="T197" s="292" t="s">
        <v>141</v>
      </c>
      <c r="U197" s="15"/>
      <c r="V197" s="15"/>
      <c r="W197" s="107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spans="1:34" ht="15.75" customHeight="1" x14ac:dyDescent="0.25">
      <c r="A198" s="139" t="s">
        <v>30</v>
      </c>
      <c r="B198" s="64" t="str">
        <f ca="1">IFERROR(__xludf.DUMMYFUNCTION("""COMPUTED_VALUE"""),"Health and Retirement Benefits")</f>
        <v>Health and Retirement Benefits</v>
      </c>
      <c r="C198" s="64" t="str">
        <f ca="1">IFERROR(__xludf.DUMMYFUNCTION("""COMPUTED_VALUE"""),"Gratuity &amp; Bonus")</f>
        <v>Gratuity &amp; Bonus</v>
      </c>
      <c r="D198" s="290"/>
      <c r="E198" s="140">
        <f ca="1">IFERROR(__xludf.DUMMYFUNCTION("""COMPUTED_VALUE"""),0)</f>
        <v>0</v>
      </c>
      <c r="F198" s="140">
        <f ca="1">IFERROR(__xludf.DUMMYFUNCTION("""COMPUTED_VALUE"""),0)</f>
        <v>0</v>
      </c>
      <c r="G198" s="140">
        <f ca="1">IFERROR(__xludf.DUMMYFUNCTION("""COMPUTED_VALUE"""),0)</f>
        <v>0</v>
      </c>
      <c r="H198" s="140">
        <f ca="1">IFERROR(__xludf.DUMMYFUNCTION("""COMPUTED_VALUE"""),0)</f>
        <v>0</v>
      </c>
      <c r="I198" s="140">
        <f ca="1">IFERROR(__xludf.DUMMYFUNCTION("""COMPUTED_VALUE"""),0)</f>
        <v>0</v>
      </c>
      <c r="J198" s="140">
        <f ca="1">IFERROR(__xludf.DUMMYFUNCTION("""COMPUTED_VALUE"""),0)</f>
        <v>0</v>
      </c>
      <c r="K198" s="140">
        <f ca="1">IFERROR(__xludf.DUMMYFUNCTION("""COMPUTED_VALUE"""),0)</f>
        <v>0</v>
      </c>
      <c r="L198" s="140">
        <f ca="1">IFERROR(__xludf.DUMMYFUNCTION("""COMPUTED_VALUE"""),0)</f>
        <v>0</v>
      </c>
      <c r="M198" s="140">
        <f ca="1">IFERROR(__xludf.DUMMYFUNCTION("""COMPUTED_VALUE"""),0)</f>
        <v>0</v>
      </c>
      <c r="N198" s="140">
        <f ca="1">IFERROR(__xludf.DUMMYFUNCTION("""COMPUTED_VALUE"""),0)</f>
        <v>0</v>
      </c>
      <c r="O198" s="140">
        <f ca="1">IFERROR(__xludf.DUMMYFUNCTION("""COMPUTED_VALUE"""),0)</f>
        <v>0</v>
      </c>
      <c r="P198" s="140">
        <f ca="1">IFERROR(__xludf.DUMMYFUNCTION("""COMPUTED_VALUE"""),0)</f>
        <v>0</v>
      </c>
      <c r="Q198" s="288">
        <f ca="1">IFERROR(__xludf.DUMMYFUNCTION("""COMPUTED_VALUE"""),0)</f>
        <v>0</v>
      </c>
      <c r="R198" s="286"/>
      <c r="S198" s="291" t="e">
        <f ca="1">_xludf.ifs(A198="INDIA",E198/'Shared Summary by Dept_US$'!$B$31,A198="INDO",E198/'Shared Summary by Dept_US$'!$B$32,A198="BD",E198/'Shared Summary by Dept_US$'!$B$33,A198="Nepal",E198/'Shared Summary by Dept_US$'!$B$34,A198="US",E198/'Shared Summary by Dept_US$'!$B$35)</f>
        <v>#NAME?</v>
      </c>
      <c r="T198" s="292" t="s">
        <v>141</v>
      </c>
      <c r="U198" s="15"/>
      <c r="V198" s="15"/>
      <c r="W198" s="107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ht="15.75" customHeight="1" x14ac:dyDescent="0.25">
      <c r="A199" s="139" t="s">
        <v>30</v>
      </c>
      <c r="B199" s="64" t="str">
        <f ca="1">IFERROR(__xludf.DUMMYFUNCTION("""COMPUTED_VALUE"""),"Other Staff Expenses")</f>
        <v>Other Staff Expenses</v>
      </c>
      <c r="C199" s="64" t="str">
        <f ca="1">IFERROR(__xludf.DUMMYFUNCTION("""COMPUTED_VALUE"""),"Staff Training, Learning &amp; Development Exp")</f>
        <v>Staff Training, Learning &amp; Development Exp</v>
      </c>
      <c r="D199" s="290">
        <f ca="1">IFERROR(__xludf.DUMMYFUNCTION("""COMPUTED_VALUE"""),91302)</f>
        <v>91302</v>
      </c>
      <c r="E199" s="140">
        <f ca="1">IFERROR(__xludf.DUMMYFUNCTION("""COMPUTED_VALUE"""),0)</f>
        <v>0</v>
      </c>
      <c r="F199" s="140">
        <f ca="1">IFERROR(__xludf.DUMMYFUNCTION("""COMPUTED_VALUE"""),0)</f>
        <v>0</v>
      </c>
      <c r="G199" s="140">
        <f ca="1">IFERROR(__xludf.DUMMYFUNCTION("""COMPUTED_VALUE"""),0)</f>
        <v>0</v>
      </c>
      <c r="H199" s="140">
        <f ca="1">IFERROR(__xludf.DUMMYFUNCTION("""COMPUTED_VALUE"""),0)</f>
        <v>0</v>
      </c>
      <c r="I199" s="140">
        <f ca="1">IFERROR(__xludf.DUMMYFUNCTION("""COMPUTED_VALUE"""),0)</f>
        <v>0</v>
      </c>
      <c r="J199" s="140">
        <f ca="1">IFERROR(__xludf.DUMMYFUNCTION("""COMPUTED_VALUE"""),0)</f>
        <v>0</v>
      </c>
      <c r="K199" s="140">
        <f ca="1">IFERROR(__xludf.DUMMYFUNCTION("""COMPUTED_VALUE"""),0)</f>
        <v>0</v>
      </c>
      <c r="L199" s="140">
        <f ca="1">IFERROR(__xludf.DUMMYFUNCTION("""COMPUTED_VALUE"""),0)</f>
        <v>0</v>
      </c>
      <c r="M199" s="140">
        <f ca="1">IFERROR(__xludf.DUMMYFUNCTION("""COMPUTED_VALUE"""),0)</f>
        <v>0</v>
      </c>
      <c r="N199" s="140">
        <f ca="1">IFERROR(__xludf.DUMMYFUNCTION("""COMPUTED_VALUE"""),0)</f>
        <v>0</v>
      </c>
      <c r="O199" s="140">
        <f ca="1">IFERROR(__xludf.DUMMYFUNCTION("""COMPUTED_VALUE"""),0)</f>
        <v>0</v>
      </c>
      <c r="P199" s="140">
        <f ca="1">IFERROR(__xludf.DUMMYFUNCTION("""COMPUTED_VALUE"""),0)</f>
        <v>0</v>
      </c>
      <c r="Q199" s="288">
        <f ca="1">IFERROR(__xludf.DUMMYFUNCTION("""COMPUTED_VALUE"""),0)</f>
        <v>0</v>
      </c>
      <c r="R199" s="286"/>
      <c r="S199" s="291" t="e">
        <f ca="1">_xludf.ifs(A199="INDIA",E199/'Shared Summary by Dept_US$'!$B$31,A199="INDO",E199/'Shared Summary by Dept_US$'!$B$32,A199="BD",E199/'Shared Summary by Dept_US$'!$B$33,A199="Nepal",E199/'Shared Summary by Dept_US$'!$B$34,A199="US",E199/'Shared Summary by Dept_US$'!$B$35)</f>
        <v>#NAME?</v>
      </c>
      <c r="T199" s="292" t="s">
        <v>141</v>
      </c>
      <c r="U199" s="15"/>
      <c r="V199" s="15"/>
      <c r="W199" s="107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ht="15.75" customHeight="1" x14ac:dyDescent="0.25">
      <c r="A200" s="139" t="s">
        <v>30</v>
      </c>
      <c r="B200" s="64" t="str">
        <f ca="1">IFERROR(__xludf.DUMMYFUNCTION("""COMPUTED_VALUE"""),"Resource Persons")</f>
        <v>Resource Persons</v>
      </c>
      <c r="C200" s="64" t="str">
        <f ca="1">IFERROR(__xludf.DUMMYFUNCTION("""COMPUTED_VALUE"""),"Program Resource Consultant (EHA)")</f>
        <v>Program Resource Consultant (EHA)</v>
      </c>
      <c r="D200" s="290">
        <f ca="1">IFERROR(__xludf.DUMMYFUNCTION("""COMPUTED_VALUE"""),92101)</f>
        <v>92101</v>
      </c>
      <c r="E200" s="140">
        <f ca="1">IFERROR(__xludf.DUMMYFUNCTION("""COMPUTED_VALUE"""),7580893.31)</f>
        <v>7580893.3099999996</v>
      </c>
      <c r="F200" s="140">
        <f ca="1">IFERROR(__xludf.DUMMYFUNCTION("""COMPUTED_VALUE"""),584114.87)</f>
        <v>584114.87</v>
      </c>
      <c r="G200" s="140">
        <f ca="1">IFERROR(__xludf.DUMMYFUNCTION("""COMPUTED_VALUE"""),869872.305)</f>
        <v>869872.30500000005</v>
      </c>
      <c r="H200" s="140">
        <f ca="1">IFERROR(__xludf.DUMMYFUNCTION("""COMPUTED_VALUE"""),584114.87)</f>
        <v>584114.87</v>
      </c>
      <c r="I200" s="140">
        <f ca="1">IFERROR(__xludf.DUMMYFUNCTION("""COMPUTED_VALUE"""),584114.87)</f>
        <v>584114.87</v>
      </c>
      <c r="J200" s="140">
        <f ca="1">IFERROR(__xludf.DUMMYFUNCTION("""COMPUTED_VALUE"""),869872.305)</f>
        <v>869872.30500000005</v>
      </c>
      <c r="K200" s="140">
        <f ca="1">IFERROR(__xludf.DUMMYFUNCTION("""COMPUTED_VALUE"""),584114.87)</f>
        <v>584114.87</v>
      </c>
      <c r="L200" s="140">
        <f ca="1">IFERROR(__xludf.DUMMYFUNCTION("""COMPUTED_VALUE"""),584114.87)</f>
        <v>584114.87</v>
      </c>
      <c r="M200" s="140">
        <f ca="1">IFERROR(__xludf.DUMMYFUNCTION("""COMPUTED_VALUE"""),584114.87)</f>
        <v>584114.87</v>
      </c>
      <c r="N200" s="140">
        <f ca="1">IFERROR(__xludf.DUMMYFUNCTION("""COMPUTED_VALUE"""),584114.87)</f>
        <v>584114.87</v>
      </c>
      <c r="O200" s="140">
        <f ca="1">IFERROR(__xludf.DUMMYFUNCTION("""COMPUTED_VALUE"""),584114.87)</f>
        <v>584114.87</v>
      </c>
      <c r="P200" s="140">
        <f ca="1">IFERROR(__xludf.DUMMYFUNCTION("""COMPUTED_VALUE"""),584114.87)</f>
        <v>584114.87</v>
      </c>
      <c r="Q200" s="288">
        <f ca="1">IFERROR(__xludf.DUMMYFUNCTION("""COMPUTED_VALUE"""),584114.87)</f>
        <v>584114.87</v>
      </c>
      <c r="R200" s="286"/>
      <c r="S200" s="291" t="e">
        <f ca="1">_xludf.ifs(A200="INDIA",E200/'Shared Summary by Dept_US$'!$B$31,A200="INDO",E200/'Shared Summary by Dept_US$'!$B$32,A200="BD",E200/'Shared Summary by Dept_US$'!$B$33,A200="Nepal",E200/'Shared Summary by Dept_US$'!$B$34,A200="US",E200/'Shared Summary by Dept_US$'!$B$35)</f>
        <v>#NAME?</v>
      </c>
      <c r="T200" s="292" t="s">
        <v>141</v>
      </c>
      <c r="U200" s="15"/>
      <c r="V200" s="15"/>
      <c r="W200" s="107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34" ht="15.75" customHeight="1" x14ac:dyDescent="0.25">
      <c r="A201" s="139" t="s">
        <v>30</v>
      </c>
      <c r="B201" s="64" t="str">
        <f ca="1">IFERROR(__xludf.DUMMYFUNCTION("""COMPUTED_VALUE"""),"Travel &amp; Lodging Expenses")</f>
        <v>Travel &amp; Lodging Expenses</v>
      </c>
      <c r="C201" s="64" t="str">
        <f ca="1">IFERROR(__xludf.DUMMYFUNCTION("""COMPUTED_VALUE"""),"Hotel Accomodation")</f>
        <v>Hotel Accomodation</v>
      </c>
      <c r="D201" s="290">
        <f ca="1">IFERROR(__xludf.DUMMYFUNCTION("""COMPUTED_VALUE"""),93101)</f>
        <v>93101</v>
      </c>
      <c r="E201" s="140">
        <f ca="1">IFERROR(__xludf.DUMMYFUNCTION("""COMPUTED_VALUE"""),313250)</f>
        <v>313250</v>
      </c>
      <c r="F201" s="140">
        <f ca="1">IFERROR(__xludf.DUMMYFUNCTION("""COMPUTED_VALUE"""),0)</f>
        <v>0</v>
      </c>
      <c r="G201" s="140">
        <f ca="1">IFERROR(__xludf.DUMMYFUNCTION("""COMPUTED_VALUE"""),21000)</f>
        <v>21000</v>
      </c>
      <c r="H201" s="140">
        <f ca="1">IFERROR(__xludf.DUMMYFUNCTION("""COMPUTED_VALUE"""),31500)</f>
        <v>31500</v>
      </c>
      <c r="I201" s="140">
        <f ca="1">IFERROR(__xludf.DUMMYFUNCTION("""COMPUTED_VALUE"""),31500)</f>
        <v>31500</v>
      </c>
      <c r="J201" s="140">
        <f ca="1">IFERROR(__xludf.DUMMYFUNCTION("""COMPUTED_VALUE"""),21000)</f>
        <v>21000</v>
      </c>
      <c r="K201" s="140">
        <f ca="1">IFERROR(__xludf.DUMMYFUNCTION("""COMPUTED_VALUE"""),31500)</f>
        <v>31500</v>
      </c>
      <c r="L201" s="140">
        <f ca="1">IFERROR(__xludf.DUMMYFUNCTION("""COMPUTED_VALUE"""),92750)</f>
        <v>92750</v>
      </c>
      <c r="M201" s="140">
        <f ca="1">IFERROR(__xludf.DUMMYFUNCTION("""COMPUTED_VALUE"""),21000)</f>
        <v>21000</v>
      </c>
      <c r="N201" s="140">
        <f ca="1">IFERROR(__xludf.DUMMYFUNCTION("""COMPUTED_VALUE"""),63000)</f>
        <v>63000</v>
      </c>
      <c r="O201" s="140">
        <f ca="1">IFERROR(__xludf.DUMMYFUNCTION("""COMPUTED_VALUE"""),0)</f>
        <v>0</v>
      </c>
      <c r="P201" s="140">
        <f ca="1">IFERROR(__xludf.DUMMYFUNCTION("""COMPUTED_VALUE"""),0)</f>
        <v>0</v>
      </c>
      <c r="Q201" s="288">
        <f ca="1">IFERROR(__xludf.DUMMYFUNCTION("""COMPUTED_VALUE"""),0)</f>
        <v>0</v>
      </c>
      <c r="R201" s="286"/>
      <c r="S201" s="291" t="e">
        <f ca="1">_xludf.ifs(A201="INDIA",E201/'Shared Summary by Dept_US$'!$B$31,A201="INDO",E201/'Shared Summary by Dept_US$'!$B$32,A201="BD",E201/'Shared Summary by Dept_US$'!$B$33,A201="Nepal",E201/'Shared Summary by Dept_US$'!$B$34,A201="US",E201/'Shared Summary by Dept_US$'!$B$35)</f>
        <v>#NAME?</v>
      </c>
      <c r="T201" s="292" t="s">
        <v>141</v>
      </c>
      <c r="U201" s="15"/>
      <c r="V201" s="15"/>
      <c r="W201" s="107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spans="1:34" ht="15.75" customHeight="1" x14ac:dyDescent="0.25">
      <c r="A202" s="139" t="s">
        <v>30</v>
      </c>
      <c r="B202" s="64" t="str">
        <f ca="1">IFERROR(__xludf.DUMMYFUNCTION("""COMPUTED_VALUE"""),"Travel &amp; Lodging Expenses")</f>
        <v>Travel &amp; Lodging Expenses</v>
      </c>
      <c r="C202" s="64" t="str">
        <f ca="1">IFERROR(__xludf.DUMMYFUNCTION("""COMPUTED_VALUE"""),"Food Expenses")</f>
        <v>Food Expenses</v>
      </c>
      <c r="D202" s="290">
        <f ca="1">IFERROR(__xludf.DUMMYFUNCTION("""COMPUTED_VALUE"""),93102)</f>
        <v>93102</v>
      </c>
      <c r="E202" s="140">
        <f ca="1">IFERROR(__xludf.DUMMYFUNCTION("""COMPUTED_VALUE"""),242400)</f>
        <v>242400</v>
      </c>
      <c r="F202" s="140">
        <f ca="1">IFERROR(__xludf.DUMMYFUNCTION("""COMPUTED_VALUE"""),9600)</f>
        <v>9600</v>
      </c>
      <c r="G202" s="140">
        <f ca="1">IFERROR(__xludf.DUMMYFUNCTION("""COMPUTED_VALUE"""),16800)</f>
        <v>16800</v>
      </c>
      <c r="H202" s="140">
        <f ca="1">IFERROR(__xludf.DUMMYFUNCTION("""COMPUTED_VALUE"""),20400)</f>
        <v>20400</v>
      </c>
      <c r="I202" s="140">
        <f ca="1">IFERROR(__xludf.DUMMYFUNCTION("""COMPUTED_VALUE"""),20400)</f>
        <v>20400</v>
      </c>
      <c r="J202" s="140">
        <f ca="1">IFERROR(__xludf.DUMMYFUNCTION("""COMPUTED_VALUE"""),16800)</f>
        <v>16800</v>
      </c>
      <c r="K202" s="140">
        <f ca="1">IFERROR(__xludf.DUMMYFUNCTION("""COMPUTED_VALUE"""),20400)</f>
        <v>20400</v>
      </c>
      <c r="L202" s="140">
        <f ca="1">IFERROR(__xludf.DUMMYFUNCTION("""COMPUTED_VALUE"""),80400)</f>
        <v>80400</v>
      </c>
      <c r="M202" s="140">
        <f ca="1">IFERROR(__xludf.DUMMYFUNCTION("""COMPUTED_VALUE"""),16800)</f>
        <v>16800</v>
      </c>
      <c r="N202" s="140">
        <f ca="1">IFERROR(__xludf.DUMMYFUNCTION("""COMPUTED_VALUE"""),31200)</f>
        <v>31200</v>
      </c>
      <c r="O202" s="140">
        <f ca="1">IFERROR(__xludf.DUMMYFUNCTION("""COMPUTED_VALUE"""),9600)</f>
        <v>9600</v>
      </c>
      <c r="P202" s="140">
        <f ca="1">IFERROR(__xludf.DUMMYFUNCTION("""COMPUTED_VALUE"""),0)</f>
        <v>0</v>
      </c>
      <c r="Q202" s="288">
        <f ca="1">IFERROR(__xludf.DUMMYFUNCTION("""COMPUTED_VALUE"""),0)</f>
        <v>0</v>
      </c>
      <c r="R202" s="286"/>
      <c r="S202" s="291" t="e">
        <f ca="1">_xludf.ifs(A202="INDIA",E202/'Shared Summary by Dept_US$'!$B$31,A202="INDO",E202/'Shared Summary by Dept_US$'!$B$32,A202="BD",E202/'Shared Summary by Dept_US$'!$B$33,A202="Nepal",E202/'Shared Summary by Dept_US$'!$B$34,A202="US",E202/'Shared Summary by Dept_US$'!$B$35)</f>
        <v>#NAME?</v>
      </c>
      <c r="T202" s="292" t="s">
        <v>141</v>
      </c>
      <c r="U202" s="15"/>
      <c r="V202" s="15"/>
      <c r="W202" s="107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spans="1:34" ht="15.75" customHeight="1" x14ac:dyDescent="0.25">
      <c r="A203" s="139" t="s">
        <v>30</v>
      </c>
      <c r="B203" s="64" t="str">
        <f ca="1">IFERROR(__xludf.DUMMYFUNCTION("""COMPUTED_VALUE"""),"Travel &amp; Lodging Expenses")</f>
        <v>Travel &amp; Lodging Expenses</v>
      </c>
      <c r="C203" s="64" t="str">
        <f ca="1">IFERROR(__xludf.DUMMYFUNCTION("""COMPUTED_VALUE"""),"Air fare")</f>
        <v>Air fare</v>
      </c>
      <c r="D203" s="290">
        <f ca="1">IFERROR(__xludf.DUMMYFUNCTION("""COMPUTED_VALUE"""),93103)</f>
        <v>93103</v>
      </c>
      <c r="E203" s="140">
        <f ca="1">IFERROR(__xludf.DUMMYFUNCTION("""COMPUTED_VALUE"""),297000)</f>
        <v>297000</v>
      </c>
      <c r="F203" s="140">
        <f ca="1">IFERROR(__xludf.DUMMYFUNCTION("""COMPUTED_VALUE"""),0)</f>
        <v>0</v>
      </c>
      <c r="G203" s="140">
        <f ca="1">IFERROR(__xludf.DUMMYFUNCTION("""COMPUTED_VALUE"""),33000)</f>
        <v>33000</v>
      </c>
      <c r="H203" s="140">
        <f ca="1">IFERROR(__xludf.DUMMYFUNCTION("""COMPUTED_VALUE"""),33000)</f>
        <v>33000</v>
      </c>
      <c r="I203" s="140">
        <f ca="1">IFERROR(__xludf.DUMMYFUNCTION("""COMPUTED_VALUE"""),33000)</f>
        <v>33000</v>
      </c>
      <c r="J203" s="140">
        <f ca="1">IFERROR(__xludf.DUMMYFUNCTION("""COMPUTED_VALUE"""),33000)</f>
        <v>33000</v>
      </c>
      <c r="K203" s="140">
        <f ca="1">IFERROR(__xludf.DUMMYFUNCTION("""COMPUTED_VALUE"""),33000)</f>
        <v>33000</v>
      </c>
      <c r="L203" s="140">
        <f ca="1">IFERROR(__xludf.DUMMYFUNCTION("""COMPUTED_VALUE"""),33000)</f>
        <v>33000</v>
      </c>
      <c r="M203" s="140">
        <f ca="1">IFERROR(__xludf.DUMMYFUNCTION("""COMPUTED_VALUE"""),33000)</f>
        <v>33000</v>
      </c>
      <c r="N203" s="140">
        <f ca="1">IFERROR(__xludf.DUMMYFUNCTION("""COMPUTED_VALUE"""),66000)</f>
        <v>66000</v>
      </c>
      <c r="O203" s="140">
        <f ca="1">IFERROR(__xludf.DUMMYFUNCTION("""COMPUTED_VALUE"""),0)</f>
        <v>0</v>
      </c>
      <c r="P203" s="140">
        <f ca="1">IFERROR(__xludf.DUMMYFUNCTION("""COMPUTED_VALUE"""),0)</f>
        <v>0</v>
      </c>
      <c r="Q203" s="288">
        <f ca="1">IFERROR(__xludf.DUMMYFUNCTION("""COMPUTED_VALUE"""),0)</f>
        <v>0</v>
      </c>
      <c r="R203" s="286"/>
      <c r="S203" s="291" t="e">
        <f ca="1">_xludf.ifs(A203="INDIA",E203/'Shared Summary by Dept_US$'!$B$31,A203="INDO",E203/'Shared Summary by Dept_US$'!$B$32,A203="BD",E203/'Shared Summary by Dept_US$'!$B$33,A203="Nepal",E203/'Shared Summary by Dept_US$'!$B$34,A203="US",E203/'Shared Summary by Dept_US$'!$B$35)</f>
        <v>#NAME?</v>
      </c>
      <c r="T203" s="292" t="s">
        <v>141</v>
      </c>
      <c r="U203" s="15"/>
      <c r="V203" s="15"/>
      <c r="W203" s="107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spans="1:34" ht="15.75" customHeight="1" x14ac:dyDescent="0.25">
      <c r="A204" s="139" t="s">
        <v>30</v>
      </c>
      <c r="B204" s="64" t="str">
        <f ca="1">IFERROR(__xludf.DUMMYFUNCTION("""COMPUTED_VALUE"""),"Travel &amp; Lodging Expenses")</f>
        <v>Travel &amp; Lodging Expenses</v>
      </c>
      <c r="C204" s="64" t="str">
        <f ca="1">IFERROR(__xludf.DUMMYFUNCTION("""COMPUTED_VALUE"""),"Cab/Auto")</f>
        <v>Cab/Auto</v>
      </c>
      <c r="D204" s="290">
        <f ca="1">IFERROR(__xludf.DUMMYFUNCTION("""COMPUTED_VALUE"""),93104)</f>
        <v>93104</v>
      </c>
      <c r="E204" s="140">
        <f ca="1">IFERROR(__xludf.DUMMYFUNCTION("""COMPUTED_VALUE"""),254100)</f>
        <v>254100</v>
      </c>
      <c r="F204" s="140">
        <f ca="1">IFERROR(__xludf.DUMMYFUNCTION("""COMPUTED_VALUE"""),0)</f>
        <v>0</v>
      </c>
      <c r="G204" s="140">
        <f ca="1">IFERROR(__xludf.DUMMYFUNCTION("""COMPUTED_VALUE"""),19800)</f>
        <v>19800</v>
      </c>
      <c r="H204" s="140">
        <f ca="1">IFERROR(__xludf.DUMMYFUNCTION("""COMPUTED_VALUE"""),29700)</f>
        <v>29700</v>
      </c>
      <c r="I204" s="140">
        <f ca="1">IFERROR(__xludf.DUMMYFUNCTION("""COMPUTED_VALUE"""),29700)</f>
        <v>29700</v>
      </c>
      <c r="J204" s="140">
        <f ca="1">IFERROR(__xludf.DUMMYFUNCTION("""COMPUTED_VALUE"""),19800)</f>
        <v>19800</v>
      </c>
      <c r="K204" s="140">
        <f ca="1">IFERROR(__xludf.DUMMYFUNCTION("""COMPUTED_VALUE"""),29700)</f>
        <v>29700</v>
      </c>
      <c r="L204" s="140">
        <f ca="1">IFERROR(__xludf.DUMMYFUNCTION("""COMPUTED_VALUE"""),46200)</f>
        <v>46200</v>
      </c>
      <c r="M204" s="140">
        <f ca="1">IFERROR(__xludf.DUMMYFUNCTION("""COMPUTED_VALUE"""),19800)</f>
        <v>19800</v>
      </c>
      <c r="N204" s="140">
        <f ca="1">IFERROR(__xludf.DUMMYFUNCTION("""COMPUTED_VALUE"""),59400)</f>
        <v>59400</v>
      </c>
      <c r="O204" s="140">
        <f ca="1">IFERROR(__xludf.DUMMYFUNCTION("""COMPUTED_VALUE"""),0)</f>
        <v>0</v>
      </c>
      <c r="P204" s="140">
        <f ca="1">IFERROR(__xludf.DUMMYFUNCTION("""COMPUTED_VALUE"""),0)</f>
        <v>0</v>
      </c>
      <c r="Q204" s="288">
        <f ca="1">IFERROR(__xludf.DUMMYFUNCTION("""COMPUTED_VALUE"""),0)</f>
        <v>0</v>
      </c>
      <c r="R204" s="286"/>
      <c r="S204" s="291" t="e">
        <f ca="1">_xludf.ifs(A204="INDIA",E204/'Shared Summary by Dept_US$'!$B$31,A204="INDO",E204/'Shared Summary by Dept_US$'!$B$32,A204="BD",E204/'Shared Summary by Dept_US$'!$B$33,A204="Nepal",E204/'Shared Summary by Dept_US$'!$B$34,A204="US",E204/'Shared Summary by Dept_US$'!$B$35)</f>
        <v>#NAME?</v>
      </c>
      <c r="T204" s="292" t="s">
        <v>141</v>
      </c>
      <c r="U204" s="15"/>
      <c r="V204" s="15"/>
      <c r="W204" s="107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spans="1:34" ht="15.75" customHeight="1" x14ac:dyDescent="0.25">
      <c r="A205" s="139" t="s">
        <v>30</v>
      </c>
      <c r="B205" s="64" t="str">
        <f ca="1">IFERROR(__xludf.DUMMYFUNCTION("""COMPUTED_VALUE"""),"Travel &amp; Lodging Expenses")</f>
        <v>Travel &amp; Lodging Expenses</v>
      </c>
      <c r="C205" s="64" t="str">
        <f ca="1">IFERROR(__xludf.DUMMYFUNCTION("""COMPUTED_VALUE"""),"Bus/Train")</f>
        <v>Bus/Train</v>
      </c>
      <c r="D205" s="290">
        <f ca="1">IFERROR(__xludf.DUMMYFUNCTION("""COMPUTED_VALUE"""),93105)</f>
        <v>93105</v>
      </c>
      <c r="E205" s="140">
        <f ca="1">IFERROR(__xludf.DUMMYFUNCTION("""COMPUTED_VALUE"""),41600)</f>
        <v>41600</v>
      </c>
      <c r="F205" s="140">
        <f ca="1">IFERROR(__xludf.DUMMYFUNCTION("""COMPUTED_VALUE"""),0)</f>
        <v>0</v>
      </c>
      <c r="G205" s="140">
        <f ca="1">IFERROR(__xludf.DUMMYFUNCTION("""COMPUTED_VALUE"""),2400)</f>
        <v>2400</v>
      </c>
      <c r="H205" s="140">
        <f ca="1">IFERROR(__xludf.DUMMYFUNCTION("""COMPUTED_VALUE"""),2400)</f>
        <v>2400</v>
      </c>
      <c r="I205" s="140">
        <f ca="1">IFERROR(__xludf.DUMMYFUNCTION("""COMPUTED_VALUE"""),2400)</f>
        <v>2400</v>
      </c>
      <c r="J205" s="140">
        <f ca="1">IFERROR(__xludf.DUMMYFUNCTION("""COMPUTED_VALUE"""),2400)</f>
        <v>2400</v>
      </c>
      <c r="K205" s="140">
        <f ca="1">IFERROR(__xludf.DUMMYFUNCTION("""COMPUTED_VALUE"""),2400)</f>
        <v>2400</v>
      </c>
      <c r="L205" s="140">
        <f ca="1">IFERROR(__xludf.DUMMYFUNCTION("""COMPUTED_VALUE"""),22400)</f>
        <v>22400</v>
      </c>
      <c r="M205" s="140">
        <f ca="1">IFERROR(__xludf.DUMMYFUNCTION("""COMPUTED_VALUE"""),2400)</f>
        <v>2400</v>
      </c>
      <c r="N205" s="140">
        <f ca="1">IFERROR(__xludf.DUMMYFUNCTION("""COMPUTED_VALUE"""),4800)</f>
        <v>4800</v>
      </c>
      <c r="O205" s="140">
        <f ca="1">IFERROR(__xludf.DUMMYFUNCTION("""COMPUTED_VALUE"""),0)</f>
        <v>0</v>
      </c>
      <c r="P205" s="140">
        <f ca="1">IFERROR(__xludf.DUMMYFUNCTION("""COMPUTED_VALUE"""),0)</f>
        <v>0</v>
      </c>
      <c r="Q205" s="288">
        <f ca="1">IFERROR(__xludf.DUMMYFUNCTION("""COMPUTED_VALUE"""),0)</f>
        <v>0</v>
      </c>
      <c r="R205" s="286"/>
      <c r="S205" s="291" t="e">
        <f ca="1">_xludf.ifs(A205="INDIA",E205/'Shared Summary by Dept_US$'!$B$31,A205="INDO",E205/'Shared Summary by Dept_US$'!$B$32,A205="BD",E205/'Shared Summary by Dept_US$'!$B$33,A205="Nepal",E205/'Shared Summary by Dept_US$'!$B$34,A205="US",E205/'Shared Summary by Dept_US$'!$B$35)</f>
        <v>#NAME?</v>
      </c>
      <c r="T205" s="292" t="s">
        <v>141</v>
      </c>
      <c r="U205" s="15"/>
      <c r="V205" s="15"/>
      <c r="W205" s="107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spans="1:34" ht="15.75" customHeight="1" x14ac:dyDescent="0.25">
      <c r="A206" s="139" t="s">
        <v>30</v>
      </c>
      <c r="B206" s="64" t="str">
        <f ca="1">IFERROR(__xludf.DUMMYFUNCTION("""COMPUTED_VALUE"""),"Travel &amp; Lodging Expenses")</f>
        <v>Travel &amp; Lodging Expenses</v>
      </c>
      <c r="C206" s="64" t="str">
        <f ca="1">IFERROR(__xludf.DUMMYFUNCTION("""COMPUTED_VALUE"""),"Other incidental travel costs")</f>
        <v>Other incidental travel costs</v>
      </c>
      <c r="D206" s="290">
        <f ca="1">IFERROR(__xludf.DUMMYFUNCTION("""COMPUTED_VALUE"""),93106)</f>
        <v>93106</v>
      </c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288"/>
      <c r="R206" s="286"/>
      <c r="S206" s="291" t="e">
        <f ca="1">_xludf.ifs(A206="INDIA",E206/'Shared Summary by Dept_US$'!$B$31,A206="INDO",E206/'Shared Summary by Dept_US$'!$B$32,A206="BD",E206/'Shared Summary by Dept_US$'!$B$33,A206="Nepal",E206/'Shared Summary by Dept_US$'!$B$34,A206="US",E206/'Shared Summary by Dept_US$'!$B$35)</f>
        <v>#NAME?</v>
      </c>
      <c r="T206" s="292" t="s">
        <v>141</v>
      </c>
      <c r="U206" s="15"/>
      <c r="V206" s="15"/>
      <c r="W206" s="107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spans="1:34" ht="15.75" customHeight="1" x14ac:dyDescent="0.25">
      <c r="A207" s="139" t="s">
        <v>30</v>
      </c>
      <c r="B207" s="64" t="str">
        <f ca="1">IFERROR(__xludf.DUMMYFUNCTION("""COMPUTED_VALUE"""),"Supplies &amp; Printing Costs")</f>
        <v>Supplies &amp; Printing Costs</v>
      </c>
      <c r="C207" s="64" t="str">
        <f ca="1">IFERROR(__xludf.DUMMYFUNCTION("""COMPUTED_VALUE"""),"Other Direct Expenses")</f>
        <v>Other Direct Expenses</v>
      </c>
      <c r="D207" s="290">
        <f ca="1">IFERROR(__xludf.DUMMYFUNCTION("""COMPUTED_VALUE"""),93201)</f>
        <v>93201</v>
      </c>
      <c r="E207" s="140">
        <f ca="1">IFERROR(__xludf.DUMMYFUNCTION("""COMPUTED_VALUE"""),0)</f>
        <v>0</v>
      </c>
      <c r="F207" s="140">
        <f ca="1">IFERROR(__xludf.DUMMYFUNCTION("""COMPUTED_VALUE"""),0)</f>
        <v>0</v>
      </c>
      <c r="G207" s="140">
        <f ca="1">IFERROR(__xludf.DUMMYFUNCTION("""COMPUTED_VALUE"""),0)</f>
        <v>0</v>
      </c>
      <c r="H207" s="140">
        <f ca="1">IFERROR(__xludf.DUMMYFUNCTION("""COMPUTED_VALUE"""),0)</f>
        <v>0</v>
      </c>
      <c r="I207" s="140">
        <f ca="1">IFERROR(__xludf.DUMMYFUNCTION("""COMPUTED_VALUE"""),0)</f>
        <v>0</v>
      </c>
      <c r="J207" s="140">
        <f ca="1">IFERROR(__xludf.DUMMYFUNCTION("""COMPUTED_VALUE"""),0)</f>
        <v>0</v>
      </c>
      <c r="K207" s="140">
        <f ca="1">IFERROR(__xludf.DUMMYFUNCTION("""COMPUTED_VALUE"""),0)</f>
        <v>0</v>
      </c>
      <c r="L207" s="140">
        <f ca="1">IFERROR(__xludf.DUMMYFUNCTION("""COMPUTED_VALUE"""),0)</f>
        <v>0</v>
      </c>
      <c r="M207" s="140">
        <f ca="1">IFERROR(__xludf.DUMMYFUNCTION("""COMPUTED_VALUE"""),0)</f>
        <v>0</v>
      </c>
      <c r="N207" s="140">
        <f ca="1">IFERROR(__xludf.DUMMYFUNCTION("""COMPUTED_VALUE"""),0)</f>
        <v>0</v>
      </c>
      <c r="O207" s="140">
        <f ca="1">IFERROR(__xludf.DUMMYFUNCTION("""COMPUTED_VALUE"""),0)</f>
        <v>0</v>
      </c>
      <c r="P207" s="140">
        <f ca="1">IFERROR(__xludf.DUMMYFUNCTION("""COMPUTED_VALUE"""),0)</f>
        <v>0</v>
      </c>
      <c r="Q207" s="288">
        <f ca="1">IFERROR(__xludf.DUMMYFUNCTION("""COMPUTED_VALUE"""),0)</f>
        <v>0</v>
      </c>
      <c r="R207" s="286"/>
      <c r="S207" s="291" t="e">
        <f ca="1">_xludf.ifs(A207="INDIA",E207/'Shared Summary by Dept_US$'!$B$31,A207="INDO",E207/'Shared Summary by Dept_US$'!$B$32,A207="BD",E207/'Shared Summary by Dept_US$'!$B$33,A207="Nepal",E207/'Shared Summary by Dept_US$'!$B$34,A207="US",E207/'Shared Summary by Dept_US$'!$B$35)</f>
        <v>#NAME?</v>
      </c>
      <c r="T207" s="292" t="s">
        <v>141</v>
      </c>
      <c r="U207" s="15"/>
      <c r="V207" s="15"/>
      <c r="W207" s="107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spans="1:34" ht="15.75" customHeight="1" x14ac:dyDescent="0.25">
      <c r="A208" s="139" t="s">
        <v>30</v>
      </c>
      <c r="B208" s="64" t="str">
        <f ca="1">IFERROR(__xludf.DUMMYFUNCTION("""COMPUTED_VALUE"""),"Supplies &amp; Printing Costs")</f>
        <v>Supplies &amp; Printing Costs</v>
      </c>
      <c r="C208" s="64" t="str">
        <f ca="1">IFERROR(__xludf.DUMMYFUNCTION("""COMPUTED_VALUE"""),"Printing expenses")</f>
        <v>Printing expenses</v>
      </c>
      <c r="D208" s="290">
        <f ca="1">IFERROR(__xludf.DUMMYFUNCTION("""COMPUTED_VALUE"""),93204)</f>
        <v>93204</v>
      </c>
      <c r="E208" s="140">
        <f ca="1">IFERROR(__xludf.DUMMYFUNCTION("""COMPUTED_VALUE"""),0)</f>
        <v>0</v>
      </c>
      <c r="F208" s="140">
        <f ca="1">IFERROR(__xludf.DUMMYFUNCTION("""COMPUTED_VALUE"""),0)</f>
        <v>0</v>
      </c>
      <c r="G208" s="140">
        <f ca="1">IFERROR(__xludf.DUMMYFUNCTION("""COMPUTED_VALUE"""),0)</f>
        <v>0</v>
      </c>
      <c r="H208" s="140">
        <f ca="1">IFERROR(__xludf.DUMMYFUNCTION("""COMPUTED_VALUE"""),0)</f>
        <v>0</v>
      </c>
      <c r="I208" s="140">
        <f ca="1">IFERROR(__xludf.DUMMYFUNCTION("""COMPUTED_VALUE"""),0)</f>
        <v>0</v>
      </c>
      <c r="J208" s="140">
        <f ca="1">IFERROR(__xludf.DUMMYFUNCTION("""COMPUTED_VALUE"""),0)</f>
        <v>0</v>
      </c>
      <c r="K208" s="140">
        <f ca="1">IFERROR(__xludf.DUMMYFUNCTION("""COMPUTED_VALUE"""),0)</f>
        <v>0</v>
      </c>
      <c r="L208" s="140">
        <f ca="1">IFERROR(__xludf.DUMMYFUNCTION("""COMPUTED_VALUE"""),0)</f>
        <v>0</v>
      </c>
      <c r="M208" s="140">
        <f ca="1">IFERROR(__xludf.DUMMYFUNCTION("""COMPUTED_VALUE"""),0)</f>
        <v>0</v>
      </c>
      <c r="N208" s="140">
        <f ca="1">IFERROR(__xludf.DUMMYFUNCTION("""COMPUTED_VALUE"""),0)</f>
        <v>0</v>
      </c>
      <c r="O208" s="140">
        <f ca="1">IFERROR(__xludf.DUMMYFUNCTION("""COMPUTED_VALUE"""),0)</f>
        <v>0</v>
      </c>
      <c r="P208" s="140">
        <f ca="1">IFERROR(__xludf.DUMMYFUNCTION("""COMPUTED_VALUE"""),0)</f>
        <v>0</v>
      </c>
      <c r="Q208" s="288">
        <f ca="1">IFERROR(__xludf.DUMMYFUNCTION("""COMPUTED_VALUE"""),0)</f>
        <v>0</v>
      </c>
      <c r="R208" s="286"/>
      <c r="S208" s="291" t="e">
        <f ca="1">_xludf.ifs(A208="INDIA",E208/'Shared Summary by Dept_US$'!$B$31,A208="INDO",E208/'Shared Summary by Dept_US$'!$B$32,A208="BD",E208/'Shared Summary by Dept_US$'!$B$33,A208="Nepal",E208/'Shared Summary by Dept_US$'!$B$34,A208="US",E208/'Shared Summary by Dept_US$'!$B$35)</f>
        <v>#NAME?</v>
      </c>
      <c r="T208" s="292" t="s">
        <v>141</v>
      </c>
      <c r="U208" s="15"/>
      <c r="V208" s="15"/>
      <c r="W208" s="107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spans="1:34" ht="15.75" customHeight="1" x14ac:dyDescent="0.25">
      <c r="A209" s="139" t="s">
        <v>30</v>
      </c>
      <c r="B209" s="64" t="str">
        <f ca="1">IFERROR(__xludf.DUMMYFUNCTION("""COMPUTED_VALUE"""),"Communication Cost")</f>
        <v>Communication Cost</v>
      </c>
      <c r="C209" s="64" t="str">
        <f ca="1">IFERROR(__xludf.DUMMYFUNCTION("""COMPUTED_VALUE"""),"Internet Expenses")</f>
        <v>Internet Expenses</v>
      </c>
      <c r="D209" s="290">
        <f ca="1">IFERROR(__xludf.DUMMYFUNCTION("""COMPUTED_VALUE"""),93301)</f>
        <v>93301</v>
      </c>
      <c r="E209" s="140">
        <f ca="1">IFERROR(__xludf.DUMMYFUNCTION("""COMPUTED_VALUE"""),0)</f>
        <v>0</v>
      </c>
      <c r="F209" s="140">
        <f ca="1">IFERROR(__xludf.DUMMYFUNCTION("""COMPUTED_VALUE"""),0)</f>
        <v>0</v>
      </c>
      <c r="G209" s="140">
        <f ca="1">IFERROR(__xludf.DUMMYFUNCTION("""COMPUTED_VALUE"""),0)</f>
        <v>0</v>
      </c>
      <c r="H209" s="140">
        <f ca="1">IFERROR(__xludf.DUMMYFUNCTION("""COMPUTED_VALUE"""),0)</f>
        <v>0</v>
      </c>
      <c r="I209" s="140">
        <f ca="1">IFERROR(__xludf.DUMMYFUNCTION("""COMPUTED_VALUE"""),0)</f>
        <v>0</v>
      </c>
      <c r="J209" s="140">
        <f ca="1">IFERROR(__xludf.DUMMYFUNCTION("""COMPUTED_VALUE"""),0)</f>
        <v>0</v>
      </c>
      <c r="K209" s="140">
        <f ca="1">IFERROR(__xludf.DUMMYFUNCTION("""COMPUTED_VALUE"""),0)</f>
        <v>0</v>
      </c>
      <c r="L209" s="140">
        <f ca="1">IFERROR(__xludf.DUMMYFUNCTION("""COMPUTED_VALUE"""),0)</f>
        <v>0</v>
      </c>
      <c r="M209" s="140">
        <f ca="1">IFERROR(__xludf.DUMMYFUNCTION("""COMPUTED_VALUE"""),0)</f>
        <v>0</v>
      </c>
      <c r="N209" s="140">
        <f ca="1">IFERROR(__xludf.DUMMYFUNCTION("""COMPUTED_VALUE"""),0)</f>
        <v>0</v>
      </c>
      <c r="O209" s="140">
        <f ca="1">IFERROR(__xludf.DUMMYFUNCTION("""COMPUTED_VALUE"""),0)</f>
        <v>0</v>
      </c>
      <c r="P209" s="140">
        <f ca="1">IFERROR(__xludf.DUMMYFUNCTION("""COMPUTED_VALUE"""),0)</f>
        <v>0</v>
      </c>
      <c r="Q209" s="288">
        <f ca="1">IFERROR(__xludf.DUMMYFUNCTION("""COMPUTED_VALUE"""),0)</f>
        <v>0</v>
      </c>
      <c r="R209" s="286"/>
      <c r="S209" s="291" t="e">
        <f ca="1">_xludf.ifs(A209="INDIA",E209/'Shared Summary by Dept_US$'!$B$31,A209="INDO",E209/'Shared Summary by Dept_US$'!$B$32,A209="BD",E209/'Shared Summary by Dept_US$'!$B$33,A209="Nepal",E209/'Shared Summary by Dept_US$'!$B$34,A209="US",E209/'Shared Summary by Dept_US$'!$B$35)</f>
        <v>#NAME?</v>
      </c>
      <c r="T209" s="292" t="s">
        <v>141</v>
      </c>
      <c r="U209" s="15"/>
      <c r="V209" s="15"/>
      <c r="W209" s="107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spans="1:34" ht="15.75" customHeight="1" x14ac:dyDescent="0.25">
      <c r="A210" s="139" t="s">
        <v>30</v>
      </c>
      <c r="B210" s="64" t="str">
        <f ca="1">IFERROR(__xludf.DUMMYFUNCTION("""COMPUTED_VALUE"""),"Communication Cost")</f>
        <v>Communication Cost</v>
      </c>
      <c r="C210" s="64" t="str">
        <f ca="1">IFERROR(__xludf.DUMMYFUNCTION("""COMPUTED_VALUE"""),"Postage &amp; Courier Expenses")</f>
        <v>Postage &amp; Courier Expenses</v>
      </c>
      <c r="D210" s="290">
        <f ca="1">IFERROR(__xludf.DUMMYFUNCTION("""COMPUTED_VALUE"""),93302)</f>
        <v>93302</v>
      </c>
      <c r="E210" s="140">
        <f ca="1">IFERROR(__xludf.DUMMYFUNCTION("""COMPUTED_VALUE"""),0)</f>
        <v>0</v>
      </c>
      <c r="F210" s="140">
        <f ca="1">IFERROR(__xludf.DUMMYFUNCTION("""COMPUTED_VALUE"""),0)</f>
        <v>0</v>
      </c>
      <c r="G210" s="140">
        <f ca="1">IFERROR(__xludf.DUMMYFUNCTION("""COMPUTED_VALUE"""),0)</f>
        <v>0</v>
      </c>
      <c r="H210" s="140">
        <f ca="1">IFERROR(__xludf.DUMMYFUNCTION("""COMPUTED_VALUE"""),0)</f>
        <v>0</v>
      </c>
      <c r="I210" s="140">
        <f ca="1">IFERROR(__xludf.DUMMYFUNCTION("""COMPUTED_VALUE"""),0)</f>
        <v>0</v>
      </c>
      <c r="J210" s="140">
        <f ca="1">IFERROR(__xludf.DUMMYFUNCTION("""COMPUTED_VALUE"""),0)</f>
        <v>0</v>
      </c>
      <c r="K210" s="140">
        <f ca="1">IFERROR(__xludf.DUMMYFUNCTION("""COMPUTED_VALUE"""),0)</f>
        <v>0</v>
      </c>
      <c r="L210" s="140">
        <f ca="1">IFERROR(__xludf.DUMMYFUNCTION("""COMPUTED_VALUE"""),0)</f>
        <v>0</v>
      </c>
      <c r="M210" s="140">
        <f ca="1">IFERROR(__xludf.DUMMYFUNCTION("""COMPUTED_VALUE"""),0)</f>
        <v>0</v>
      </c>
      <c r="N210" s="140">
        <f ca="1">IFERROR(__xludf.DUMMYFUNCTION("""COMPUTED_VALUE"""),0)</f>
        <v>0</v>
      </c>
      <c r="O210" s="140">
        <f ca="1">IFERROR(__xludf.DUMMYFUNCTION("""COMPUTED_VALUE"""),0)</f>
        <v>0</v>
      </c>
      <c r="P210" s="140">
        <f ca="1">IFERROR(__xludf.DUMMYFUNCTION("""COMPUTED_VALUE"""),0)</f>
        <v>0</v>
      </c>
      <c r="Q210" s="288">
        <f ca="1">IFERROR(__xludf.DUMMYFUNCTION("""COMPUTED_VALUE"""),0)</f>
        <v>0</v>
      </c>
      <c r="R210" s="286"/>
      <c r="S210" s="291" t="e">
        <f ca="1">_xludf.ifs(A210="INDIA",E210/'Shared Summary by Dept_US$'!$B$31,A210="INDO",E210/'Shared Summary by Dept_US$'!$B$32,A210="BD",E210/'Shared Summary by Dept_US$'!$B$33,A210="Nepal",E210/'Shared Summary by Dept_US$'!$B$34,A210="US",E210/'Shared Summary by Dept_US$'!$B$35)</f>
        <v>#NAME?</v>
      </c>
      <c r="T210" s="292" t="s">
        <v>141</v>
      </c>
      <c r="U210" s="15"/>
      <c r="V210" s="15"/>
      <c r="W210" s="107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spans="1:34" ht="15.75" customHeight="1" x14ac:dyDescent="0.25">
      <c r="A211" s="139" t="s">
        <v>30</v>
      </c>
      <c r="B211" s="64" t="str">
        <f ca="1">IFERROR(__xludf.DUMMYFUNCTION("""COMPUTED_VALUE"""),"Communication Cost")</f>
        <v>Communication Cost</v>
      </c>
      <c r="C211" s="64" t="str">
        <f ca="1">IFERROR(__xludf.DUMMYFUNCTION("""COMPUTED_VALUE"""),"Telecommunication expenses")</f>
        <v>Telecommunication expenses</v>
      </c>
      <c r="D211" s="290">
        <f ca="1">IFERROR(__xludf.DUMMYFUNCTION("""COMPUTED_VALUE"""),93303)</f>
        <v>93303</v>
      </c>
      <c r="E211" s="140">
        <f ca="1">IFERROR(__xludf.DUMMYFUNCTION("""COMPUTED_VALUE"""),0)</f>
        <v>0</v>
      </c>
      <c r="F211" s="140">
        <f ca="1">IFERROR(__xludf.DUMMYFUNCTION("""COMPUTED_VALUE"""),0)</f>
        <v>0</v>
      </c>
      <c r="G211" s="140">
        <f ca="1">IFERROR(__xludf.DUMMYFUNCTION("""COMPUTED_VALUE"""),0)</f>
        <v>0</v>
      </c>
      <c r="H211" s="140">
        <f ca="1">IFERROR(__xludf.DUMMYFUNCTION("""COMPUTED_VALUE"""),0)</f>
        <v>0</v>
      </c>
      <c r="I211" s="140">
        <f ca="1">IFERROR(__xludf.DUMMYFUNCTION("""COMPUTED_VALUE"""),0)</f>
        <v>0</v>
      </c>
      <c r="J211" s="140">
        <f ca="1">IFERROR(__xludf.DUMMYFUNCTION("""COMPUTED_VALUE"""),0)</f>
        <v>0</v>
      </c>
      <c r="K211" s="140">
        <f ca="1">IFERROR(__xludf.DUMMYFUNCTION("""COMPUTED_VALUE"""),0)</f>
        <v>0</v>
      </c>
      <c r="L211" s="140">
        <f ca="1">IFERROR(__xludf.DUMMYFUNCTION("""COMPUTED_VALUE"""),0)</f>
        <v>0</v>
      </c>
      <c r="M211" s="140">
        <f ca="1">IFERROR(__xludf.DUMMYFUNCTION("""COMPUTED_VALUE"""),0)</f>
        <v>0</v>
      </c>
      <c r="N211" s="140">
        <f ca="1">IFERROR(__xludf.DUMMYFUNCTION("""COMPUTED_VALUE"""),0)</f>
        <v>0</v>
      </c>
      <c r="O211" s="140">
        <f ca="1">IFERROR(__xludf.DUMMYFUNCTION("""COMPUTED_VALUE"""),0)</f>
        <v>0</v>
      </c>
      <c r="P211" s="140">
        <f ca="1">IFERROR(__xludf.DUMMYFUNCTION("""COMPUTED_VALUE"""),0)</f>
        <v>0</v>
      </c>
      <c r="Q211" s="288">
        <f ca="1">IFERROR(__xludf.DUMMYFUNCTION("""COMPUTED_VALUE"""),0)</f>
        <v>0</v>
      </c>
      <c r="R211" s="286"/>
      <c r="S211" s="291" t="e">
        <f ca="1">_xludf.ifs(A211="INDIA",E211/'Shared Summary by Dept_US$'!$B$31,A211="INDO",E211/'Shared Summary by Dept_US$'!$B$32,A211="BD",E211/'Shared Summary by Dept_US$'!$B$33,A211="Nepal",E211/'Shared Summary by Dept_US$'!$B$34,A211="US",E211/'Shared Summary by Dept_US$'!$B$35)</f>
        <v>#NAME?</v>
      </c>
      <c r="T211" s="292" t="s">
        <v>141</v>
      </c>
      <c r="U211" s="15"/>
      <c r="V211" s="15"/>
      <c r="W211" s="107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spans="1:34" ht="15.75" customHeight="1" x14ac:dyDescent="0.25">
      <c r="A212" s="139" t="s">
        <v>30</v>
      </c>
      <c r="B212" s="64" t="str">
        <f ca="1">IFERROR(__xludf.DUMMYFUNCTION("""COMPUTED_VALUE"""),"Office Expenses")</f>
        <v>Office Expenses</v>
      </c>
      <c r="C212" s="64" t="str">
        <f ca="1">IFERROR(__xludf.DUMMYFUNCTION("""COMPUTED_VALUE"""),"Software and Subscriptions")</f>
        <v>Software and Subscriptions</v>
      </c>
      <c r="D212" s="290">
        <f ca="1">IFERROR(__xludf.DUMMYFUNCTION("""COMPUTED_VALUE"""),93401)</f>
        <v>93401</v>
      </c>
      <c r="E212" s="140">
        <f ca="1">IFERROR(__xludf.DUMMYFUNCTION("""COMPUTED_VALUE"""),2530000)</f>
        <v>2530000</v>
      </c>
      <c r="F212" s="140">
        <f ca="1">IFERROR(__xludf.DUMMYFUNCTION("""COMPUTED_VALUE"""),190000)</f>
        <v>190000</v>
      </c>
      <c r="G212" s="140">
        <f ca="1">IFERROR(__xludf.DUMMYFUNCTION("""COMPUTED_VALUE"""),190000)</f>
        <v>190000</v>
      </c>
      <c r="H212" s="140">
        <f ca="1">IFERROR(__xludf.DUMMYFUNCTION("""COMPUTED_VALUE"""),440000)</f>
        <v>440000</v>
      </c>
      <c r="I212" s="140">
        <f ca="1">IFERROR(__xludf.DUMMYFUNCTION("""COMPUTED_VALUE"""),190000)</f>
        <v>190000</v>
      </c>
      <c r="J212" s="140">
        <f ca="1">IFERROR(__xludf.DUMMYFUNCTION("""COMPUTED_VALUE"""),190000)</f>
        <v>190000</v>
      </c>
      <c r="K212" s="140">
        <f ca="1">IFERROR(__xludf.DUMMYFUNCTION("""COMPUTED_VALUE"""),190000)</f>
        <v>190000</v>
      </c>
      <c r="L212" s="140">
        <f ca="1">IFERROR(__xludf.DUMMYFUNCTION("""COMPUTED_VALUE"""),190000)</f>
        <v>190000</v>
      </c>
      <c r="M212" s="140">
        <f ca="1">IFERROR(__xludf.DUMMYFUNCTION("""COMPUTED_VALUE"""),190000)</f>
        <v>190000</v>
      </c>
      <c r="N212" s="140">
        <f ca="1">IFERROR(__xludf.DUMMYFUNCTION("""COMPUTED_VALUE"""),190000)</f>
        <v>190000</v>
      </c>
      <c r="O212" s="140">
        <f ca="1">IFERROR(__xludf.DUMMYFUNCTION("""COMPUTED_VALUE"""),190000)</f>
        <v>190000</v>
      </c>
      <c r="P212" s="140">
        <f ca="1">IFERROR(__xludf.DUMMYFUNCTION("""COMPUTED_VALUE"""),190000)</f>
        <v>190000</v>
      </c>
      <c r="Q212" s="288">
        <f ca="1">IFERROR(__xludf.DUMMYFUNCTION("""COMPUTED_VALUE"""),190000)</f>
        <v>190000</v>
      </c>
      <c r="R212" s="286"/>
      <c r="S212" s="291" t="e">
        <f ca="1">_xludf.ifs(A212="INDIA",E212/'Shared Summary by Dept_US$'!$B$31,A212="INDO",E212/'Shared Summary by Dept_US$'!$B$32,A212="BD",E212/'Shared Summary by Dept_US$'!$B$33,A212="Nepal",E212/'Shared Summary by Dept_US$'!$B$34,A212="US",E212/'Shared Summary by Dept_US$'!$B$35)</f>
        <v>#NAME?</v>
      </c>
      <c r="T212" s="292" t="s">
        <v>141</v>
      </c>
      <c r="U212" s="15"/>
      <c r="V212" s="15"/>
      <c r="W212" s="107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spans="1:34" ht="15.75" customHeight="1" x14ac:dyDescent="0.25">
      <c r="A213" s="139" t="s">
        <v>30</v>
      </c>
      <c r="B213" s="64" t="str">
        <f ca="1">IFERROR(__xludf.DUMMYFUNCTION("""COMPUTED_VALUE"""),"Office Expenses")</f>
        <v>Office Expenses</v>
      </c>
      <c r="C213" s="64" t="str">
        <f ca="1">IFERROR(__xludf.DUMMYFUNCTION("""COMPUTED_VALUE"""),"Stationery &amp; Consumables")</f>
        <v>Stationery &amp; Consumables</v>
      </c>
      <c r="D213" s="290">
        <f ca="1">IFERROR(__xludf.DUMMYFUNCTION("""COMPUTED_VALUE"""),93404)</f>
        <v>93404</v>
      </c>
      <c r="E213" s="140">
        <f ca="1">IFERROR(__xludf.DUMMYFUNCTION("""COMPUTED_VALUE"""),0)</f>
        <v>0</v>
      </c>
      <c r="F213" s="140">
        <f ca="1">IFERROR(__xludf.DUMMYFUNCTION("""COMPUTED_VALUE"""),0)</f>
        <v>0</v>
      </c>
      <c r="G213" s="140">
        <f ca="1">IFERROR(__xludf.DUMMYFUNCTION("""COMPUTED_VALUE"""),0)</f>
        <v>0</v>
      </c>
      <c r="H213" s="140">
        <f ca="1">IFERROR(__xludf.DUMMYFUNCTION("""COMPUTED_VALUE"""),0)</f>
        <v>0</v>
      </c>
      <c r="I213" s="140">
        <f ca="1">IFERROR(__xludf.DUMMYFUNCTION("""COMPUTED_VALUE"""),0)</f>
        <v>0</v>
      </c>
      <c r="J213" s="140">
        <f ca="1">IFERROR(__xludf.DUMMYFUNCTION("""COMPUTED_VALUE"""),0)</f>
        <v>0</v>
      </c>
      <c r="K213" s="140">
        <f ca="1">IFERROR(__xludf.DUMMYFUNCTION("""COMPUTED_VALUE"""),0)</f>
        <v>0</v>
      </c>
      <c r="L213" s="140">
        <f ca="1">IFERROR(__xludf.DUMMYFUNCTION("""COMPUTED_VALUE"""),0)</f>
        <v>0</v>
      </c>
      <c r="M213" s="140">
        <f ca="1">IFERROR(__xludf.DUMMYFUNCTION("""COMPUTED_VALUE"""),0)</f>
        <v>0</v>
      </c>
      <c r="N213" s="140">
        <f ca="1">IFERROR(__xludf.DUMMYFUNCTION("""COMPUTED_VALUE"""),0)</f>
        <v>0</v>
      </c>
      <c r="O213" s="140">
        <f ca="1">IFERROR(__xludf.DUMMYFUNCTION("""COMPUTED_VALUE"""),0)</f>
        <v>0</v>
      </c>
      <c r="P213" s="140">
        <f ca="1">IFERROR(__xludf.DUMMYFUNCTION("""COMPUTED_VALUE"""),0)</f>
        <v>0</v>
      </c>
      <c r="Q213" s="288">
        <f ca="1">IFERROR(__xludf.DUMMYFUNCTION("""COMPUTED_VALUE"""),0)</f>
        <v>0</v>
      </c>
      <c r="R213" s="286"/>
      <c r="S213" s="291" t="e">
        <f ca="1">_xludf.ifs(A213="INDIA",E213/'Shared Summary by Dept_US$'!$B$31,A213="INDO",E213/'Shared Summary by Dept_US$'!$B$32,A213="BD",E213/'Shared Summary by Dept_US$'!$B$33,A213="Nepal",E213/'Shared Summary by Dept_US$'!$B$34,A213="US",E213/'Shared Summary by Dept_US$'!$B$35)</f>
        <v>#NAME?</v>
      </c>
      <c r="T213" s="292" t="s">
        <v>141</v>
      </c>
      <c r="U213" s="15"/>
      <c r="V213" s="15"/>
      <c r="W213" s="107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spans="1:34" ht="15.75" customHeight="1" x14ac:dyDescent="0.25">
      <c r="A214" s="139" t="s">
        <v>30</v>
      </c>
      <c r="B214" s="64" t="str">
        <f ca="1">IFERROR(__xludf.DUMMYFUNCTION("""COMPUTED_VALUE"""),"Office Expenses")</f>
        <v>Office Expenses</v>
      </c>
      <c r="C214" s="64" t="str">
        <f ca="1">IFERROR(__xludf.DUMMYFUNCTION("""COMPUTED_VALUE"""),"Office Equipment Expense")</f>
        <v>Office Equipment Expense</v>
      </c>
      <c r="D214" s="290">
        <f ca="1">IFERROR(__xludf.DUMMYFUNCTION("""COMPUTED_VALUE"""),93405)</f>
        <v>93405</v>
      </c>
      <c r="E214" s="140">
        <f ca="1">IFERROR(__xludf.DUMMYFUNCTION("""COMPUTED_VALUE"""),0)</f>
        <v>0</v>
      </c>
      <c r="F214" s="140">
        <f ca="1">IFERROR(__xludf.DUMMYFUNCTION("""COMPUTED_VALUE"""),0)</f>
        <v>0</v>
      </c>
      <c r="G214" s="140">
        <f ca="1">IFERROR(__xludf.DUMMYFUNCTION("""COMPUTED_VALUE"""),0)</f>
        <v>0</v>
      </c>
      <c r="H214" s="140">
        <f ca="1">IFERROR(__xludf.DUMMYFUNCTION("""COMPUTED_VALUE"""),0)</f>
        <v>0</v>
      </c>
      <c r="I214" s="140">
        <f ca="1">IFERROR(__xludf.DUMMYFUNCTION("""COMPUTED_VALUE"""),0)</f>
        <v>0</v>
      </c>
      <c r="J214" s="140">
        <f ca="1">IFERROR(__xludf.DUMMYFUNCTION("""COMPUTED_VALUE"""),0)</f>
        <v>0</v>
      </c>
      <c r="K214" s="140">
        <f ca="1">IFERROR(__xludf.DUMMYFUNCTION("""COMPUTED_VALUE"""),0)</f>
        <v>0</v>
      </c>
      <c r="L214" s="140">
        <f ca="1">IFERROR(__xludf.DUMMYFUNCTION("""COMPUTED_VALUE"""),0)</f>
        <v>0</v>
      </c>
      <c r="M214" s="140">
        <f ca="1">IFERROR(__xludf.DUMMYFUNCTION("""COMPUTED_VALUE"""),0)</f>
        <v>0</v>
      </c>
      <c r="N214" s="140">
        <f ca="1">IFERROR(__xludf.DUMMYFUNCTION("""COMPUTED_VALUE"""),0)</f>
        <v>0</v>
      </c>
      <c r="O214" s="140">
        <f ca="1">IFERROR(__xludf.DUMMYFUNCTION("""COMPUTED_VALUE"""),0)</f>
        <v>0</v>
      </c>
      <c r="P214" s="140">
        <f ca="1">IFERROR(__xludf.DUMMYFUNCTION("""COMPUTED_VALUE"""),0)</f>
        <v>0</v>
      </c>
      <c r="Q214" s="288">
        <f ca="1">IFERROR(__xludf.DUMMYFUNCTION("""COMPUTED_VALUE"""),0)</f>
        <v>0</v>
      </c>
      <c r="R214" s="286"/>
      <c r="S214" s="291" t="e">
        <f ca="1">_xludf.ifs(A214="INDIA",E214/'Shared Summary by Dept_US$'!$B$31,A214="INDO",E214/'Shared Summary by Dept_US$'!$B$32,A214="BD",E214/'Shared Summary by Dept_US$'!$B$33,A214="Nepal",E214/'Shared Summary by Dept_US$'!$B$34,A214="US",E214/'Shared Summary by Dept_US$'!$B$35)</f>
        <v>#NAME?</v>
      </c>
      <c r="T214" s="292" t="s">
        <v>141</v>
      </c>
      <c r="U214" s="15"/>
      <c r="V214" s="15"/>
      <c r="W214" s="107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spans="1:34" ht="15.75" customHeight="1" x14ac:dyDescent="0.25">
      <c r="A215" s="139" t="s">
        <v>30</v>
      </c>
      <c r="B215" s="64" t="str">
        <f ca="1">IFERROR(__xludf.DUMMYFUNCTION("""COMPUTED_VALUE"""),"Professional &amp; Consultancy Charges")</f>
        <v>Professional &amp; Consultancy Charges</v>
      </c>
      <c r="C215" s="64" t="str">
        <f ca="1">IFERROR(__xludf.DUMMYFUNCTION("""COMPUTED_VALUE"""),"Admin Consultants")</f>
        <v>Admin Consultants</v>
      </c>
      <c r="D215" s="290">
        <f ca="1">IFERROR(__xludf.DUMMYFUNCTION("""COMPUTED_VALUE"""),93703)</f>
        <v>93703</v>
      </c>
      <c r="E215" s="140">
        <f ca="1">IFERROR(__xludf.DUMMYFUNCTION("""COMPUTED_VALUE"""),0)</f>
        <v>0</v>
      </c>
      <c r="F215" s="140">
        <f ca="1">IFERROR(__xludf.DUMMYFUNCTION("""COMPUTED_VALUE"""),0)</f>
        <v>0</v>
      </c>
      <c r="G215" s="140">
        <f ca="1">IFERROR(__xludf.DUMMYFUNCTION("""COMPUTED_VALUE"""),0)</f>
        <v>0</v>
      </c>
      <c r="H215" s="140">
        <f ca="1">IFERROR(__xludf.DUMMYFUNCTION("""COMPUTED_VALUE"""),0)</f>
        <v>0</v>
      </c>
      <c r="I215" s="140">
        <f ca="1">IFERROR(__xludf.DUMMYFUNCTION("""COMPUTED_VALUE"""),0)</f>
        <v>0</v>
      </c>
      <c r="J215" s="140">
        <f ca="1">IFERROR(__xludf.DUMMYFUNCTION("""COMPUTED_VALUE"""),0)</f>
        <v>0</v>
      </c>
      <c r="K215" s="140">
        <f ca="1">IFERROR(__xludf.DUMMYFUNCTION("""COMPUTED_VALUE"""),0)</f>
        <v>0</v>
      </c>
      <c r="L215" s="140">
        <f ca="1">IFERROR(__xludf.DUMMYFUNCTION("""COMPUTED_VALUE"""),0)</f>
        <v>0</v>
      </c>
      <c r="M215" s="140">
        <f ca="1">IFERROR(__xludf.DUMMYFUNCTION("""COMPUTED_VALUE"""),0)</f>
        <v>0</v>
      </c>
      <c r="N215" s="140">
        <f ca="1">IFERROR(__xludf.DUMMYFUNCTION("""COMPUTED_VALUE"""),0)</f>
        <v>0</v>
      </c>
      <c r="O215" s="140">
        <f ca="1">IFERROR(__xludf.DUMMYFUNCTION("""COMPUTED_VALUE"""),0)</f>
        <v>0</v>
      </c>
      <c r="P215" s="140">
        <f ca="1">IFERROR(__xludf.DUMMYFUNCTION("""COMPUTED_VALUE"""),0)</f>
        <v>0</v>
      </c>
      <c r="Q215" s="288">
        <f ca="1">IFERROR(__xludf.DUMMYFUNCTION("""COMPUTED_VALUE"""),0)</f>
        <v>0</v>
      </c>
      <c r="R215" s="286"/>
      <c r="S215" s="291" t="e">
        <f ca="1">_xludf.ifs(A215="INDIA",E215/'Shared Summary by Dept_US$'!$B$31,A215="INDO",E215/'Shared Summary by Dept_US$'!$B$32,A215="BD",E215/'Shared Summary by Dept_US$'!$B$33,A215="Nepal",E215/'Shared Summary by Dept_US$'!$B$34,A215="US",E215/'Shared Summary by Dept_US$'!$B$35)</f>
        <v>#NAME?</v>
      </c>
      <c r="T215" s="292" t="s">
        <v>141</v>
      </c>
      <c r="U215" s="15"/>
      <c r="V215" s="15"/>
      <c r="W215" s="107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spans="1:34" ht="15.75" customHeight="1" x14ac:dyDescent="0.25">
      <c r="A216" s="139" t="s">
        <v>30</v>
      </c>
      <c r="B216" s="64" t="str">
        <f ca="1">IFERROR(__xludf.DUMMYFUNCTION("""COMPUTED_VALUE"""),"Fixed Assets")</f>
        <v>Fixed Assets</v>
      </c>
      <c r="C216" s="64" t="str">
        <f ca="1">IFERROR(__xludf.DUMMYFUNCTION("""COMPUTED_VALUE"""),"Laptop/ Printer")</f>
        <v>Laptop/ Printer</v>
      </c>
      <c r="D216" s="290">
        <f ca="1">IFERROR(__xludf.DUMMYFUNCTION("""COMPUTED_VALUE"""),11301)</f>
        <v>11301</v>
      </c>
      <c r="E216" s="140">
        <f ca="1">IFERROR(__xludf.DUMMYFUNCTION("""COMPUTED_VALUE"""),1090000)</f>
        <v>1090000</v>
      </c>
      <c r="F216" s="140">
        <f ca="1">IFERROR(__xludf.DUMMYFUNCTION("""COMPUTED_VALUE"""),0)</f>
        <v>0</v>
      </c>
      <c r="G216" s="140">
        <f ca="1">IFERROR(__xludf.DUMMYFUNCTION("""COMPUTED_VALUE"""),1090000)</f>
        <v>1090000</v>
      </c>
      <c r="H216" s="140">
        <f ca="1">IFERROR(__xludf.DUMMYFUNCTION("""COMPUTED_VALUE"""),0)</f>
        <v>0</v>
      </c>
      <c r="I216" s="140">
        <f ca="1">IFERROR(__xludf.DUMMYFUNCTION("""COMPUTED_VALUE"""),0)</f>
        <v>0</v>
      </c>
      <c r="J216" s="140">
        <f ca="1">IFERROR(__xludf.DUMMYFUNCTION("""COMPUTED_VALUE"""),0)</f>
        <v>0</v>
      </c>
      <c r="K216" s="140">
        <f ca="1">IFERROR(__xludf.DUMMYFUNCTION("""COMPUTED_VALUE"""),0)</f>
        <v>0</v>
      </c>
      <c r="L216" s="140">
        <f ca="1">IFERROR(__xludf.DUMMYFUNCTION("""COMPUTED_VALUE"""),0)</f>
        <v>0</v>
      </c>
      <c r="M216" s="140">
        <f ca="1">IFERROR(__xludf.DUMMYFUNCTION("""COMPUTED_VALUE"""),0)</f>
        <v>0</v>
      </c>
      <c r="N216" s="140">
        <f ca="1">IFERROR(__xludf.DUMMYFUNCTION("""COMPUTED_VALUE"""),0)</f>
        <v>0</v>
      </c>
      <c r="O216" s="140">
        <f ca="1">IFERROR(__xludf.DUMMYFUNCTION("""COMPUTED_VALUE"""),0)</f>
        <v>0</v>
      </c>
      <c r="P216" s="140">
        <f ca="1">IFERROR(__xludf.DUMMYFUNCTION("""COMPUTED_VALUE"""),0)</f>
        <v>0</v>
      </c>
      <c r="Q216" s="288">
        <f ca="1">IFERROR(__xludf.DUMMYFUNCTION("""COMPUTED_VALUE"""),0)</f>
        <v>0</v>
      </c>
      <c r="R216" s="286"/>
      <c r="S216" s="291" t="e">
        <f ca="1">_xludf.ifs(A216="INDIA",E216/'Shared Summary by Dept_US$'!$B$31,A216="INDO",E216/'Shared Summary by Dept_US$'!$B$32,A216="BD",E216/'Shared Summary by Dept_US$'!$B$33,A216="Nepal",E216/'Shared Summary by Dept_US$'!$B$34,A216="US",E216/'Shared Summary by Dept_US$'!$B$35)</f>
        <v>#NAME?</v>
      </c>
      <c r="T216" s="292" t="s">
        <v>141</v>
      </c>
      <c r="U216" s="15"/>
      <c r="V216" s="15"/>
      <c r="W216" s="107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spans="1:34" ht="15.75" customHeight="1" x14ac:dyDescent="0.25">
      <c r="A217" s="139" t="s">
        <v>30</v>
      </c>
      <c r="B217" s="64" t="str">
        <f ca="1">IFERROR(__xludf.DUMMYFUNCTION("""COMPUTED_VALUE"""),"Salaries and Wages")</f>
        <v>Salaries and Wages</v>
      </c>
      <c r="C217" s="64" t="str">
        <f ca="1">IFERROR(__xludf.DUMMYFUNCTION("""COMPUTED_VALUE"""),"Salaries and Wages")</f>
        <v>Salaries and Wages</v>
      </c>
      <c r="D217" s="290"/>
      <c r="E217" s="140">
        <f ca="1">IFERROR(__xludf.DUMMYFUNCTION("""COMPUTED_VALUE"""),1515000)</f>
        <v>1515000</v>
      </c>
      <c r="F217" s="140">
        <f ca="1">IFERROR(__xludf.DUMMYFUNCTION("""COMPUTED_VALUE"""),0)</f>
        <v>0</v>
      </c>
      <c r="G217" s="140">
        <f ca="1">IFERROR(__xludf.DUMMYFUNCTION("""COMPUTED_VALUE"""),0)</f>
        <v>0</v>
      </c>
      <c r="H217" s="140">
        <f ca="1">IFERROR(__xludf.DUMMYFUNCTION("""COMPUTED_VALUE"""),151500)</f>
        <v>151500</v>
      </c>
      <c r="I217" s="140">
        <f ca="1">IFERROR(__xludf.DUMMYFUNCTION("""COMPUTED_VALUE"""),151500)</f>
        <v>151500</v>
      </c>
      <c r="J217" s="140">
        <f ca="1">IFERROR(__xludf.DUMMYFUNCTION("""COMPUTED_VALUE"""),151500)</f>
        <v>151500</v>
      </c>
      <c r="K217" s="140">
        <f ca="1">IFERROR(__xludf.DUMMYFUNCTION("""COMPUTED_VALUE"""),151500)</f>
        <v>151500</v>
      </c>
      <c r="L217" s="140">
        <f ca="1">IFERROR(__xludf.DUMMYFUNCTION("""COMPUTED_VALUE"""),151500)</f>
        <v>151500</v>
      </c>
      <c r="M217" s="140">
        <f ca="1">IFERROR(__xludf.DUMMYFUNCTION("""COMPUTED_VALUE"""),151500)</f>
        <v>151500</v>
      </c>
      <c r="N217" s="140">
        <f ca="1">IFERROR(__xludf.DUMMYFUNCTION("""COMPUTED_VALUE"""),151500)</f>
        <v>151500</v>
      </c>
      <c r="O217" s="140">
        <f ca="1">IFERROR(__xludf.DUMMYFUNCTION("""COMPUTED_VALUE"""),151500)</f>
        <v>151500</v>
      </c>
      <c r="P217" s="140">
        <f ca="1">IFERROR(__xludf.DUMMYFUNCTION("""COMPUTED_VALUE"""),151500)</f>
        <v>151500</v>
      </c>
      <c r="Q217" s="288">
        <f ca="1">IFERROR(__xludf.DUMMYFUNCTION("""COMPUTED_VALUE"""),151500)</f>
        <v>151500</v>
      </c>
      <c r="R217" s="286"/>
      <c r="S217" s="291" t="e">
        <f ca="1">_xludf.ifs(A217="INDIA",E217/'Shared Summary by Dept_US$'!$B$31,A217="INDO",E217/'Shared Summary by Dept_US$'!$B$32,A217="BD",E217/'Shared Summary by Dept_US$'!$B$33,A217="Nepal",E217/'Shared Summary by Dept_US$'!$B$34,A217="US",E217/'Shared Summary by Dept_US$'!$B$35)</f>
        <v>#NAME?</v>
      </c>
      <c r="T217" s="292" t="s">
        <v>145</v>
      </c>
      <c r="U217" s="15"/>
      <c r="V217" s="15"/>
      <c r="W217" s="107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spans="1:34" ht="15.75" customHeight="1" x14ac:dyDescent="0.25">
      <c r="A218" s="139" t="s">
        <v>30</v>
      </c>
      <c r="B218" s="64" t="str">
        <f ca="1">IFERROR(__xludf.DUMMYFUNCTION("""COMPUTED_VALUE"""),"Health and Retirement Benefits")</f>
        <v>Health and Retirement Benefits</v>
      </c>
      <c r="C218" s="64" t="str">
        <f ca="1">IFERROR(__xludf.DUMMYFUNCTION("""COMPUTED_VALUE"""),"Gratuity &amp; Bonus")</f>
        <v>Gratuity &amp; Bonus</v>
      </c>
      <c r="D218" s="290"/>
      <c r="E218" s="140">
        <f ca="1">IFERROR(__xludf.DUMMYFUNCTION("""COMPUTED_VALUE"""),0)</f>
        <v>0</v>
      </c>
      <c r="F218" s="140">
        <f ca="1">IFERROR(__xludf.DUMMYFUNCTION("""COMPUTED_VALUE"""),0)</f>
        <v>0</v>
      </c>
      <c r="G218" s="140">
        <f ca="1">IFERROR(__xludf.DUMMYFUNCTION("""COMPUTED_VALUE"""),0)</f>
        <v>0</v>
      </c>
      <c r="H218" s="140">
        <f ca="1">IFERROR(__xludf.DUMMYFUNCTION("""COMPUTED_VALUE"""),0)</f>
        <v>0</v>
      </c>
      <c r="I218" s="140">
        <f ca="1">IFERROR(__xludf.DUMMYFUNCTION("""COMPUTED_VALUE"""),0)</f>
        <v>0</v>
      </c>
      <c r="J218" s="140">
        <f ca="1">IFERROR(__xludf.DUMMYFUNCTION("""COMPUTED_VALUE"""),0)</f>
        <v>0</v>
      </c>
      <c r="K218" s="140">
        <f ca="1">IFERROR(__xludf.DUMMYFUNCTION("""COMPUTED_VALUE"""),0)</f>
        <v>0</v>
      </c>
      <c r="L218" s="140">
        <f ca="1">IFERROR(__xludf.DUMMYFUNCTION("""COMPUTED_VALUE"""),0)</f>
        <v>0</v>
      </c>
      <c r="M218" s="140">
        <f ca="1">IFERROR(__xludf.DUMMYFUNCTION("""COMPUTED_VALUE"""),0)</f>
        <v>0</v>
      </c>
      <c r="N218" s="140">
        <f ca="1">IFERROR(__xludf.DUMMYFUNCTION("""COMPUTED_VALUE"""),0)</f>
        <v>0</v>
      </c>
      <c r="O218" s="140">
        <f ca="1">IFERROR(__xludf.DUMMYFUNCTION("""COMPUTED_VALUE"""),0)</f>
        <v>0</v>
      </c>
      <c r="P218" s="140">
        <f ca="1">IFERROR(__xludf.DUMMYFUNCTION("""COMPUTED_VALUE"""),0)</f>
        <v>0</v>
      </c>
      <c r="Q218" s="288">
        <f ca="1">IFERROR(__xludf.DUMMYFUNCTION("""COMPUTED_VALUE"""),0)</f>
        <v>0</v>
      </c>
      <c r="R218" s="286"/>
      <c r="S218" s="291" t="e">
        <f ca="1">_xludf.ifs(A218="INDIA",E218/'Shared Summary by Dept_US$'!$B$31,A218="INDO",E218/'Shared Summary by Dept_US$'!$B$32,A218="BD",E218/'Shared Summary by Dept_US$'!$B$33,A218="Nepal",E218/'Shared Summary by Dept_US$'!$B$34,A218="US",E218/'Shared Summary by Dept_US$'!$B$35)</f>
        <v>#NAME?</v>
      </c>
      <c r="T218" s="292" t="s">
        <v>145</v>
      </c>
      <c r="U218" s="15"/>
      <c r="V218" s="15"/>
      <c r="W218" s="107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spans="1:34" ht="15.75" customHeight="1" x14ac:dyDescent="0.25">
      <c r="A219" s="139" t="s">
        <v>30</v>
      </c>
      <c r="B219" s="64" t="str">
        <f ca="1">IFERROR(__xludf.DUMMYFUNCTION("""COMPUTED_VALUE"""),"Other Staff Expenses")</f>
        <v>Other Staff Expenses</v>
      </c>
      <c r="C219" s="64" t="str">
        <f ca="1">IFERROR(__xludf.DUMMYFUNCTION("""COMPUTED_VALUE"""),"Staff Training, Learning &amp; Development Exp")</f>
        <v>Staff Training, Learning &amp; Development Exp</v>
      </c>
      <c r="D219" s="290">
        <f ca="1">IFERROR(__xludf.DUMMYFUNCTION("""COMPUTED_VALUE"""),91302)</f>
        <v>91302</v>
      </c>
      <c r="E219" s="140">
        <f ca="1">IFERROR(__xludf.DUMMYFUNCTION("""COMPUTED_VALUE"""),0)</f>
        <v>0</v>
      </c>
      <c r="F219" s="140">
        <f ca="1">IFERROR(__xludf.DUMMYFUNCTION("""COMPUTED_VALUE"""),0)</f>
        <v>0</v>
      </c>
      <c r="G219" s="140">
        <f ca="1">IFERROR(__xludf.DUMMYFUNCTION("""COMPUTED_VALUE"""),0)</f>
        <v>0</v>
      </c>
      <c r="H219" s="140">
        <f ca="1">IFERROR(__xludf.DUMMYFUNCTION("""COMPUTED_VALUE"""),0)</f>
        <v>0</v>
      </c>
      <c r="I219" s="140">
        <f ca="1">IFERROR(__xludf.DUMMYFUNCTION("""COMPUTED_VALUE"""),0)</f>
        <v>0</v>
      </c>
      <c r="J219" s="140">
        <f ca="1">IFERROR(__xludf.DUMMYFUNCTION("""COMPUTED_VALUE"""),0)</f>
        <v>0</v>
      </c>
      <c r="K219" s="140">
        <f ca="1">IFERROR(__xludf.DUMMYFUNCTION("""COMPUTED_VALUE"""),0)</f>
        <v>0</v>
      </c>
      <c r="L219" s="140">
        <f ca="1">IFERROR(__xludf.DUMMYFUNCTION("""COMPUTED_VALUE"""),0)</f>
        <v>0</v>
      </c>
      <c r="M219" s="140">
        <f ca="1">IFERROR(__xludf.DUMMYFUNCTION("""COMPUTED_VALUE"""),0)</f>
        <v>0</v>
      </c>
      <c r="N219" s="140">
        <f ca="1">IFERROR(__xludf.DUMMYFUNCTION("""COMPUTED_VALUE"""),0)</f>
        <v>0</v>
      </c>
      <c r="O219" s="140">
        <f ca="1">IFERROR(__xludf.DUMMYFUNCTION("""COMPUTED_VALUE"""),0)</f>
        <v>0</v>
      </c>
      <c r="P219" s="140">
        <f ca="1">IFERROR(__xludf.DUMMYFUNCTION("""COMPUTED_VALUE"""),0)</f>
        <v>0</v>
      </c>
      <c r="Q219" s="288">
        <f ca="1">IFERROR(__xludf.DUMMYFUNCTION("""COMPUTED_VALUE"""),0)</f>
        <v>0</v>
      </c>
      <c r="R219" s="286"/>
      <c r="S219" s="291" t="e">
        <f ca="1">_xludf.ifs(A219="INDIA",E219/'Shared Summary by Dept_US$'!$B$31,A219="INDO",E219/'Shared Summary by Dept_US$'!$B$32,A219="BD",E219/'Shared Summary by Dept_US$'!$B$33,A219="Nepal",E219/'Shared Summary by Dept_US$'!$B$34,A219="US",E219/'Shared Summary by Dept_US$'!$B$35)</f>
        <v>#NAME?</v>
      </c>
      <c r="T219" s="292" t="s">
        <v>145</v>
      </c>
      <c r="U219" s="15"/>
      <c r="V219" s="15"/>
      <c r="W219" s="107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spans="1:34" ht="15.75" customHeight="1" x14ac:dyDescent="0.25">
      <c r="A220" s="139" t="s">
        <v>30</v>
      </c>
      <c r="B220" s="64" t="str">
        <f ca="1">IFERROR(__xludf.DUMMYFUNCTION("""COMPUTED_VALUE"""),"Resource Persons")</f>
        <v>Resource Persons</v>
      </c>
      <c r="C220" s="64" t="str">
        <f ca="1">IFERROR(__xludf.DUMMYFUNCTION("""COMPUTED_VALUE"""),"Program Resource Consultant (EHA)")</f>
        <v>Program Resource Consultant (EHA)</v>
      </c>
      <c r="D220" s="290">
        <f ca="1">IFERROR(__xludf.DUMMYFUNCTION("""COMPUTED_VALUE"""),92101)</f>
        <v>92101</v>
      </c>
      <c r="E220" s="140">
        <f ca="1">IFERROR(__xludf.DUMMYFUNCTION("""COMPUTED_VALUE"""),0)</f>
        <v>0</v>
      </c>
      <c r="F220" s="140">
        <f ca="1">IFERROR(__xludf.DUMMYFUNCTION("""COMPUTED_VALUE"""),0)</f>
        <v>0</v>
      </c>
      <c r="G220" s="140">
        <f ca="1">IFERROR(__xludf.DUMMYFUNCTION("""COMPUTED_VALUE"""),0)</f>
        <v>0</v>
      </c>
      <c r="H220" s="140">
        <f ca="1">IFERROR(__xludf.DUMMYFUNCTION("""COMPUTED_VALUE"""),0)</f>
        <v>0</v>
      </c>
      <c r="I220" s="140">
        <f ca="1">IFERROR(__xludf.DUMMYFUNCTION("""COMPUTED_VALUE"""),0)</f>
        <v>0</v>
      </c>
      <c r="J220" s="140">
        <f ca="1">IFERROR(__xludf.DUMMYFUNCTION("""COMPUTED_VALUE"""),0)</f>
        <v>0</v>
      </c>
      <c r="K220" s="140">
        <f ca="1">IFERROR(__xludf.DUMMYFUNCTION("""COMPUTED_VALUE"""),0)</f>
        <v>0</v>
      </c>
      <c r="L220" s="140">
        <f ca="1">IFERROR(__xludf.DUMMYFUNCTION("""COMPUTED_VALUE"""),0)</f>
        <v>0</v>
      </c>
      <c r="M220" s="140">
        <f ca="1">IFERROR(__xludf.DUMMYFUNCTION("""COMPUTED_VALUE"""),0)</f>
        <v>0</v>
      </c>
      <c r="N220" s="140">
        <f ca="1">IFERROR(__xludf.DUMMYFUNCTION("""COMPUTED_VALUE"""),0)</f>
        <v>0</v>
      </c>
      <c r="O220" s="140">
        <f ca="1">IFERROR(__xludf.DUMMYFUNCTION("""COMPUTED_VALUE"""),0)</f>
        <v>0</v>
      </c>
      <c r="P220" s="140">
        <f ca="1">IFERROR(__xludf.DUMMYFUNCTION("""COMPUTED_VALUE"""),0)</f>
        <v>0</v>
      </c>
      <c r="Q220" s="288">
        <f ca="1">IFERROR(__xludf.DUMMYFUNCTION("""COMPUTED_VALUE"""),0)</f>
        <v>0</v>
      </c>
      <c r="R220" s="286"/>
      <c r="S220" s="291" t="e">
        <f ca="1">_xludf.ifs(A220="INDIA",E220/'Shared Summary by Dept_US$'!$B$31,A220="INDO",E220/'Shared Summary by Dept_US$'!$B$32,A220="BD",E220/'Shared Summary by Dept_US$'!$B$33,A220="Nepal",E220/'Shared Summary by Dept_US$'!$B$34,A220="US",E220/'Shared Summary by Dept_US$'!$B$35)</f>
        <v>#NAME?</v>
      </c>
      <c r="T220" s="292" t="s">
        <v>145</v>
      </c>
      <c r="U220" s="15"/>
      <c r="V220" s="15"/>
      <c r="W220" s="107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spans="1:34" ht="15.75" customHeight="1" x14ac:dyDescent="0.25">
      <c r="A221" s="139" t="s">
        <v>30</v>
      </c>
      <c r="B221" s="64" t="str">
        <f ca="1">IFERROR(__xludf.DUMMYFUNCTION("""COMPUTED_VALUE"""),"Travel &amp; Lodging Expenses")</f>
        <v>Travel &amp; Lodging Expenses</v>
      </c>
      <c r="C221" s="64" t="str">
        <f ca="1">IFERROR(__xludf.DUMMYFUNCTION("""COMPUTED_VALUE"""),"Hotel Accomodation")</f>
        <v>Hotel Accomodation</v>
      </c>
      <c r="D221" s="290">
        <f ca="1">IFERROR(__xludf.DUMMYFUNCTION("""COMPUTED_VALUE"""),93101)</f>
        <v>93101</v>
      </c>
      <c r="E221" s="140">
        <f ca="1">IFERROR(__xludf.DUMMYFUNCTION("""COMPUTED_VALUE"""),14000)</f>
        <v>14000</v>
      </c>
      <c r="F221" s="140">
        <f ca="1">IFERROR(__xludf.DUMMYFUNCTION("""COMPUTED_VALUE"""),0)</f>
        <v>0</v>
      </c>
      <c r="G221" s="140">
        <f ca="1">IFERROR(__xludf.DUMMYFUNCTION("""COMPUTED_VALUE"""),0)</f>
        <v>0</v>
      </c>
      <c r="H221" s="140">
        <f ca="1">IFERROR(__xludf.DUMMYFUNCTION("""COMPUTED_VALUE"""),0)</f>
        <v>0</v>
      </c>
      <c r="I221" s="140">
        <f ca="1">IFERROR(__xludf.DUMMYFUNCTION("""COMPUTED_VALUE"""),7000)</f>
        <v>7000</v>
      </c>
      <c r="J221" s="140">
        <f ca="1">IFERROR(__xludf.DUMMYFUNCTION("""COMPUTED_VALUE"""),0)</f>
        <v>0</v>
      </c>
      <c r="K221" s="140">
        <f ca="1">IFERROR(__xludf.DUMMYFUNCTION("""COMPUTED_VALUE"""),0)</f>
        <v>0</v>
      </c>
      <c r="L221" s="140">
        <f ca="1">IFERROR(__xludf.DUMMYFUNCTION("""COMPUTED_VALUE"""),0)</f>
        <v>0</v>
      </c>
      <c r="M221" s="140">
        <f ca="1">IFERROR(__xludf.DUMMYFUNCTION("""COMPUTED_VALUE"""),7000)</f>
        <v>7000</v>
      </c>
      <c r="N221" s="140">
        <f ca="1">IFERROR(__xludf.DUMMYFUNCTION("""COMPUTED_VALUE"""),0)</f>
        <v>0</v>
      </c>
      <c r="O221" s="140">
        <f ca="1">IFERROR(__xludf.DUMMYFUNCTION("""COMPUTED_VALUE"""),0)</f>
        <v>0</v>
      </c>
      <c r="P221" s="140">
        <f ca="1">IFERROR(__xludf.DUMMYFUNCTION("""COMPUTED_VALUE"""),0)</f>
        <v>0</v>
      </c>
      <c r="Q221" s="288">
        <f ca="1">IFERROR(__xludf.DUMMYFUNCTION("""COMPUTED_VALUE"""),0)</f>
        <v>0</v>
      </c>
      <c r="R221" s="286"/>
      <c r="S221" s="291" t="e">
        <f ca="1">_xludf.ifs(A221="INDIA",E221/'Shared Summary by Dept_US$'!$B$31,A221="INDO",E221/'Shared Summary by Dept_US$'!$B$32,A221="BD",E221/'Shared Summary by Dept_US$'!$B$33,A221="Nepal",E221/'Shared Summary by Dept_US$'!$B$34,A221="US",E221/'Shared Summary by Dept_US$'!$B$35)</f>
        <v>#NAME?</v>
      </c>
      <c r="T221" s="292" t="s">
        <v>145</v>
      </c>
      <c r="U221" s="15"/>
      <c r="V221" s="15"/>
      <c r="W221" s="107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spans="1:34" ht="15.75" customHeight="1" x14ac:dyDescent="0.25">
      <c r="A222" s="139" t="s">
        <v>30</v>
      </c>
      <c r="B222" s="64" t="str">
        <f ca="1">IFERROR(__xludf.DUMMYFUNCTION("""COMPUTED_VALUE"""),"Travel &amp; Lodging Expenses")</f>
        <v>Travel &amp; Lodging Expenses</v>
      </c>
      <c r="C222" s="64" t="str">
        <f ca="1">IFERROR(__xludf.DUMMYFUNCTION("""COMPUTED_VALUE"""),"Food Expenses")</f>
        <v>Food Expenses</v>
      </c>
      <c r="D222" s="290">
        <f ca="1">IFERROR(__xludf.DUMMYFUNCTION("""COMPUTED_VALUE"""),93102)</f>
        <v>93102</v>
      </c>
      <c r="E222" s="140">
        <f ca="1">IFERROR(__xludf.DUMMYFUNCTION("""COMPUTED_VALUE"""),4800)</f>
        <v>4800</v>
      </c>
      <c r="F222" s="140">
        <f ca="1">IFERROR(__xludf.DUMMYFUNCTION("""COMPUTED_VALUE"""),0)</f>
        <v>0</v>
      </c>
      <c r="G222" s="140">
        <f ca="1">IFERROR(__xludf.DUMMYFUNCTION("""COMPUTED_VALUE"""),0)</f>
        <v>0</v>
      </c>
      <c r="H222" s="140">
        <f ca="1">IFERROR(__xludf.DUMMYFUNCTION("""COMPUTED_VALUE"""),0)</f>
        <v>0</v>
      </c>
      <c r="I222" s="140">
        <f ca="1">IFERROR(__xludf.DUMMYFUNCTION("""COMPUTED_VALUE"""),2400)</f>
        <v>2400</v>
      </c>
      <c r="J222" s="140">
        <f ca="1">IFERROR(__xludf.DUMMYFUNCTION("""COMPUTED_VALUE"""),0)</f>
        <v>0</v>
      </c>
      <c r="K222" s="140">
        <f ca="1">IFERROR(__xludf.DUMMYFUNCTION("""COMPUTED_VALUE"""),0)</f>
        <v>0</v>
      </c>
      <c r="L222" s="140">
        <f ca="1">IFERROR(__xludf.DUMMYFUNCTION("""COMPUTED_VALUE"""),0)</f>
        <v>0</v>
      </c>
      <c r="M222" s="140">
        <f ca="1">IFERROR(__xludf.DUMMYFUNCTION("""COMPUTED_VALUE"""),2400)</f>
        <v>2400</v>
      </c>
      <c r="N222" s="140">
        <f ca="1">IFERROR(__xludf.DUMMYFUNCTION("""COMPUTED_VALUE"""),0)</f>
        <v>0</v>
      </c>
      <c r="O222" s="140">
        <f ca="1">IFERROR(__xludf.DUMMYFUNCTION("""COMPUTED_VALUE"""),0)</f>
        <v>0</v>
      </c>
      <c r="P222" s="140">
        <f ca="1">IFERROR(__xludf.DUMMYFUNCTION("""COMPUTED_VALUE"""),0)</f>
        <v>0</v>
      </c>
      <c r="Q222" s="288">
        <f ca="1">IFERROR(__xludf.DUMMYFUNCTION("""COMPUTED_VALUE"""),0)</f>
        <v>0</v>
      </c>
      <c r="R222" s="286"/>
      <c r="S222" s="291" t="e">
        <f ca="1">_xludf.ifs(A222="INDIA",E222/'Shared Summary by Dept_US$'!$B$31,A222="INDO",E222/'Shared Summary by Dept_US$'!$B$32,A222="BD",E222/'Shared Summary by Dept_US$'!$B$33,A222="Nepal",E222/'Shared Summary by Dept_US$'!$B$34,A222="US",E222/'Shared Summary by Dept_US$'!$B$35)</f>
        <v>#NAME?</v>
      </c>
      <c r="T222" s="292" t="s">
        <v>145</v>
      </c>
      <c r="U222" s="15"/>
      <c r="V222" s="15"/>
      <c r="W222" s="107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spans="1:34" ht="15.75" customHeight="1" x14ac:dyDescent="0.25">
      <c r="A223" s="139" t="s">
        <v>30</v>
      </c>
      <c r="B223" s="64" t="str">
        <f ca="1">IFERROR(__xludf.DUMMYFUNCTION("""COMPUTED_VALUE"""),"Travel &amp; Lodging Expenses")</f>
        <v>Travel &amp; Lodging Expenses</v>
      </c>
      <c r="C223" s="64" t="str">
        <f ca="1">IFERROR(__xludf.DUMMYFUNCTION("""COMPUTED_VALUE"""),"Air fare")</f>
        <v>Air fare</v>
      </c>
      <c r="D223" s="290">
        <f ca="1">IFERROR(__xludf.DUMMYFUNCTION("""COMPUTED_VALUE"""),93103)</f>
        <v>93103</v>
      </c>
      <c r="E223" s="140">
        <f ca="1">IFERROR(__xludf.DUMMYFUNCTION("""COMPUTED_VALUE"""),22000)</f>
        <v>22000</v>
      </c>
      <c r="F223" s="140">
        <f ca="1">IFERROR(__xludf.DUMMYFUNCTION("""COMPUTED_VALUE"""),0)</f>
        <v>0</v>
      </c>
      <c r="G223" s="140">
        <f ca="1">IFERROR(__xludf.DUMMYFUNCTION("""COMPUTED_VALUE"""),0)</f>
        <v>0</v>
      </c>
      <c r="H223" s="140">
        <f ca="1">IFERROR(__xludf.DUMMYFUNCTION("""COMPUTED_VALUE"""),0)</f>
        <v>0</v>
      </c>
      <c r="I223" s="140">
        <f ca="1">IFERROR(__xludf.DUMMYFUNCTION("""COMPUTED_VALUE"""),11000)</f>
        <v>11000</v>
      </c>
      <c r="J223" s="140">
        <f ca="1">IFERROR(__xludf.DUMMYFUNCTION("""COMPUTED_VALUE"""),0)</f>
        <v>0</v>
      </c>
      <c r="K223" s="140">
        <f ca="1">IFERROR(__xludf.DUMMYFUNCTION("""COMPUTED_VALUE"""),0)</f>
        <v>0</v>
      </c>
      <c r="L223" s="140">
        <f ca="1">IFERROR(__xludf.DUMMYFUNCTION("""COMPUTED_VALUE"""),0)</f>
        <v>0</v>
      </c>
      <c r="M223" s="140">
        <f ca="1">IFERROR(__xludf.DUMMYFUNCTION("""COMPUTED_VALUE"""),11000)</f>
        <v>11000</v>
      </c>
      <c r="N223" s="140">
        <f ca="1">IFERROR(__xludf.DUMMYFUNCTION("""COMPUTED_VALUE"""),0)</f>
        <v>0</v>
      </c>
      <c r="O223" s="140">
        <f ca="1">IFERROR(__xludf.DUMMYFUNCTION("""COMPUTED_VALUE"""),0)</f>
        <v>0</v>
      </c>
      <c r="P223" s="140">
        <f ca="1">IFERROR(__xludf.DUMMYFUNCTION("""COMPUTED_VALUE"""),0)</f>
        <v>0</v>
      </c>
      <c r="Q223" s="288">
        <f ca="1">IFERROR(__xludf.DUMMYFUNCTION("""COMPUTED_VALUE"""),0)</f>
        <v>0</v>
      </c>
      <c r="R223" s="286"/>
      <c r="S223" s="291" t="e">
        <f ca="1">_xludf.ifs(A223="INDIA",E223/'Shared Summary by Dept_US$'!$B$31,A223="INDO",E223/'Shared Summary by Dept_US$'!$B$32,A223="BD",E223/'Shared Summary by Dept_US$'!$B$33,A223="Nepal",E223/'Shared Summary by Dept_US$'!$B$34,A223="US",E223/'Shared Summary by Dept_US$'!$B$35)</f>
        <v>#NAME?</v>
      </c>
      <c r="T223" s="292" t="s">
        <v>145</v>
      </c>
      <c r="U223" s="15"/>
      <c r="V223" s="15"/>
      <c r="W223" s="107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spans="1:34" ht="15.75" customHeight="1" x14ac:dyDescent="0.25">
      <c r="A224" s="139" t="s">
        <v>30</v>
      </c>
      <c r="B224" s="64" t="str">
        <f ca="1">IFERROR(__xludf.DUMMYFUNCTION("""COMPUTED_VALUE"""),"Travel &amp; Lodging Expenses")</f>
        <v>Travel &amp; Lodging Expenses</v>
      </c>
      <c r="C224" s="64" t="str">
        <f ca="1">IFERROR(__xludf.DUMMYFUNCTION("""COMPUTED_VALUE"""),"Cab/Auto")</f>
        <v>Cab/Auto</v>
      </c>
      <c r="D224" s="290">
        <f ca="1">IFERROR(__xludf.DUMMYFUNCTION("""COMPUTED_VALUE"""),93104)</f>
        <v>93104</v>
      </c>
      <c r="E224" s="140">
        <f ca="1">IFERROR(__xludf.DUMMYFUNCTION("""COMPUTED_VALUE"""),13200)</f>
        <v>13200</v>
      </c>
      <c r="F224" s="140">
        <f ca="1">IFERROR(__xludf.DUMMYFUNCTION("""COMPUTED_VALUE"""),0)</f>
        <v>0</v>
      </c>
      <c r="G224" s="140">
        <f ca="1">IFERROR(__xludf.DUMMYFUNCTION("""COMPUTED_VALUE"""),0)</f>
        <v>0</v>
      </c>
      <c r="H224" s="140">
        <f ca="1">IFERROR(__xludf.DUMMYFUNCTION("""COMPUTED_VALUE"""),0)</f>
        <v>0</v>
      </c>
      <c r="I224" s="140">
        <f ca="1">IFERROR(__xludf.DUMMYFUNCTION("""COMPUTED_VALUE"""),6600)</f>
        <v>6600</v>
      </c>
      <c r="J224" s="140">
        <f ca="1">IFERROR(__xludf.DUMMYFUNCTION("""COMPUTED_VALUE"""),0)</f>
        <v>0</v>
      </c>
      <c r="K224" s="140">
        <f ca="1">IFERROR(__xludf.DUMMYFUNCTION("""COMPUTED_VALUE"""),0)</f>
        <v>0</v>
      </c>
      <c r="L224" s="140">
        <f ca="1">IFERROR(__xludf.DUMMYFUNCTION("""COMPUTED_VALUE"""),0)</f>
        <v>0</v>
      </c>
      <c r="M224" s="140">
        <f ca="1">IFERROR(__xludf.DUMMYFUNCTION("""COMPUTED_VALUE"""),6600)</f>
        <v>6600</v>
      </c>
      <c r="N224" s="140">
        <f ca="1">IFERROR(__xludf.DUMMYFUNCTION("""COMPUTED_VALUE"""),0)</f>
        <v>0</v>
      </c>
      <c r="O224" s="140">
        <f ca="1">IFERROR(__xludf.DUMMYFUNCTION("""COMPUTED_VALUE"""),0)</f>
        <v>0</v>
      </c>
      <c r="P224" s="140">
        <f ca="1">IFERROR(__xludf.DUMMYFUNCTION("""COMPUTED_VALUE"""),0)</f>
        <v>0</v>
      </c>
      <c r="Q224" s="288">
        <f ca="1">IFERROR(__xludf.DUMMYFUNCTION("""COMPUTED_VALUE"""),0)</f>
        <v>0</v>
      </c>
      <c r="R224" s="286"/>
      <c r="S224" s="291" t="e">
        <f ca="1">_xludf.ifs(A224="INDIA",E224/'Shared Summary by Dept_US$'!$B$31,A224="INDO",E224/'Shared Summary by Dept_US$'!$B$32,A224="BD",E224/'Shared Summary by Dept_US$'!$B$33,A224="Nepal",E224/'Shared Summary by Dept_US$'!$B$34,A224="US",E224/'Shared Summary by Dept_US$'!$B$35)</f>
        <v>#NAME?</v>
      </c>
      <c r="T224" s="292" t="s">
        <v>145</v>
      </c>
      <c r="U224" s="15"/>
      <c r="V224" s="15"/>
      <c r="W224" s="107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spans="1:34" ht="15.75" customHeight="1" x14ac:dyDescent="0.25">
      <c r="A225" s="139" t="s">
        <v>30</v>
      </c>
      <c r="B225" s="64" t="str">
        <f ca="1">IFERROR(__xludf.DUMMYFUNCTION("""COMPUTED_VALUE"""),"Travel &amp; Lodging Expenses")</f>
        <v>Travel &amp; Lodging Expenses</v>
      </c>
      <c r="C225" s="64" t="str">
        <f ca="1">IFERROR(__xludf.DUMMYFUNCTION("""COMPUTED_VALUE"""),"Bus/Train")</f>
        <v>Bus/Train</v>
      </c>
      <c r="D225" s="290">
        <f ca="1">IFERROR(__xludf.DUMMYFUNCTION("""COMPUTED_VALUE"""),93105)</f>
        <v>93105</v>
      </c>
      <c r="E225" s="140">
        <f ca="1">IFERROR(__xludf.DUMMYFUNCTION("""COMPUTED_VALUE"""),1600)</f>
        <v>1600</v>
      </c>
      <c r="F225" s="140">
        <f ca="1">IFERROR(__xludf.DUMMYFUNCTION("""COMPUTED_VALUE"""),0)</f>
        <v>0</v>
      </c>
      <c r="G225" s="140">
        <f ca="1">IFERROR(__xludf.DUMMYFUNCTION("""COMPUTED_VALUE"""),0)</f>
        <v>0</v>
      </c>
      <c r="H225" s="140">
        <f ca="1">IFERROR(__xludf.DUMMYFUNCTION("""COMPUTED_VALUE"""),0)</f>
        <v>0</v>
      </c>
      <c r="I225" s="140">
        <f ca="1">IFERROR(__xludf.DUMMYFUNCTION("""COMPUTED_VALUE"""),800)</f>
        <v>800</v>
      </c>
      <c r="J225" s="140">
        <f ca="1">IFERROR(__xludf.DUMMYFUNCTION("""COMPUTED_VALUE"""),0)</f>
        <v>0</v>
      </c>
      <c r="K225" s="140">
        <f ca="1">IFERROR(__xludf.DUMMYFUNCTION("""COMPUTED_VALUE"""),0)</f>
        <v>0</v>
      </c>
      <c r="L225" s="140">
        <f ca="1">IFERROR(__xludf.DUMMYFUNCTION("""COMPUTED_VALUE"""),0)</f>
        <v>0</v>
      </c>
      <c r="M225" s="140">
        <f ca="1">IFERROR(__xludf.DUMMYFUNCTION("""COMPUTED_VALUE"""),800)</f>
        <v>800</v>
      </c>
      <c r="N225" s="140">
        <f ca="1">IFERROR(__xludf.DUMMYFUNCTION("""COMPUTED_VALUE"""),0)</f>
        <v>0</v>
      </c>
      <c r="O225" s="140">
        <f ca="1">IFERROR(__xludf.DUMMYFUNCTION("""COMPUTED_VALUE"""),0)</f>
        <v>0</v>
      </c>
      <c r="P225" s="140">
        <f ca="1">IFERROR(__xludf.DUMMYFUNCTION("""COMPUTED_VALUE"""),0)</f>
        <v>0</v>
      </c>
      <c r="Q225" s="288">
        <f ca="1">IFERROR(__xludf.DUMMYFUNCTION("""COMPUTED_VALUE"""),0)</f>
        <v>0</v>
      </c>
      <c r="R225" s="286"/>
      <c r="S225" s="291" t="e">
        <f ca="1">_xludf.ifs(A225="INDIA",E225/'Shared Summary by Dept_US$'!$B$31,A225="INDO",E225/'Shared Summary by Dept_US$'!$B$32,A225="BD",E225/'Shared Summary by Dept_US$'!$B$33,A225="Nepal",E225/'Shared Summary by Dept_US$'!$B$34,A225="US",E225/'Shared Summary by Dept_US$'!$B$35)</f>
        <v>#NAME?</v>
      </c>
      <c r="T225" s="292" t="s">
        <v>145</v>
      </c>
      <c r="U225" s="15"/>
      <c r="V225" s="15"/>
      <c r="W225" s="107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spans="1:34" ht="15.75" customHeight="1" x14ac:dyDescent="0.25">
      <c r="A226" s="139" t="s">
        <v>30</v>
      </c>
      <c r="B226" s="64" t="str">
        <f ca="1">IFERROR(__xludf.DUMMYFUNCTION("""COMPUTED_VALUE"""),"Travel &amp; Lodging Expenses")</f>
        <v>Travel &amp; Lodging Expenses</v>
      </c>
      <c r="C226" s="64" t="str">
        <f ca="1">IFERROR(__xludf.DUMMYFUNCTION("""COMPUTED_VALUE"""),"Other incidental travel costs")</f>
        <v>Other incidental travel costs</v>
      </c>
      <c r="D226" s="290">
        <f ca="1">IFERROR(__xludf.DUMMYFUNCTION("""COMPUTED_VALUE"""),93106)</f>
        <v>93106</v>
      </c>
      <c r="E226" s="140">
        <f ca="1">IFERROR(__xludf.DUMMYFUNCTION("""COMPUTED_VALUE"""),400)</f>
        <v>400</v>
      </c>
      <c r="F226" s="140">
        <f ca="1">IFERROR(__xludf.DUMMYFUNCTION("""COMPUTED_VALUE"""),0)</f>
        <v>0</v>
      </c>
      <c r="G226" s="140">
        <f ca="1">IFERROR(__xludf.DUMMYFUNCTION("""COMPUTED_VALUE"""),0)</f>
        <v>0</v>
      </c>
      <c r="H226" s="140">
        <f ca="1">IFERROR(__xludf.DUMMYFUNCTION("""COMPUTED_VALUE"""),0)</f>
        <v>0</v>
      </c>
      <c r="I226" s="140">
        <f ca="1">IFERROR(__xludf.DUMMYFUNCTION("""COMPUTED_VALUE"""),200)</f>
        <v>200</v>
      </c>
      <c r="J226" s="140">
        <f ca="1">IFERROR(__xludf.DUMMYFUNCTION("""COMPUTED_VALUE"""),0)</f>
        <v>0</v>
      </c>
      <c r="K226" s="140">
        <f ca="1">IFERROR(__xludf.DUMMYFUNCTION("""COMPUTED_VALUE"""),0)</f>
        <v>0</v>
      </c>
      <c r="L226" s="140">
        <f ca="1">IFERROR(__xludf.DUMMYFUNCTION("""COMPUTED_VALUE"""),0)</f>
        <v>0</v>
      </c>
      <c r="M226" s="140">
        <f ca="1">IFERROR(__xludf.DUMMYFUNCTION("""COMPUTED_VALUE"""),200)</f>
        <v>200</v>
      </c>
      <c r="N226" s="140">
        <f ca="1">IFERROR(__xludf.DUMMYFUNCTION("""COMPUTED_VALUE"""),0)</f>
        <v>0</v>
      </c>
      <c r="O226" s="140">
        <f ca="1">IFERROR(__xludf.DUMMYFUNCTION("""COMPUTED_VALUE"""),0)</f>
        <v>0</v>
      </c>
      <c r="P226" s="140">
        <f ca="1">IFERROR(__xludf.DUMMYFUNCTION("""COMPUTED_VALUE"""),0)</f>
        <v>0</v>
      </c>
      <c r="Q226" s="288">
        <f ca="1">IFERROR(__xludf.DUMMYFUNCTION("""COMPUTED_VALUE"""),0)</f>
        <v>0</v>
      </c>
      <c r="R226" s="286"/>
      <c r="S226" s="291" t="e">
        <f ca="1">_xludf.ifs(A226="INDIA",E226/'Shared Summary by Dept_US$'!$B$31,A226="INDO",E226/'Shared Summary by Dept_US$'!$B$32,A226="BD",E226/'Shared Summary by Dept_US$'!$B$33,A226="Nepal",E226/'Shared Summary by Dept_US$'!$B$34,A226="US",E226/'Shared Summary by Dept_US$'!$B$35)</f>
        <v>#NAME?</v>
      </c>
      <c r="T226" s="292" t="s">
        <v>145</v>
      </c>
      <c r="U226" s="15"/>
      <c r="V226" s="15"/>
      <c r="W226" s="107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spans="1:34" ht="15.75" customHeight="1" x14ac:dyDescent="0.25">
      <c r="A227" s="139" t="s">
        <v>30</v>
      </c>
      <c r="B227" s="64" t="str">
        <f ca="1">IFERROR(__xludf.DUMMYFUNCTION("""COMPUTED_VALUE"""),"Supplies &amp; Printing Costs")</f>
        <v>Supplies &amp; Printing Costs</v>
      </c>
      <c r="C227" s="64" t="str">
        <f ca="1">IFERROR(__xludf.DUMMYFUNCTION("""COMPUTED_VALUE"""),"Other Direct Expenses")</f>
        <v>Other Direct Expenses</v>
      </c>
      <c r="D227" s="290">
        <f ca="1">IFERROR(__xludf.DUMMYFUNCTION("""COMPUTED_VALUE"""),93201)</f>
        <v>93201</v>
      </c>
      <c r="E227" s="140">
        <f ca="1">IFERROR(__xludf.DUMMYFUNCTION("""COMPUTED_VALUE"""),0)</f>
        <v>0</v>
      </c>
      <c r="F227" s="140">
        <f ca="1">IFERROR(__xludf.DUMMYFUNCTION("""COMPUTED_VALUE"""),0)</f>
        <v>0</v>
      </c>
      <c r="G227" s="140">
        <f ca="1">IFERROR(__xludf.DUMMYFUNCTION("""COMPUTED_VALUE"""),0)</f>
        <v>0</v>
      </c>
      <c r="H227" s="140">
        <f ca="1">IFERROR(__xludf.DUMMYFUNCTION("""COMPUTED_VALUE"""),0)</f>
        <v>0</v>
      </c>
      <c r="I227" s="140">
        <f ca="1">IFERROR(__xludf.DUMMYFUNCTION("""COMPUTED_VALUE"""),0)</f>
        <v>0</v>
      </c>
      <c r="J227" s="140">
        <f ca="1">IFERROR(__xludf.DUMMYFUNCTION("""COMPUTED_VALUE"""),0)</f>
        <v>0</v>
      </c>
      <c r="K227" s="140">
        <f ca="1">IFERROR(__xludf.DUMMYFUNCTION("""COMPUTED_VALUE"""),0)</f>
        <v>0</v>
      </c>
      <c r="L227" s="140">
        <f ca="1">IFERROR(__xludf.DUMMYFUNCTION("""COMPUTED_VALUE"""),0)</f>
        <v>0</v>
      </c>
      <c r="M227" s="140">
        <f ca="1">IFERROR(__xludf.DUMMYFUNCTION("""COMPUTED_VALUE"""),0)</f>
        <v>0</v>
      </c>
      <c r="N227" s="140">
        <f ca="1">IFERROR(__xludf.DUMMYFUNCTION("""COMPUTED_VALUE"""),0)</f>
        <v>0</v>
      </c>
      <c r="O227" s="140">
        <f ca="1">IFERROR(__xludf.DUMMYFUNCTION("""COMPUTED_VALUE"""),0)</f>
        <v>0</v>
      </c>
      <c r="P227" s="140">
        <f ca="1">IFERROR(__xludf.DUMMYFUNCTION("""COMPUTED_VALUE"""),0)</f>
        <v>0</v>
      </c>
      <c r="Q227" s="288">
        <f ca="1">IFERROR(__xludf.DUMMYFUNCTION("""COMPUTED_VALUE"""),0)</f>
        <v>0</v>
      </c>
      <c r="R227" s="286"/>
      <c r="S227" s="291" t="e">
        <f ca="1">_xludf.ifs(A227="INDIA",E227/'Shared Summary by Dept_US$'!$B$31,A227="INDO",E227/'Shared Summary by Dept_US$'!$B$32,A227="BD",E227/'Shared Summary by Dept_US$'!$B$33,A227="Nepal",E227/'Shared Summary by Dept_US$'!$B$34,A227="US",E227/'Shared Summary by Dept_US$'!$B$35)</f>
        <v>#NAME?</v>
      </c>
      <c r="T227" s="292" t="s">
        <v>145</v>
      </c>
      <c r="U227" s="15"/>
      <c r="V227" s="15"/>
      <c r="W227" s="107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spans="1:34" ht="15.75" customHeight="1" x14ac:dyDescent="0.25">
      <c r="A228" s="139" t="s">
        <v>30</v>
      </c>
      <c r="B228" s="64" t="str">
        <f ca="1">IFERROR(__xludf.DUMMYFUNCTION("""COMPUTED_VALUE"""),"Supplies &amp; Printing Costs")</f>
        <v>Supplies &amp; Printing Costs</v>
      </c>
      <c r="C228" s="64" t="str">
        <f ca="1">IFERROR(__xludf.DUMMYFUNCTION("""COMPUTED_VALUE"""),"Printing expenses")</f>
        <v>Printing expenses</v>
      </c>
      <c r="D228" s="290">
        <f ca="1">IFERROR(__xludf.DUMMYFUNCTION("""COMPUTED_VALUE"""),93204)</f>
        <v>93204</v>
      </c>
      <c r="E228" s="140">
        <f ca="1">IFERROR(__xludf.DUMMYFUNCTION("""COMPUTED_VALUE"""),0)</f>
        <v>0</v>
      </c>
      <c r="F228" s="140">
        <f ca="1">IFERROR(__xludf.DUMMYFUNCTION("""COMPUTED_VALUE"""),0)</f>
        <v>0</v>
      </c>
      <c r="G228" s="140">
        <f ca="1">IFERROR(__xludf.DUMMYFUNCTION("""COMPUTED_VALUE"""),0)</f>
        <v>0</v>
      </c>
      <c r="H228" s="140">
        <f ca="1">IFERROR(__xludf.DUMMYFUNCTION("""COMPUTED_VALUE"""),0)</f>
        <v>0</v>
      </c>
      <c r="I228" s="140">
        <f ca="1">IFERROR(__xludf.DUMMYFUNCTION("""COMPUTED_VALUE"""),0)</f>
        <v>0</v>
      </c>
      <c r="J228" s="140">
        <f ca="1">IFERROR(__xludf.DUMMYFUNCTION("""COMPUTED_VALUE"""),0)</f>
        <v>0</v>
      </c>
      <c r="K228" s="140">
        <f ca="1">IFERROR(__xludf.DUMMYFUNCTION("""COMPUTED_VALUE"""),0)</f>
        <v>0</v>
      </c>
      <c r="L228" s="140">
        <f ca="1">IFERROR(__xludf.DUMMYFUNCTION("""COMPUTED_VALUE"""),0)</f>
        <v>0</v>
      </c>
      <c r="M228" s="140">
        <f ca="1">IFERROR(__xludf.DUMMYFUNCTION("""COMPUTED_VALUE"""),0)</f>
        <v>0</v>
      </c>
      <c r="N228" s="140">
        <f ca="1">IFERROR(__xludf.DUMMYFUNCTION("""COMPUTED_VALUE"""),0)</f>
        <v>0</v>
      </c>
      <c r="O228" s="140">
        <f ca="1">IFERROR(__xludf.DUMMYFUNCTION("""COMPUTED_VALUE"""),0)</f>
        <v>0</v>
      </c>
      <c r="P228" s="140">
        <f ca="1">IFERROR(__xludf.DUMMYFUNCTION("""COMPUTED_VALUE"""),0)</f>
        <v>0</v>
      </c>
      <c r="Q228" s="288">
        <f ca="1">IFERROR(__xludf.DUMMYFUNCTION("""COMPUTED_VALUE"""),0)</f>
        <v>0</v>
      </c>
      <c r="R228" s="286"/>
      <c r="S228" s="291" t="e">
        <f ca="1">_xludf.ifs(A228="INDIA",E228/'Shared Summary by Dept_US$'!$B$31,A228="INDO",E228/'Shared Summary by Dept_US$'!$B$32,A228="BD",E228/'Shared Summary by Dept_US$'!$B$33,A228="Nepal",E228/'Shared Summary by Dept_US$'!$B$34,A228="US",E228/'Shared Summary by Dept_US$'!$B$35)</f>
        <v>#NAME?</v>
      </c>
      <c r="T228" s="292" t="s">
        <v>145</v>
      </c>
      <c r="U228" s="15"/>
      <c r="V228" s="15"/>
      <c r="W228" s="107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spans="1:34" ht="15.75" customHeight="1" x14ac:dyDescent="0.25">
      <c r="A229" s="139" t="s">
        <v>30</v>
      </c>
      <c r="B229" s="64" t="str">
        <f ca="1">IFERROR(__xludf.DUMMYFUNCTION("""COMPUTED_VALUE"""),"Communication Cost")</f>
        <v>Communication Cost</v>
      </c>
      <c r="C229" s="64" t="str">
        <f ca="1">IFERROR(__xludf.DUMMYFUNCTION("""COMPUTED_VALUE"""),"Internet Expenses")</f>
        <v>Internet Expenses</v>
      </c>
      <c r="D229" s="290">
        <f ca="1">IFERROR(__xludf.DUMMYFUNCTION("""COMPUTED_VALUE"""),93301)</f>
        <v>93301</v>
      </c>
      <c r="E229" s="140">
        <f ca="1">IFERROR(__xludf.DUMMYFUNCTION("""COMPUTED_VALUE"""),0)</f>
        <v>0</v>
      </c>
      <c r="F229" s="140">
        <f ca="1">IFERROR(__xludf.DUMMYFUNCTION("""COMPUTED_VALUE"""),0)</f>
        <v>0</v>
      </c>
      <c r="G229" s="140">
        <f ca="1">IFERROR(__xludf.DUMMYFUNCTION("""COMPUTED_VALUE"""),0)</f>
        <v>0</v>
      </c>
      <c r="H229" s="140">
        <f ca="1">IFERROR(__xludf.DUMMYFUNCTION("""COMPUTED_VALUE"""),0)</f>
        <v>0</v>
      </c>
      <c r="I229" s="140">
        <f ca="1">IFERROR(__xludf.DUMMYFUNCTION("""COMPUTED_VALUE"""),0)</f>
        <v>0</v>
      </c>
      <c r="J229" s="140">
        <f ca="1">IFERROR(__xludf.DUMMYFUNCTION("""COMPUTED_VALUE"""),0)</f>
        <v>0</v>
      </c>
      <c r="K229" s="140">
        <f ca="1">IFERROR(__xludf.DUMMYFUNCTION("""COMPUTED_VALUE"""),0)</f>
        <v>0</v>
      </c>
      <c r="L229" s="140">
        <f ca="1">IFERROR(__xludf.DUMMYFUNCTION("""COMPUTED_VALUE"""),0)</f>
        <v>0</v>
      </c>
      <c r="M229" s="140">
        <f ca="1">IFERROR(__xludf.DUMMYFUNCTION("""COMPUTED_VALUE"""),0)</f>
        <v>0</v>
      </c>
      <c r="N229" s="140">
        <f ca="1">IFERROR(__xludf.DUMMYFUNCTION("""COMPUTED_VALUE"""),0)</f>
        <v>0</v>
      </c>
      <c r="O229" s="140">
        <f ca="1">IFERROR(__xludf.DUMMYFUNCTION("""COMPUTED_VALUE"""),0)</f>
        <v>0</v>
      </c>
      <c r="P229" s="140">
        <f ca="1">IFERROR(__xludf.DUMMYFUNCTION("""COMPUTED_VALUE"""),0)</f>
        <v>0</v>
      </c>
      <c r="Q229" s="288">
        <f ca="1">IFERROR(__xludf.DUMMYFUNCTION("""COMPUTED_VALUE"""),0)</f>
        <v>0</v>
      </c>
      <c r="R229" s="286"/>
      <c r="S229" s="291" t="e">
        <f ca="1">_xludf.ifs(A229="INDIA",E229/'Shared Summary by Dept_US$'!$B$31,A229="INDO",E229/'Shared Summary by Dept_US$'!$B$32,A229="BD",E229/'Shared Summary by Dept_US$'!$B$33,A229="Nepal",E229/'Shared Summary by Dept_US$'!$B$34,A229="US",E229/'Shared Summary by Dept_US$'!$B$35)</f>
        <v>#NAME?</v>
      </c>
      <c r="T229" s="292" t="s">
        <v>145</v>
      </c>
      <c r="U229" s="15"/>
      <c r="V229" s="15"/>
      <c r="W229" s="107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spans="1:34" ht="15.75" customHeight="1" x14ac:dyDescent="0.25">
      <c r="A230" s="139" t="s">
        <v>30</v>
      </c>
      <c r="B230" s="64" t="str">
        <f ca="1">IFERROR(__xludf.DUMMYFUNCTION("""COMPUTED_VALUE"""),"Communication Cost")</f>
        <v>Communication Cost</v>
      </c>
      <c r="C230" s="64" t="str">
        <f ca="1">IFERROR(__xludf.DUMMYFUNCTION("""COMPUTED_VALUE"""),"Postage &amp; Courier Expenses")</f>
        <v>Postage &amp; Courier Expenses</v>
      </c>
      <c r="D230" s="290">
        <f ca="1">IFERROR(__xludf.DUMMYFUNCTION("""COMPUTED_VALUE"""),93302)</f>
        <v>93302</v>
      </c>
      <c r="E230" s="140">
        <f ca="1">IFERROR(__xludf.DUMMYFUNCTION("""COMPUTED_VALUE"""),0)</f>
        <v>0</v>
      </c>
      <c r="F230" s="140">
        <f ca="1">IFERROR(__xludf.DUMMYFUNCTION("""COMPUTED_VALUE"""),0)</f>
        <v>0</v>
      </c>
      <c r="G230" s="140">
        <f ca="1">IFERROR(__xludf.DUMMYFUNCTION("""COMPUTED_VALUE"""),0)</f>
        <v>0</v>
      </c>
      <c r="H230" s="140">
        <f ca="1">IFERROR(__xludf.DUMMYFUNCTION("""COMPUTED_VALUE"""),0)</f>
        <v>0</v>
      </c>
      <c r="I230" s="140">
        <f ca="1">IFERROR(__xludf.DUMMYFUNCTION("""COMPUTED_VALUE"""),0)</f>
        <v>0</v>
      </c>
      <c r="J230" s="140">
        <f ca="1">IFERROR(__xludf.DUMMYFUNCTION("""COMPUTED_VALUE"""),0)</f>
        <v>0</v>
      </c>
      <c r="K230" s="140">
        <f ca="1">IFERROR(__xludf.DUMMYFUNCTION("""COMPUTED_VALUE"""),0)</f>
        <v>0</v>
      </c>
      <c r="L230" s="140">
        <f ca="1">IFERROR(__xludf.DUMMYFUNCTION("""COMPUTED_VALUE"""),0)</f>
        <v>0</v>
      </c>
      <c r="M230" s="140">
        <f ca="1">IFERROR(__xludf.DUMMYFUNCTION("""COMPUTED_VALUE"""),0)</f>
        <v>0</v>
      </c>
      <c r="N230" s="140">
        <f ca="1">IFERROR(__xludf.DUMMYFUNCTION("""COMPUTED_VALUE"""),0)</f>
        <v>0</v>
      </c>
      <c r="O230" s="140">
        <f ca="1">IFERROR(__xludf.DUMMYFUNCTION("""COMPUTED_VALUE"""),0)</f>
        <v>0</v>
      </c>
      <c r="P230" s="140">
        <f ca="1">IFERROR(__xludf.DUMMYFUNCTION("""COMPUTED_VALUE"""),0)</f>
        <v>0</v>
      </c>
      <c r="Q230" s="288">
        <f ca="1">IFERROR(__xludf.DUMMYFUNCTION("""COMPUTED_VALUE"""),0)</f>
        <v>0</v>
      </c>
      <c r="R230" s="286"/>
      <c r="S230" s="291" t="e">
        <f ca="1">_xludf.ifs(A230="INDIA",E230/'Shared Summary by Dept_US$'!$B$31,A230="INDO",E230/'Shared Summary by Dept_US$'!$B$32,A230="BD",E230/'Shared Summary by Dept_US$'!$B$33,A230="Nepal",E230/'Shared Summary by Dept_US$'!$B$34,A230="US",E230/'Shared Summary by Dept_US$'!$B$35)</f>
        <v>#NAME?</v>
      </c>
      <c r="T230" s="292" t="s">
        <v>145</v>
      </c>
      <c r="U230" s="15"/>
      <c r="V230" s="15"/>
      <c r="W230" s="107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spans="1:34" ht="15.75" customHeight="1" x14ac:dyDescent="0.25">
      <c r="A231" s="139" t="s">
        <v>30</v>
      </c>
      <c r="B231" s="64" t="str">
        <f ca="1">IFERROR(__xludf.DUMMYFUNCTION("""COMPUTED_VALUE"""),"Communication Cost")</f>
        <v>Communication Cost</v>
      </c>
      <c r="C231" s="64" t="str">
        <f ca="1">IFERROR(__xludf.DUMMYFUNCTION("""COMPUTED_VALUE"""),"Telecommunication expenses")</f>
        <v>Telecommunication expenses</v>
      </c>
      <c r="D231" s="290">
        <f ca="1">IFERROR(__xludf.DUMMYFUNCTION("""COMPUTED_VALUE"""),93303)</f>
        <v>93303</v>
      </c>
      <c r="E231" s="140">
        <f ca="1">IFERROR(__xludf.DUMMYFUNCTION("""COMPUTED_VALUE"""),0)</f>
        <v>0</v>
      </c>
      <c r="F231" s="140">
        <f ca="1">IFERROR(__xludf.DUMMYFUNCTION("""COMPUTED_VALUE"""),0)</f>
        <v>0</v>
      </c>
      <c r="G231" s="140">
        <f ca="1">IFERROR(__xludf.DUMMYFUNCTION("""COMPUTED_VALUE"""),0)</f>
        <v>0</v>
      </c>
      <c r="H231" s="140">
        <f ca="1">IFERROR(__xludf.DUMMYFUNCTION("""COMPUTED_VALUE"""),0)</f>
        <v>0</v>
      </c>
      <c r="I231" s="140">
        <f ca="1">IFERROR(__xludf.DUMMYFUNCTION("""COMPUTED_VALUE"""),0)</f>
        <v>0</v>
      </c>
      <c r="J231" s="140">
        <f ca="1">IFERROR(__xludf.DUMMYFUNCTION("""COMPUTED_VALUE"""),0)</f>
        <v>0</v>
      </c>
      <c r="K231" s="140">
        <f ca="1">IFERROR(__xludf.DUMMYFUNCTION("""COMPUTED_VALUE"""),0)</f>
        <v>0</v>
      </c>
      <c r="L231" s="140">
        <f ca="1">IFERROR(__xludf.DUMMYFUNCTION("""COMPUTED_VALUE"""),0)</f>
        <v>0</v>
      </c>
      <c r="M231" s="140">
        <f ca="1">IFERROR(__xludf.DUMMYFUNCTION("""COMPUTED_VALUE"""),0)</f>
        <v>0</v>
      </c>
      <c r="N231" s="140">
        <f ca="1">IFERROR(__xludf.DUMMYFUNCTION("""COMPUTED_VALUE"""),0)</f>
        <v>0</v>
      </c>
      <c r="O231" s="140">
        <f ca="1">IFERROR(__xludf.DUMMYFUNCTION("""COMPUTED_VALUE"""),0)</f>
        <v>0</v>
      </c>
      <c r="P231" s="140">
        <f ca="1">IFERROR(__xludf.DUMMYFUNCTION("""COMPUTED_VALUE"""),0)</f>
        <v>0</v>
      </c>
      <c r="Q231" s="288">
        <f ca="1">IFERROR(__xludf.DUMMYFUNCTION("""COMPUTED_VALUE"""),0)</f>
        <v>0</v>
      </c>
      <c r="R231" s="286"/>
      <c r="S231" s="291" t="e">
        <f ca="1">_xludf.ifs(A231="INDIA",E231/'Shared Summary by Dept_US$'!$B$31,A231="INDO",E231/'Shared Summary by Dept_US$'!$B$32,A231="BD",E231/'Shared Summary by Dept_US$'!$B$33,A231="Nepal",E231/'Shared Summary by Dept_US$'!$B$34,A231="US",E231/'Shared Summary by Dept_US$'!$B$35)</f>
        <v>#NAME?</v>
      </c>
      <c r="T231" s="292" t="s">
        <v>145</v>
      </c>
      <c r="U231" s="15"/>
      <c r="V231" s="15"/>
      <c r="W231" s="107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spans="1:34" ht="15.75" customHeight="1" x14ac:dyDescent="0.25">
      <c r="A232" s="139" t="s">
        <v>30</v>
      </c>
      <c r="B232" s="64" t="str">
        <f ca="1">IFERROR(__xludf.DUMMYFUNCTION("""COMPUTED_VALUE"""),"Office Expenses")</f>
        <v>Office Expenses</v>
      </c>
      <c r="C232" s="64" t="str">
        <f ca="1">IFERROR(__xludf.DUMMYFUNCTION("""COMPUTED_VALUE"""),"Software and Subscriptions")</f>
        <v>Software and Subscriptions</v>
      </c>
      <c r="D232" s="290">
        <f ca="1">IFERROR(__xludf.DUMMYFUNCTION("""COMPUTED_VALUE"""),93401)</f>
        <v>93401</v>
      </c>
      <c r="E232" s="140">
        <f ca="1">IFERROR(__xludf.DUMMYFUNCTION("""COMPUTED_VALUE"""),0)</f>
        <v>0</v>
      </c>
      <c r="F232" s="140">
        <f ca="1">IFERROR(__xludf.DUMMYFUNCTION("""COMPUTED_VALUE"""),0)</f>
        <v>0</v>
      </c>
      <c r="G232" s="140">
        <f ca="1">IFERROR(__xludf.DUMMYFUNCTION("""COMPUTED_VALUE"""),0)</f>
        <v>0</v>
      </c>
      <c r="H232" s="140">
        <f ca="1">IFERROR(__xludf.DUMMYFUNCTION("""COMPUTED_VALUE"""),0)</f>
        <v>0</v>
      </c>
      <c r="I232" s="140">
        <f ca="1">IFERROR(__xludf.DUMMYFUNCTION("""COMPUTED_VALUE"""),0)</f>
        <v>0</v>
      </c>
      <c r="J232" s="140">
        <f ca="1">IFERROR(__xludf.DUMMYFUNCTION("""COMPUTED_VALUE"""),0)</f>
        <v>0</v>
      </c>
      <c r="K232" s="140">
        <f ca="1">IFERROR(__xludf.DUMMYFUNCTION("""COMPUTED_VALUE"""),0)</f>
        <v>0</v>
      </c>
      <c r="L232" s="140">
        <f ca="1">IFERROR(__xludf.DUMMYFUNCTION("""COMPUTED_VALUE"""),0)</f>
        <v>0</v>
      </c>
      <c r="M232" s="140">
        <f ca="1">IFERROR(__xludf.DUMMYFUNCTION("""COMPUTED_VALUE"""),0)</f>
        <v>0</v>
      </c>
      <c r="N232" s="140">
        <f ca="1">IFERROR(__xludf.DUMMYFUNCTION("""COMPUTED_VALUE"""),0)</f>
        <v>0</v>
      </c>
      <c r="O232" s="140">
        <f ca="1">IFERROR(__xludf.DUMMYFUNCTION("""COMPUTED_VALUE"""),0)</f>
        <v>0</v>
      </c>
      <c r="P232" s="140">
        <f ca="1">IFERROR(__xludf.DUMMYFUNCTION("""COMPUTED_VALUE"""),0)</f>
        <v>0</v>
      </c>
      <c r="Q232" s="288">
        <f ca="1">IFERROR(__xludf.DUMMYFUNCTION("""COMPUTED_VALUE"""),0)</f>
        <v>0</v>
      </c>
      <c r="R232" s="286"/>
      <c r="S232" s="291" t="e">
        <f ca="1">_xludf.ifs(A232="INDIA",E232/'Shared Summary by Dept_US$'!$B$31,A232="INDO",E232/'Shared Summary by Dept_US$'!$B$32,A232="BD",E232/'Shared Summary by Dept_US$'!$B$33,A232="Nepal",E232/'Shared Summary by Dept_US$'!$B$34,A232="US",E232/'Shared Summary by Dept_US$'!$B$35)</f>
        <v>#NAME?</v>
      </c>
      <c r="T232" s="292" t="s">
        <v>145</v>
      </c>
      <c r="U232" s="15"/>
      <c r="V232" s="15"/>
      <c r="W232" s="107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spans="1:34" ht="15.75" customHeight="1" x14ac:dyDescent="0.25">
      <c r="A233" s="139" t="s">
        <v>30</v>
      </c>
      <c r="B233" s="64" t="str">
        <f ca="1">IFERROR(__xludf.DUMMYFUNCTION("""COMPUTED_VALUE"""),"Office Expenses")</f>
        <v>Office Expenses</v>
      </c>
      <c r="C233" s="64" t="str">
        <f ca="1">IFERROR(__xludf.DUMMYFUNCTION("""COMPUTED_VALUE"""),"Stationery &amp; Consumables")</f>
        <v>Stationery &amp; Consumables</v>
      </c>
      <c r="D233" s="290">
        <f ca="1">IFERROR(__xludf.DUMMYFUNCTION("""COMPUTED_VALUE"""),93404)</f>
        <v>93404</v>
      </c>
      <c r="E233" s="140">
        <f ca="1">IFERROR(__xludf.DUMMYFUNCTION("""COMPUTED_VALUE"""),0)</f>
        <v>0</v>
      </c>
      <c r="F233" s="140">
        <f ca="1">IFERROR(__xludf.DUMMYFUNCTION("""COMPUTED_VALUE"""),0)</f>
        <v>0</v>
      </c>
      <c r="G233" s="140">
        <f ca="1">IFERROR(__xludf.DUMMYFUNCTION("""COMPUTED_VALUE"""),0)</f>
        <v>0</v>
      </c>
      <c r="H233" s="140">
        <f ca="1">IFERROR(__xludf.DUMMYFUNCTION("""COMPUTED_VALUE"""),0)</f>
        <v>0</v>
      </c>
      <c r="I233" s="140">
        <f ca="1">IFERROR(__xludf.DUMMYFUNCTION("""COMPUTED_VALUE"""),0)</f>
        <v>0</v>
      </c>
      <c r="J233" s="140">
        <f ca="1">IFERROR(__xludf.DUMMYFUNCTION("""COMPUTED_VALUE"""),0)</f>
        <v>0</v>
      </c>
      <c r="K233" s="140">
        <f ca="1">IFERROR(__xludf.DUMMYFUNCTION("""COMPUTED_VALUE"""),0)</f>
        <v>0</v>
      </c>
      <c r="L233" s="140">
        <f ca="1">IFERROR(__xludf.DUMMYFUNCTION("""COMPUTED_VALUE"""),0)</f>
        <v>0</v>
      </c>
      <c r="M233" s="140">
        <f ca="1">IFERROR(__xludf.DUMMYFUNCTION("""COMPUTED_VALUE"""),0)</f>
        <v>0</v>
      </c>
      <c r="N233" s="140">
        <f ca="1">IFERROR(__xludf.DUMMYFUNCTION("""COMPUTED_VALUE"""),0)</f>
        <v>0</v>
      </c>
      <c r="O233" s="140">
        <f ca="1">IFERROR(__xludf.DUMMYFUNCTION("""COMPUTED_VALUE"""),0)</f>
        <v>0</v>
      </c>
      <c r="P233" s="140">
        <f ca="1">IFERROR(__xludf.DUMMYFUNCTION("""COMPUTED_VALUE"""),0)</f>
        <v>0</v>
      </c>
      <c r="Q233" s="288">
        <f ca="1">IFERROR(__xludf.DUMMYFUNCTION("""COMPUTED_VALUE"""),0)</f>
        <v>0</v>
      </c>
      <c r="R233" s="286"/>
      <c r="S233" s="291" t="e">
        <f ca="1">_xludf.ifs(A233="INDIA",E233/'Shared Summary by Dept_US$'!$B$31,A233="INDO",E233/'Shared Summary by Dept_US$'!$B$32,A233="BD",E233/'Shared Summary by Dept_US$'!$B$33,A233="Nepal",E233/'Shared Summary by Dept_US$'!$B$34,A233="US",E233/'Shared Summary by Dept_US$'!$B$35)</f>
        <v>#NAME?</v>
      </c>
      <c r="T233" s="292" t="s">
        <v>145</v>
      </c>
      <c r="U233" s="15"/>
      <c r="V233" s="15"/>
      <c r="W233" s="107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spans="1:34" ht="15.75" customHeight="1" x14ac:dyDescent="0.25">
      <c r="A234" s="139" t="s">
        <v>30</v>
      </c>
      <c r="B234" s="64" t="str">
        <f ca="1">IFERROR(__xludf.DUMMYFUNCTION("""COMPUTED_VALUE"""),"Office Expenses")</f>
        <v>Office Expenses</v>
      </c>
      <c r="C234" s="64" t="str">
        <f ca="1">IFERROR(__xludf.DUMMYFUNCTION("""COMPUTED_VALUE"""),"Office Equipment Expense")</f>
        <v>Office Equipment Expense</v>
      </c>
      <c r="D234" s="290">
        <f ca="1">IFERROR(__xludf.DUMMYFUNCTION("""COMPUTED_VALUE"""),93405)</f>
        <v>93405</v>
      </c>
      <c r="E234" s="140">
        <f ca="1">IFERROR(__xludf.DUMMYFUNCTION("""COMPUTED_VALUE"""),0)</f>
        <v>0</v>
      </c>
      <c r="F234" s="140">
        <f ca="1">IFERROR(__xludf.DUMMYFUNCTION("""COMPUTED_VALUE"""),0)</f>
        <v>0</v>
      </c>
      <c r="G234" s="140">
        <f ca="1">IFERROR(__xludf.DUMMYFUNCTION("""COMPUTED_VALUE"""),0)</f>
        <v>0</v>
      </c>
      <c r="H234" s="140">
        <f ca="1">IFERROR(__xludf.DUMMYFUNCTION("""COMPUTED_VALUE"""),0)</f>
        <v>0</v>
      </c>
      <c r="I234" s="140">
        <f ca="1">IFERROR(__xludf.DUMMYFUNCTION("""COMPUTED_VALUE"""),0)</f>
        <v>0</v>
      </c>
      <c r="J234" s="140">
        <f ca="1">IFERROR(__xludf.DUMMYFUNCTION("""COMPUTED_VALUE"""),0)</f>
        <v>0</v>
      </c>
      <c r="K234" s="140">
        <f ca="1">IFERROR(__xludf.DUMMYFUNCTION("""COMPUTED_VALUE"""),0)</f>
        <v>0</v>
      </c>
      <c r="L234" s="140">
        <f ca="1">IFERROR(__xludf.DUMMYFUNCTION("""COMPUTED_VALUE"""),0)</f>
        <v>0</v>
      </c>
      <c r="M234" s="140">
        <f ca="1">IFERROR(__xludf.DUMMYFUNCTION("""COMPUTED_VALUE"""),0)</f>
        <v>0</v>
      </c>
      <c r="N234" s="140">
        <f ca="1">IFERROR(__xludf.DUMMYFUNCTION("""COMPUTED_VALUE"""),0)</f>
        <v>0</v>
      </c>
      <c r="O234" s="140">
        <f ca="1">IFERROR(__xludf.DUMMYFUNCTION("""COMPUTED_VALUE"""),0)</f>
        <v>0</v>
      </c>
      <c r="P234" s="140">
        <f ca="1">IFERROR(__xludf.DUMMYFUNCTION("""COMPUTED_VALUE"""),0)</f>
        <v>0</v>
      </c>
      <c r="Q234" s="288">
        <f ca="1">IFERROR(__xludf.DUMMYFUNCTION("""COMPUTED_VALUE"""),0)</f>
        <v>0</v>
      </c>
      <c r="R234" s="286"/>
      <c r="S234" s="291" t="e">
        <f ca="1">_xludf.ifs(A234="INDIA",E234/'Shared Summary by Dept_US$'!$B$31,A234="INDO",E234/'Shared Summary by Dept_US$'!$B$32,A234="BD",E234/'Shared Summary by Dept_US$'!$B$33,A234="Nepal",E234/'Shared Summary by Dept_US$'!$B$34,A234="US",E234/'Shared Summary by Dept_US$'!$B$35)</f>
        <v>#NAME?</v>
      </c>
      <c r="T234" s="292" t="s">
        <v>145</v>
      </c>
      <c r="U234" s="15"/>
      <c r="V234" s="15"/>
      <c r="W234" s="107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spans="1:34" ht="15.75" customHeight="1" x14ac:dyDescent="0.25">
      <c r="A235" s="139" t="s">
        <v>30</v>
      </c>
      <c r="B235" s="64" t="str">
        <f ca="1">IFERROR(__xludf.DUMMYFUNCTION("""COMPUTED_VALUE"""),"Professional &amp; Consultancy Charges")</f>
        <v>Professional &amp; Consultancy Charges</v>
      </c>
      <c r="C235" s="64" t="str">
        <f ca="1">IFERROR(__xludf.DUMMYFUNCTION("""COMPUTED_VALUE"""),"Admin Consultants")</f>
        <v>Admin Consultants</v>
      </c>
      <c r="D235" s="290">
        <f ca="1">IFERROR(__xludf.DUMMYFUNCTION("""COMPUTED_VALUE"""),93703)</f>
        <v>93703</v>
      </c>
      <c r="E235" s="140">
        <f ca="1">IFERROR(__xludf.DUMMYFUNCTION("""COMPUTED_VALUE"""),0)</f>
        <v>0</v>
      </c>
      <c r="F235" s="140">
        <f ca="1">IFERROR(__xludf.DUMMYFUNCTION("""COMPUTED_VALUE"""),0)</f>
        <v>0</v>
      </c>
      <c r="G235" s="140">
        <f ca="1">IFERROR(__xludf.DUMMYFUNCTION("""COMPUTED_VALUE"""),0)</f>
        <v>0</v>
      </c>
      <c r="H235" s="140">
        <f ca="1">IFERROR(__xludf.DUMMYFUNCTION("""COMPUTED_VALUE"""),0)</f>
        <v>0</v>
      </c>
      <c r="I235" s="140">
        <f ca="1">IFERROR(__xludf.DUMMYFUNCTION("""COMPUTED_VALUE"""),0)</f>
        <v>0</v>
      </c>
      <c r="J235" s="140">
        <f ca="1">IFERROR(__xludf.DUMMYFUNCTION("""COMPUTED_VALUE"""),0)</f>
        <v>0</v>
      </c>
      <c r="K235" s="140">
        <f ca="1">IFERROR(__xludf.DUMMYFUNCTION("""COMPUTED_VALUE"""),0)</f>
        <v>0</v>
      </c>
      <c r="L235" s="140">
        <f ca="1">IFERROR(__xludf.DUMMYFUNCTION("""COMPUTED_VALUE"""),0)</f>
        <v>0</v>
      </c>
      <c r="M235" s="140">
        <f ca="1">IFERROR(__xludf.DUMMYFUNCTION("""COMPUTED_VALUE"""),0)</f>
        <v>0</v>
      </c>
      <c r="N235" s="140">
        <f ca="1">IFERROR(__xludf.DUMMYFUNCTION("""COMPUTED_VALUE"""),0)</f>
        <v>0</v>
      </c>
      <c r="O235" s="140">
        <f ca="1">IFERROR(__xludf.DUMMYFUNCTION("""COMPUTED_VALUE"""),0)</f>
        <v>0</v>
      </c>
      <c r="P235" s="140">
        <f ca="1">IFERROR(__xludf.DUMMYFUNCTION("""COMPUTED_VALUE"""),0)</f>
        <v>0</v>
      </c>
      <c r="Q235" s="288">
        <f ca="1">IFERROR(__xludf.DUMMYFUNCTION("""COMPUTED_VALUE"""),0)</f>
        <v>0</v>
      </c>
      <c r="R235" s="286"/>
      <c r="S235" s="291" t="e">
        <f ca="1">_xludf.ifs(A235="INDIA",E235/'Shared Summary by Dept_US$'!$B$31,A235="INDO",E235/'Shared Summary by Dept_US$'!$B$32,A235="BD",E235/'Shared Summary by Dept_US$'!$B$33,A235="Nepal",E235/'Shared Summary by Dept_US$'!$B$34,A235="US",E235/'Shared Summary by Dept_US$'!$B$35)</f>
        <v>#NAME?</v>
      </c>
      <c r="T235" s="292" t="s">
        <v>145</v>
      </c>
      <c r="U235" s="15"/>
      <c r="V235" s="15"/>
      <c r="W235" s="107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spans="1:34" ht="15.75" customHeight="1" x14ac:dyDescent="0.25">
      <c r="A236" s="139" t="s">
        <v>30</v>
      </c>
      <c r="B236" s="64" t="str">
        <f ca="1">IFERROR(__xludf.DUMMYFUNCTION("""COMPUTED_VALUE"""),"Fixed Assets")</f>
        <v>Fixed Assets</v>
      </c>
      <c r="C236" s="64" t="str">
        <f ca="1">IFERROR(__xludf.DUMMYFUNCTION("""COMPUTED_VALUE"""),"Laptop/ Printer")</f>
        <v>Laptop/ Printer</v>
      </c>
      <c r="D236" s="290">
        <f ca="1">IFERROR(__xludf.DUMMYFUNCTION("""COMPUTED_VALUE"""),11301)</f>
        <v>11301</v>
      </c>
      <c r="E236" s="140">
        <f ca="1">IFERROR(__xludf.DUMMYFUNCTION("""COMPUTED_VALUE"""),250000)</f>
        <v>250000</v>
      </c>
      <c r="F236" s="140">
        <f ca="1">IFERROR(__xludf.DUMMYFUNCTION("""COMPUTED_VALUE"""),0)</f>
        <v>0</v>
      </c>
      <c r="G236" s="140">
        <f ca="1">IFERROR(__xludf.DUMMYFUNCTION("""COMPUTED_VALUE"""),250000)</f>
        <v>250000</v>
      </c>
      <c r="H236" s="140">
        <f ca="1">IFERROR(__xludf.DUMMYFUNCTION("""COMPUTED_VALUE"""),0)</f>
        <v>0</v>
      </c>
      <c r="I236" s="140">
        <f ca="1">IFERROR(__xludf.DUMMYFUNCTION("""COMPUTED_VALUE"""),0)</f>
        <v>0</v>
      </c>
      <c r="J236" s="140">
        <f ca="1">IFERROR(__xludf.DUMMYFUNCTION("""COMPUTED_VALUE"""),0)</f>
        <v>0</v>
      </c>
      <c r="K236" s="140">
        <f ca="1">IFERROR(__xludf.DUMMYFUNCTION("""COMPUTED_VALUE"""),0)</f>
        <v>0</v>
      </c>
      <c r="L236" s="140">
        <f ca="1">IFERROR(__xludf.DUMMYFUNCTION("""COMPUTED_VALUE"""),0)</f>
        <v>0</v>
      </c>
      <c r="M236" s="140">
        <f ca="1">IFERROR(__xludf.DUMMYFUNCTION("""COMPUTED_VALUE"""),0)</f>
        <v>0</v>
      </c>
      <c r="N236" s="140">
        <f ca="1">IFERROR(__xludf.DUMMYFUNCTION("""COMPUTED_VALUE"""),0)</f>
        <v>0</v>
      </c>
      <c r="O236" s="140">
        <f ca="1">IFERROR(__xludf.DUMMYFUNCTION("""COMPUTED_VALUE"""),0)</f>
        <v>0</v>
      </c>
      <c r="P236" s="140">
        <f ca="1">IFERROR(__xludf.DUMMYFUNCTION("""COMPUTED_VALUE"""),0)</f>
        <v>0</v>
      </c>
      <c r="Q236" s="140">
        <f ca="1">IFERROR(__xludf.DUMMYFUNCTION("""COMPUTED_VALUE"""),0)</f>
        <v>0</v>
      </c>
      <c r="R236" s="286"/>
      <c r="S236" s="291" t="e">
        <f ca="1">_xludf.ifs(A236="INDIA",E236/'Shared Summary by Dept_US$'!$B$31,A236="INDO",E236/'Shared Summary by Dept_US$'!$B$32,A236="BD",E236/'Shared Summary by Dept_US$'!$B$33,A236="Nepal",E236/'Shared Summary by Dept_US$'!$B$34,A236="US",E236/'Shared Summary by Dept_US$'!$B$35)</f>
        <v>#NAME?</v>
      </c>
      <c r="T236" s="292" t="s">
        <v>145</v>
      </c>
      <c r="U236" s="15"/>
      <c r="V236" s="15"/>
      <c r="W236" s="107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spans="1:34" ht="15.75" customHeight="1" x14ac:dyDescent="0.25">
      <c r="A237" s="81" t="s">
        <v>14</v>
      </c>
      <c r="B237" s="64" t="str">
        <f ca="1">IFERROR(__xludf.DUMMYFUNCTION("""COMPUTED_VALUE"""),"Salaries and Wages")</f>
        <v>Salaries and Wages</v>
      </c>
      <c r="C237" s="64" t="str">
        <f ca="1">IFERROR(__xludf.DUMMYFUNCTION("""COMPUTED_VALUE"""),"Salaries and Wages")</f>
        <v>Salaries and Wages</v>
      </c>
      <c r="D237" s="293"/>
      <c r="E237" s="143">
        <f ca="1">IFERROR(__xludf.DUMMYFUNCTION("""COMPUTED_VALUE"""),0)</f>
        <v>0</v>
      </c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287"/>
      <c r="S237" s="291" t="e">
        <f ca="1">_xludf.ifs(A237="INDIA",E237/'Shared Summary by Dept_US$'!$B$31,A237="INDO",E237/'Shared Summary by Dept_US$'!$B$32,A237="BD",E237/'Shared Summary by Dept_US$'!$B$33,A237="Nepal",E237/'Shared Summary by Dept_US$'!$B$34,A237="US",E237/'Shared Summary by Dept_US$'!$B$35)</f>
        <v>#NAME?</v>
      </c>
      <c r="T237" s="292" t="s">
        <v>169</v>
      </c>
      <c r="U237" s="15"/>
      <c r="V237" s="15"/>
      <c r="W237" s="107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spans="1:34" ht="15.75" customHeight="1" x14ac:dyDescent="0.25">
      <c r="A238" s="81" t="s">
        <v>14</v>
      </c>
      <c r="B238" s="64" t="str">
        <f ca="1">IFERROR(__xludf.DUMMYFUNCTION("""COMPUTED_VALUE"""),"Salaries and Wages")</f>
        <v>Salaries and Wages</v>
      </c>
      <c r="C238" s="64" t="str">
        <f ca="1">IFERROR(__xludf.DUMMYFUNCTION("""COMPUTED_VALUE"""),"Salaries and Wages")</f>
        <v>Salaries and Wages</v>
      </c>
      <c r="D238" s="293"/>
      <c r="E238" s="143">
        <f ca="1">IFERROR(__xludf.DUMMYFUNCTION("""COMPUTED_VALUE"""),0)</f>
        <v>0</v>
      </c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287"/>
      <c r="S238" s="291" t="e">
        <f ca="1">_xludf.ifs(A238="INDIA",E238/'Shared Summary by Dept_US$'!$B$31,A238="INDO",E238/'Shared Summary by Dept_US$'!$B$32,A238="BD",E238/'Shared Summary by Dept_US$'!$B$33,A238="Nepal",E238/'Shared Summary by Dept_US$'!$B$34,A238="US",E238/'Shared Summary by Dept_US$'!$B$35)</f>
        <v>#NAME?</v>
      </c>
      <c r="T238" s="292" t="s">
        <v>169</v>
      </c>
      <c r="U238" s="15"/>
      <c r="V238" s="15"/>
      <c r="W238" s="107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spans="1:34" ht="15.75" customHeight="1" x14ac:dyDescent="0.25">
      <c r="A239" s="64" t="s">
        <v>42</v>
      </c>
      <c r="B239" s="64" t="str">
        <f ca="1">IFERROR(__xludf.DUMMYFUNCTION("""COMPUTED_VALUE"""),"Salaries and Wages")</f>
        <v>Salaries and Wages</v>
      </c>
      <c r="C239" s="64" t="str">
        <f ca="1">IFERROR(__xludf.DUMMYFUNCTION("""COMPUTED_VALUE"""),"Salaries and Wages")</f>
        <v>Salaries and Wages</v>
      </c>
      <c r="D239" s="293"/>
      <c r="E239" s="143">
        <f ca="1">IFERROR(__xludf.DUMMYFUNCTION("""COMPUTED_VALUE"""),2861160)</f>
        <v>2861160</v>
      </c>
      <c r="F239" s="143">
        <f ca="1">IFERROR(__xludf.DUMMYFUNCTION("""COMPUTED_VALUE"""),138430)</f>
        <v>138430</v>
      </c>
      <c r="G239" s="143">
        <f ca="1">IFERROR(__xludf.DUMMYFUNCTION("""COMPUTED_VALUE"""),138430)</f>
        <v>138430</v>
      </c>
      <c r="H239" s="143">
        <f ca="1">IFERROR(__xludf.DUMMYFUNCTION("""COMPUTED_VALUE"""),213430)</f>
        <v>213430</v>
      </c>
      <c r="I239" s="143">
        <f ca="1">IFERROR(__xludf.DUMMYFUNCTION("""COMPUTED_VALUE"""),213430)</f>
        <v>213430</v>
      </c>
      <c r="J239" s="143">
        <f ca="1">IFERROR(__xludf.DUMMYFUNCTION("""COMPUTED_VALUE"""),213430)</f>
        <v>213430</v>
      </c>
      <c r="K239" s="143">
        <f ca="1">IFERROR(__xludf.DUMMYFUNCTION("""COMPUTED_VALUE"""),213430)</f>
        <v>213430</v>
      </c>
      <c r="L239" s="143">
        <f ca="1">IFERROR(__xludf.DUMMYFUNCTION("""COMPUTED_VALUE"""),288430)</f>
        <v>288430</v>
      </c>
      <c r="M239" s="143">
        <f ca="1">IFERROR(__xludf.DUMMYFUNCTION("""COMPUTED_VALUE"""),288430)</f>
        <v>288430</v>
      </c>
      <c r="N239" s="143">
        <f ca="1">IFERROR(__xludf.DUMMYFUNCTION("""COMPUTED_VALUE"""),288430)</f>
        <v>288430</v>
      </c>
      <c r="O239" s="143">
        <f ca="1">IFERROR(__xludf.DUMMYFUNCTION("""COMPUTED_VALUE"""),288430)</f>
        <v>288430</v>
      </c>
      <c r="P239" s="143">
        <f ca="1">IFERROR(__xludf.DUMMYFUNCTION("""COMPUTED_VALUE"""),288430)</f>
        <v>288430</v>
      </c>
      <c r="Q239" s="143">
        <f ca="1">IFERROR(__xludf.DUMMYFUNCTION("""COMPUTED_VALUE"""),288430)</f>
        <v>288430</v>
      </c>
      <c r="R239" s="287"/>
      <c r="S239" s="291" t="e">
        <f ca="1">_xludf.ifs(A239="INDIA",E239/'Shared Summary by Dept_US$'!$B$31,A239="INDO",E239/'Shared Summary by Dept_US$'!$B$32,A239="BD",E239/'Shared Summary by Dept_US$'!$B$33,A239="Nepal",E239/'Shared Summary by Dept_US$'!$B$34,A239="US",E239/'Shared Summary by Dept_US$'!$B$35)</f>
        <v>#NAME?</v>
      </c>
      <c r="T239" s="15" t="s">
        <v>175</v>
      </c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spans="1:34" ht="15.75" customHeight="1" x14ac:dyDescent="0.25">
      <c r="A240" s="64" t="s">
        <v>42</v>
      </c>
      <c r="B240" s="64" t="str">
        <f ca="1">IFERROR(__xludf.DUMMYFUNCTION("""COMPUTED_VALUE"""),"Health and Retirement Benefits")</f>
        <v>Health and Retirement Benefits</v>
      </c>
      <c r="C240" s="64" t="str">
        <f ca="1">IFERROR(__xludf.DUMMYFUNCTION("""COMPUTED_VALUE"""),"Gratuity &amp; Bonus")</f>
        <v>Gratuity &amp; Bonus</v>
      </c>
      <c r="D240" s="293"/>
      <c r="E240" s="143">
        <f ca="1">IFERROR(__xludf.DUMMYFUNCTION("""COMPUTED_VALUE"""),0)</f>
        <v>0</v>
      </c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287"/>
      <c r="S240" s="291" t="e">
        <f ca="1">_xludf.ifs(A240="INDIA",E240/'Shared Summary by Dept_US$'!$B$31,A240="INDO",E240/'Shared Summary by Dept_US$'!$B$32,A240="BD",E240/'Shared Summary by Dept_US$'!$B$33,A240="Nepal",E240/'Shared Summary by Dept_US$'!$B$34,A240="US",E240/'Shared Summary by Dept_US$'!$B$35)</f>
        <v>#NAME?</v>
      </c>
      <c r="T240" s="15" t="s">
        <v>175</v>
      </c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spans="1:34" ht="15.75" customHeight="1" x14ac:dyDescent="0.25">
      <c r="A241" s="64" t="s">
        <v>42</v>
      </c>
      <c r="B241" s="64" t="str">
        <f ca="1">IFERROR(__xludf.DUMMYFUNCTION("""COMPUTED_VALUE"""),"Other Staff Expenses")</f>
        <v>Other Staff Expenses</v>
      </c>
      <c r="C241" s="64" t="str">
        <f ca="1">IFERROR(__xludf.DUMMYFUNCTION("""COMPUTED_VALUE"""),"Staff Training, Learning &amp; Development Exp")</f>
        <v>Staff Training, Learning &amp; Development Exp</v>
      </c>
      <c r="D241" s="293">
        <f ca="1">IFERROR(__xludf.DUMMYFUNCTION("""COMPUTED_VALUE"""),91302)</f>
        <v>91302</v>
      </c>
      <c r="E241" s="143">
        <f ca="1">IFERROR(__xludf.DUMMYFUNCTION("""COMPUTED_VALUE"""),0)</f>
        <v>0</v>
      </c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287"/>
      <c r="S241" s="291" t="e">
        <f ca="1">_xludf.ifs(A241="INDIA",E241/'Shared Summary by Dept_US$'!$B$31,A241="INDO",E241/'Shared Summary by Dept_US$'!$B$32,A241="BD",E241/'Shared Summary by Dept_US$'!$B$33,A241="Nepal",E241/'Shared Summary by Dept_US$'!$B$34,A241="US",E241/'Shared Summary by Dept_US$'!$B$35)</f>
        <v>#NAME?</v>
      </c>
      <c r="T241" s="15" t="s">
        <v>175</v>
      </c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spans="1:34" ht="15.75" customHeight="1" x14ac:dyDescent="0.25">
      <c r="A242" s="64" t="s">
        <v>42</v>
      </c>
      <c r="B242" s="64" t="str">
        <f ca="1">IFERROR(__xludf.DUMMYFUNCTION("""COMPUTED_VALUE"""),"Resource Persons")</f>
        <v>Resource Persons</v>
      </c>
      <c r="C242" s="64" t="str">
        <f ca="1">IFERROR(__xludf.DUMMYFUNCTION("""COMPUTED_VALUE"""),"Program Resource Consultant (EHA)")</f>
        <v>Program Resource Consultant (EHA)</v>
      </c>
      <c r="D242" s="293">
        <f ca="1">IFERROR(__xludf.DUMMYFUNCTION("""COMPUTED_VALUE"""),92101)</f>
        <v>92101</v>
      </c>
      <c r="E242" s="143">
        <f ca="1">IFERROR(__xludf.DUMMYFUNCTION("""COMPUTED_VALUE"""),0)</f>
        <v>0</v>
      </c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287"/>
      <c r="S242" s="291" t="e">
        <f ca="1">_xludf.ifs(A242="INDIA",E242/'Shared Summary by Dept_US$'!$B$31,A242="INDO",E242/'Shared Summary by Dept_US$'!$B$32,A242="BD",E242/'Shared Summary by Dept_US$'!$B$33,A242="Nepal",E242/'Shared Summary by Dept_US$'!$B$34,A242="US",E242/'Shared Summary by Dept_US$'!$B$35)</f>
        <v>#NAME?</v>
      </c>
      <c r="T242" s="15" t="s">
        <v>175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spans="1:34" ht="15.75" customHeight="1" x14ac:dyDescent="0.25">
      <c r="A243" s="64" t="s">
        <v>42</v>
      </c>
      <c r="B243" s="64" t="str">
        <f ca="1">IFERROR(__xludf.DUMMYFUNCTION("""COMPUTED_VALUE"""),"Travel &amp; Lodging Expenses")</f>
        <v>Travel &amp; Lodging Expenses</v>
      </c>
      <c r="C243" s="64" t="str">
        <f ca="1">IFERROR(__xludf.DUMMYFUNCTION("""COMPUTED_VALUE"""),"Hotel Accomodation")</f>
        <v>Hotel Accomodation</v>
      </c>
      <c r="D243" s="293">
        <f ca="1">IFERROR(__xludf.DUMMYFUNCTION("""COMPUTED_VALUE"""),93101)</f>
        <v>93101</v>
      </c>
      <c r="E243" s="143">
        <f ca="1">IFERROR(__xludf.DUMMYFUNCTION("""COMPUTED_VALUE"""),0)</f>
        <v>0</v>
      </c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287"/>
      <c r="S243" s="291" t="e">
        <f ca="1">_xludf.ifs(A243="INDIA",E243/'Shared Summary by Dept_US$'!$B$31,A243="INDO",E243/'Shared Summary by Dept_US$'!$B$32,A243="BD",E243/'Shared Summary by Dept_US$'!$B$33,A243="Nepal",E243/'Shared Summary by Dept_US$'!$B$34,A243="US",E243/'Shared Summary by Dept_US$'!$B$35)</f>
        <v>#NAME?</v>
      </c>
      <c r="T243" s="15" t="s">
        <v>175</v>
      </c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spans="1:34" ht="15.75" customHeight="1" x14ac:dyDescent="0.25">
      <c r="A244" s="64" t="s">
        <v>42</v>
      </c>
      <c r="B244" s="64" t="str">
        <f ca="1">IFERROR(__xludf.DUMMYFUNCTION("""COMPUTED_VALUE"""),"Travel &amp; Lodging Expenses")</f>
        <v>Travel &amp; Lodging Expenses</v>
      </c>
      <c r="C244" s="64" t="str">
        <f ca="1">IFERROR(__xludf.DUMMYFUNCTION("""COMPUTED_VALUE"""),"Food Expenses")</f>
        <v>Food Expenses</v>
      </c>
      <c r="D244" s="293">
        <f ca="1">IFERROR(__xludf.DUMMYFUNCTION("""COMPUTED_VALUE"""),93102)</f>
        <v>93102</v>
      </c>
      <c r="E244" s="143">
        <f ca="1">IFERROR(__xludf.DUMMYFUNCTION("""COMPUTED_VALUE"""),0)</f>
        <v>0</v>
      </c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287"/>
      <c r="S244" s="291" t="e">
        <f ca="1">_xludf.ifs(A244="INDIA",E244/'Shared Summary by Dept_US$'!$B$31,A244="INDO",E244/'Shared Summary by Dept_US$'!$B$32,A244="BD",E244/'Shared Summary by Dept_US$'!$B$33,A244="Nepal",E244/'Shared Summary by Dept_US$'!$B$34,A244="US",E244/'Shared Summary by Dept_US$'!$B$35)</f>
        <v>#NAME?</v>
      </c>
      <c r="T244" s="15" t="s">
        <v>175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spans="1:34" ht="15.75" customHeight="1" x14ac:dyDescent="0.25">
      <c r="A245" s="64" t="s">
        <v>42</v>
      </c>
      <c r="B245" s="64" t="str">
        <f ca="1">IFERROR(__xludf.DUMMYFUNCTION("""COMPUTED_VALUE"""),"Travel &amp; Lodging Expenses")</f>
        <v>Travel &amp; Lodging Expenses</v>
      </c>
      <c r="C245" s="64" t="str">
        <f ca="1">IFERROR(__xludf.DUMMYFUNCTION("""COMPUTED_VALUE"""),"Air fare")</f>
        <v>Air fare</v>
      </c>
      <c r="D245" s="293">
        <f ca="1">IFERROR(__xludf.DUMMYFUNCTION("""COMPUTED_VALUE"""),93103)</f>
        <v>93103</v>
      </c>
      <c r="E245" s="143">
        <f ca="1">IFERROR(__xludf.DUMMYFUNCTION("""COMPUTED_VALUE"""),0)</f>
        <v>0</v>
      </c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287"/>
      <c r="S245" s="291" t="e">
        <f ca="1">_xludf.ifs(A245="INDIA",E245/'Shared Summary by Dept_US$'!$B$31,A245="INDO",E245/'Shared Summary by Dept_US$'!$B$32,A245="BD",E245/'Shared Summary by Dept_US$'!$B$33,A245="Nepal",E245/'Shared Summary by Dept_US$'!$B$34,A245="US",E245/'Shared Summary by Dept_US$'!$B$35)</f>
        <v>#NAME?</v>
      </c>
      <c r="T245" s="15" t="s">
        <v>175</v>
      </c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spans="1:34" ht="15.75" customHeight="1" x14ac:dyDescent="0.25">
      <c r="A246" s="64" t="s">
        <v>42</v>
      </c>
      <c r="B246" s="64" t="str">
        <f ca="1">IFERROR(__xludf.DUMMYFUNCTION("""COMPUTED_VALUE"""),"Travel &amp; Lodging Expenses")</f>
        <v>Travel &amp; Lodging Expenses</v>
      </c>
      <c r="C246" s="64" t="str">
        <f ca="1">IFERROR(__xludf.DUMMYFUNCTION("""COMPUTED_VALUE"""),"Cab/Auto")</f>
        <v>Cab/Auto</v>
      </c>
      <c r="D246" s="293">
        <f ca="1">IFERROR(__xludf.DUMMYFUNCTION("""COMPUTED_VALUE"""),93104)</f>
        <v>93104</v>
      </c>
      <c r="E246" s="143">
        <f ca="1">IFERROR(__xludf.DUMMYFUNCTION("""COMPUTED_VALUE"""),0)</f>
        <v>0</v>
      </c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287"/>
      <c r="S246" s="291" t="e">
        <f ca="1">_xludf.ifs(A246="INDIA",E246/'Shared Summary by Dept_US$'!$B$31,A246="INDO",E246/'Shared Summary by Dept_US$'!$B$32,A246="BD",E246/'Shared Summary by Dept_US$'!$B$33,A246="Nepal",E246/'Shared Summary by Dept_US$'!$B$34,A246="US",E246/'Shared Summary by Dept_US$'!$B$35)</f>
        <v>#NAME?</v>
      </c>
      <c r="T246" s="15" t="s">
        <v>175</v>
      </c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spans="1:34" ht="15.75" customHeight="1" x14ac:dyDescent="0.25">
      <c r="A247" s="64" t="s">
        <v>42</v>
      </c>
      <c r="B247" s="64" t="str">
        <f ca="1">IFERROR(__xludf.DUMMYFUNCTION("""COMPUTED_VALUE"""),"Travel &amp; Lodging Expenses")</f>
        <v>Travel &amp; Lodging Expenses</v>
      </c>
      <c r="C247" s="64" t="str">
        <f ca="1">IFERROR(__xludf.DUMMYFUNCTION("""COMPUTED_VALUE"""),"Bus/Train")</f>
        <v>Bus/Train</v>
      </c>
      <c r="D247" s="293">
        <f ca="1">IFERROR(__xludf.DUMMYFUNCTION("""COMPUTED_VALUE"""),93105)</f>
        <v>93105</v>
      </c>
      <c r="E247" s="143">
        <f ca="1">IFERROR(__xludf.DUMMYFUNCTION("""COMPUTED_VALUE"""),0)</f>
        <v>0</v>
      </c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287"/>
      <c r="S247" s="291" t="e">
        <f ca="1">_xludf.ifs(A247="INDIA",E247/'Shared Summary by Dept_US$'!$B$31,A247="INDO",E247/'Shared Summary by Dept_US$'!$B$32,A247="BD",E247/'Shared Summary by Dept_US$'!$B$33,A247="Nepal",E247/'Shared Summary by Dept_US$'!$B$34,A247="US",E247/'Shared Summary by Dept_US$'!$B$35)</f>
        <v>#NAME?</v>
      </c>
      <c r="T247" s="15" t="s">
        <v>175</v>
      </c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spans="1:34" ht="15.75" customHeight="1" x14ac:dyDescent="0.25">
      <c r="A248" s="64" t="s">
        <v>42</v>
      </c>
      <c r="B248" s="64" t="str">
        <f ca="1">IFERROR(__xludf.DUMMYFUNCTION("""COMPUTED_VALUE"""),"Travel &amp; Lodging Expenses")</f>
        <v>Travel &amp; Lodging Expenses</v>
      </c>
      <c r="C248" s="64" t="str">
        <f ca="1">IFERROR(__xludf.DUMMYFUNCTION("""COMPUTED_VALUE"""),"Other incidental travel costs")</f>
        <v>Other incidental travel costs</v>
      </c>
      <c r="D248" s="293">
        <f ca="1">IFERROR(__xludf.DUMMYFUNCTION("""COMPUTED_VALUE"""),93106)</f>
        <v>93106</v>
      </c>
      <c r="E248" s="143">
        <f ca="1">IFERROR(__xludf.DUMMYFUNCTION("""COMPUTED_VALUE"""),0)</f>
        <v>0</v>
      </c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287"/>
      <c r="S248" s="291" t="e">
        <f ca="1">_xludf.ifs(A248="INDIA",E248/'Shared Summary by Dept_US$'!$B$31,A248="INDO",E248/'Shared Summary by Dept_US$'!$B$32,A248="BD",E248/'Shared Summary by Dept_US$'!$B$33,A248="Nepal",E248/'Shared Summary by Dept_US$'!$B$34,A248="US",E248/'Shared Summary by Dept_US$'!$B$35)</f>
        <v>#NAME?</v>
      </c>
      <c r="T248" s="15" t="s">
        <v>175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spans="1:34" ht="15.75" customHeight="1" x14ac:dyDescent="0.25">
      <c r="A249" s="64" t="s">
        <v>42</v>
      </c>
      <c r="B249" s="64" t="str">
        <f ca="1">IFERROR(__xludf.DUMMYFUNCTION("""COMPUTED_VALUE"""),"Supplies &amp; Printing Costs")</f>
        <v>Supplies &amp; Printing Costs</v>
      </c>
      <c r="C249" s="64" t="str">
        <f ca="1">IFERROR(__xludf.DUMMYFUNCTION("""COMPUTED_VALUE"""),"Other Direct Expenses")</f>
        <v>Other Direct Expenses</v>
      </c>
      <c r="D249" s="293">
        <f ca="1">IFERROR(__xludf.DUMMYFUNCTION("""COMPUTED_VALUE"""),93201)</f>
        <v>93201</v>
      </c>
      <c r="E249" s="143">
        <f ca="1">IFERROR(__xludf.DUMMYFUNCTION("""COMPUTED_VALUE"""),0)</f>
        <v>0</v>
      </c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287"/>
      <c r="S249" s="291" t="e">
        <f ca="1">_xludf.ifs(A249="INDIA",E249/'Shared Summary by Dept_US$'!$B$31,A249="INDO",E249/'Shared Summary by Dept_US$'!$B$32,A249="BD",E249/'Shared Summary by Dept_US$'!$B$33,A249="Nepal",E249/'Shared Summary by Dept_US$'!$B$34,A249="US",E249/'Shared Summary by Dept_US$'!$B$35)</f>
        <v>#NAME?</v>
      </c>
      <c r="T249" s="15" t="s">
        <v>175</v>
      </c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spans="1:34" ht="15.75" customHeight="1" x14ac:dyDescent="0.25">
      <c r="A250" s="64" t="s">
        <v>42</v>
      </c>
      <c r="B250" s="64" t="str">
        <f ca="1">IFERROR(__xludf.DUMMYFUNCTION("""COMPUTED_VALUE"""),"Supplies &amp; Printing Costs")</f>
        <v>Supplies &amp; Printing Costs</v>
      </c>
      <c r="C250" s="64" t="str">
        <f ca="1">IFERROR(__xludf.DUMMYFUNCTION("""COMPUTED_VALUE"""),"Printing expenses")</f>
        <v>Printing expenses</v>
      </c>
      <c r="D250" s="293">
        <f ca="1">IFERROR(__xludf.DUMMYFUNCTION("""COMPUTED_VALUE"""),93204)</f>
        <v>93204</v>
      </c>
      <c r="E250" s="143">
        <f ca="1">IFERROR(__xludf.DUMMYFUNCTION("""COMPUTED_VALUE"""),0)</f>
        <v>0</v>
      </c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287"/>
      <c r="S250" s="291" t="e">
        <f ca="1">_xludf.ifs(A250="INDIA",E250/'Shared Summary by Dept_US$'!$B$31,A250="INDO",E250/'Shared Summary by Dept_US$'!$B$32,A250="BD",E250/'Shared Summary by Dept_US$'!$B$33,A250="Nepal",E250/'Shared Summary by Dept_US$'!$B$34,A250="US",E250/'Shared Summary by Dept_US$'!$B$35)</f>
        <v>#NAME?</v>
      </c>
      <c r="T250" s="15" t="s">
        <v>175</v>
      </c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spans="1:34" ht="15.75" customHeight="1" x14ac:dyDescent="0.25">
      <c r="A251" s="64" t="s">
        <v>42</v>
      </c>
      <c r="B251" s="64" t="str">
        <f ca="1">IFERROR(__xludf.DUMMYFUNCTION("""COMPUTED_VALUE"""),"Communication Cost")</f>
        <v>Communication Cost</v>
      </c>
      <c r="C251" s="64" t="str">
        <f ca="1">IFERROR(__xludf.DUMMYFUNCTION("""COMPUTED_VALUE"""),"Internet Expenses")</f>
        <v>Internet Expenses</v>
      </c>
      <c r="D251" s="293">
        <f ca="1">IFERROR(__xludf.DUMMYFUNCTION("""COMPUTED_VALUE"""),93301)</f>
        <v>93301</v>
      </c>
      <c r="E251" s="143">
        <f ca="1">IFERROR(__xludf.DUMMYFUNCTION("""COMPUTED_VALUE"""),0)</f>
        <v>0</v>
      </c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287"/>
      <c r="S251" s="291" t="e">
        <f ca="1">_xludf.ifs(A251="INDIA",E251/'Shared Summary by Dept_US$'!$B$31,A251="INDO",E251/'Shared Summary by Dept_US$'!$B$32,A251="BD",E251/'Shared Summary by Dept_US$'!$B$33,A251="Nepal",E251/'Shared Summary by Dept_US$'!$B$34,A251="US",E251/'Shared Summary by Dept_US$'!$B$35)</f>
        <v>#NAME?</v>
      </c>
      <c r="T251" s="15" t="s">
        <v>175</v>
      </c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spans="1:34" ht="15.75" customHeight="1" x14ac:dyDescent="0.25">
      <c r="A252" s="64" t="s">
        <v>42</v>
      </c>
      <c r="B252" s="64" t="str">
        <f ca="1">IFERROR(__xludf.DUMMYFUNCTION("""COMPUTED_VALUE"""),"Communication Cost")</f>
        <v>Communication Cost</v>
      </c>
      <c r="C252" s="64" t="str">
        <f ca="1">IFERROR(__xludf.DUMMYFUNCTION("""COMPUTED_VALUE"""),"Postage &amp; Courier Expenses")</f>
        <v>Postage &amp; Courier Expenses</v>
      </c>
      <c r="D252" s="293">
        <f ca="1">IFERROR(__xludf.DUMMYFUNCTION("""COMPUTED_VALUE"""),93302)</f>
        <v>93302</v>
      </c>
      <c r="E252" s="143">
        <f ca="1">IFERROR(__xludf.DUMMYFUNCTION("""COMPUTED_VALUE"""),0)</f>
        <v>0</v>
      </c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287"/>
      <c r="S252" s="291" t="e">
        <f ca="1">_xludf.ifs(A252="INDIA",E252/'Shared Summary by Dept_US$'!$B$31,A252="INDO",E252/'Shared Summary by Dept_US$'!$B$32,A252="BD",E252/'Shared Summary by Dept_US$'!$B$33,A252="Nepal",E252/'Shared Summary by Dept_US$'!$B$34,A252="US",E252/'Shared Summary by Dept_US$'!$B$35)</f>
        <v>#NAME?</v>
      </c>
      <c r="T252" s="15" t="s">
        <v>175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spans="1:34" ht="15.75" customHeight="1" x14ac:dyDescent="0.25">
      <c r="A253" s="64" t="s">
        <v>42</v>
      </c>
      <c r="B253" s="64" t="str">
        <f ca="1">IFERROR(__xludf.DUMMYFUNCTION("""COMPUTED_VALUE"""),"Communication Cost")</f>
        <v>Communication Cost</v>
      </c>
      <c r="C253" s="64" t="str">
        <f ca="1">IFERROR(__xludf.DUMMYFUNCTION("""COMPUTED_VALUE"""),"Telecommunication expenses")</f>
        <v>Telecommunication expenses</v>
      </c>
      <c r="D253" s="293">
        <f ca="1">IFERROR(__xludf.DUMMYFUNCTION("""COMPUTED_VALUE"""),93303)</f>
        <v>93303</v>
      </c>
      <c r="E253" s="143">
        <f ca="1">IFERROR(__xludf.DUMMYFUNCTION("""COMPUTED_VALUE"""),0)</f>
        <v>0</v>
      </c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287"/>
      <c r="S253" s="291" t="e">
        <f ca="1">_xludf.ifs(A253="INDIA",E253/'Shared Summary by Dept_US$'!$B$31,A253="INDO",E253/'Shared Summary by Dept_US$'!$B$32,A253="BD",E253/'Shared Summary by Dept_US$'!$B$33,A253="Nepal",E253/'Shared Summary by Dept_US$'!$B$34,A253="US",E253/'Shared Summary by Dept_US$'!$B$35)</f>
        <v>#NAME?</v>
      </c>
      <c r="T253" s="15" t="s">
        <v>175</v>
      </c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spans="1:34" ht="15.75" customHeight="1" x14ac:dyDescent="0.25">
      <c r="A254" s="64" t="s">
        <v>42</v>
      </c>
      <c r="B254" s="64" t="str">
        <f ca="1">IFERROR(__xludf.DUMMYFUNCTION("""COMPUTED_VALUE"""),"Office Expenses")</f>
        <v>Office Expenses</v>
      </c>
      <c r="C254" s="64" t="str">
        <f ca="1">IFERROR(__xludf.DUMMYFUNCTION("""COMPUTED_VALUE"""),"Software and Subscriptions")</f>
        <v>Software and Subscriptions</v>
      </c>
      <c r="D254" s="293">
        <f ca="1">IFERROR(__xludf.DUMMYFUNCTION("""COMPUTED_VALUE"""),93401)</f>
        <v>93401</v>
      </c>
      <c r="E254" s="143">
        <f ca="1">IFERROR(__xludf.DUMMYFUNCTION("""COMPUTED_VALUE"""),0)</f>
        <v>0</v>
      </c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287"/>
      <c r="S254" s="291" t="e">
        <f ca="1">_xludf.ifs(A254="INDIA",E254/'Shared Summary by Dept_US$'!$B$31,A254="INDO",E254/'Shared Summary by Dept_US$'!$B$32,A254="BD",E254/'Shared Summary by Dept_US$'!$B$33,A254="Nepal",E254/'Shared Summary by Dept_US$'!$B$34,A254="US",E254/'Shared Summary by Dept_US$'!$B$35)</f>
        <v>#NAME?</v>
      </c>
      <c r="T254" s="15" t="s">
        <v>175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spans="1:34" ht="15.75" customHeight="1" x14ac:dyDescent="0.25">
      <c r="A255" s="64" t="s">
        <v>42</v>
      </c>
      <c r="B255" s="64" t="str">
        <f ca="1">IFERROR(__xludf.DUMMYFUNCTION("""COMPUTED_VALUE"""),"Office Expenses")</f>
        <v>Office Expenses</v>
      </c>
      <c r="C255" s="64" t="str">
        <f ca="1">IFERROR(__xludf.DUMMYFUNCTION("""COMPUTED_VALUE"""),"Stationery &amp; Consumables")</f>
        <v>Stationery &amp; Consumables</v>
      </c>
      <c r="D255" s="293">
        <f ca="1">IFERROR(__xludf.DUMMYFUNCTION("""COMPUTED_VALUE"""),93404)</f>
        <v>93404</v>
      </c>
      <c r="E255" s="143">
        <f ca="1">IFERROR(__xludf.DUMMYFUNCTION("""COMPUTED_VALUE"""),0)</f>
        <v>0</v>
      </c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287"/>
      <c r="S255" s="291" t="e">
        <f ca="1">_xludf.ifs(A255="INDIA",E255/'Shared Summary by Dept_US$'!$B$31,A255="INDO",E255/'Shared Summary by Dept_US$'!$B$32,A255="BD",E255/'Shared Summary by Dept_US$'!$B$33,A255="Nepal",E255/'Shared Summary by Dept_US$'!$B$34,A255="US",E255/'Shared Summary by Dept_US$'!$B$35)</f>
        <v>#NAME?</v>
      </c>
      <c r="T255" s="15" t="s">
        <v>175</v>
      </c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spans="1:34" ht="15.75" customHeight="1" x14ac:dyDescent="0.25">
      <c r="A256" s="64" t="s">
        <v>42</v>
      </c>
      <c r="B256" s="64" t="str">
        <f ca="1">IFERROR(__xludf.DUMMYFUNCTION("""COMPUTED_VALUE"""),"Office Expenses")</f>
        <v>Office Expenses</v>
      </c>
      <c r="C256" s="64" t="str">
        <f ca="1">IFERROR(__xludf.DUMMYFUNCTION("""COMPUTED_VALUE"""),"Office Equipment Expense")</f>
        <v>Office Equipment Expense</v>
      </c>
      <c r="D256" s="293">
        <f ca="1">IFERROR(__xludf.DUMMYFUNCTION("""COMPUTED_VALUE"""),93405)</f>
        <v>93405</v>
      </c>
      <c r="E256" s="143">
        <f ca="1">IFERROR(__xludf.DUMMYFUNCTION("""COMPUTED_VALUE"""),0)</f>
        <v>0</v>
      </c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287"/>
      <c r="S256" s="291" t="e">
        <f ca="1">_xludf.ifs(A256="INDIA",E256/'Shared Summary by Dept_US$'!$B$31,A256="INDO",E256/'Shared Summary by Dept_US$'!$B$32,A256="BD",E256/'Shared Summary by Dept_US$'!$B$33,A256="Nepal",E256/'Shared Summary by Dept_US$'!$B$34,A256="US",E256/'Shared Summary by Dept_US$'!$B$35)</f>
        <v>#NAME?</v>
      </c>
      <c r="T256" s="15" t="s">
        <v>175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spans="1:34" ht="15.75" customHeight="1" x14ac:dyDescent="0.25">
      <c r="A257" s="64" t="s">
        <v>42</v>
      </c>
      <c r="B257" s="64" t="str">
        <f ca="1">IFERROR(__xludf.DUMMYFUNCTION("""COMPUTED_VALUE"""),"Professional &amp; Consultancy Charges")</f>
        <v>Professional &amp; Consultancy Charges</v>
      </c>
      <c r="C257" s="64" t="str">
        <f ca="1">IFERROR(__xludf.DUMMYFUNCTION("""COMPUTED_VALUE"""),"Admin Consultants")</f>
        <v>Admin Consultants</v>
      </c>
      <c r="D257" s="293">
        <f ca="1">IFERROR(__xludf.DUMMYFUNCTION("""COMPUTED_VALUE"""),93703)</f>
        <v>93703</v>
      </c>
      <c r="E257" s="143">
        <f ca="1">IFERROR(__xludf.DUMMYFUNCTION("""COMPUTED_VALUE"""),0)</f>
        <v>0</v>
      </c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287"/>
      <c r="S257" s="291" t="e">
        <f ca="1">_xludf.ifs(A257="INDIA",E257/'Shared Summary by Dept_US$'!$B$31,A257="INDO",E257/'Shared Summary by Dept_US$'!$B$32,A257="BD",E257/'Shared Summary by Dept_US$'!$B$33,A257="Nepal",E257/'Shared Summary by Dept_US$'!$B$34,A257="US",E257/'Shared Summary by Dept_US$'!$B$35)</f>
        <v>#NAME?</v>
      </c>
      <c r="T257" s="15" t="s">
        <v>175</v>
      </c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spans="1:34" ht="15.75" customHeight="1" x14ac:dyDescent="0.25">
      <c r="A258" s="64" t="s">
        <v>42</v>
      </c>
      <c r="B258" s="64" t="str">
        <f ca="1">IFERROR(__xludf.DUMMYFUNCTION("""COMPUTED_VALUE"""),"Fixed Assets")</f>
        <v>Fixed Assets</v>
      </c>
      <c r="C258" s="64" t="str">
        <f ca="1">IFERROR(__xludf.DUMMYFUNCTION("""COMPUTED_VALUE"""),"Laptop/ Printer")</f>
        <v>Laptop/ Printer</v>
      </c>
      <c r="D258" s="293">
        <f ca="1">IFERROR(__xludf.DUMMYFUNCTION("""COMPUTED_VALUE"""),11301)</f>
        <v>11301</v>
      </c>
      <c r="E258" s="143">
        <f ca="1">IFERROR(__xludf.DUMMYFUNCTION("""COMPUTED_VALUE"""),0)</f>
        <v>0</v>
      </c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287"/>
      <c r="S258" s="291" t="e">
        <f ca="1">_xludf.ifs(A258="INDIA",E258/'Shared Summary by Dept_US$'!$B$31,A258="INDO",E258/'Shared Summary by Dept_US$'!$B$32,A258="BD",E258/'Shared Summary by Dept_US$'!$B$33,A258="Nepal",E258/'Shared Summary by Dept_US$'!$B$34,A258="US",E258/'Shared Summary by Dept_US$'!$B$35)</f>
        <v>#NAME?</v>
      </c>
      <c r="T258" s="15" t="s">
        <v>175</v>
      </c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spans="1:34" ht="15.75" customHeight="1" x14ac:dyDescent="0.25">
      <c r="A259" s="64" t="s">
        <v>44</v>
      </c>
      <c r="B259" s="64" t="str">
        <f ca="1">IFERROR(__xludf.DUMMYFUNCTION("""COMPUTED_VALUE"""),"Salaries and Wages")</f>
        <v>Salaries and Wages</v>
      </c>
      <c r="C259" s="64" t="str">
        <f ca="1">IFERROR(__xludf.DUMMYFUNCTION("""COMPUTED_VALUE"""),"Salaries and Wages")</f>
        <v>Salaries and Wages</v>
      </c>
      <c r="D259" s="293"/>
      <c r="E259" s="143">
        <f ca="1">IFERROR(__xludf.DUMMYFUNCTION("""COMPUTED_VALUE"""),0)</f>
        <v>0</v>
      </c>
      <c r="F259" s="143">
        <f ca="1">IFERROR(__xludf.DUMMYFUNCTION("""COMPUTED_VALUE"""),0)</f>
        <v>0</v>
      </c>
      <c r="G259" s="143">
        <f ca="1">IFERROR(__xludf.DUMMYFUNCTION("""COMPUTED_VALUE"""),0)</f>
        <v>0</v>
      </c>
      <c r="H259" s="143">
        <f ca="1">IFERROR(__xludf.DUMMYFUNCTION("""COMPUTED_VALUE"""),0)</f>
        <v>0</v>
      </c>
      <c r="I259" s="143">
        <f ca="1">IFERROR(__xludf.DUMMYFUNCTION("""COMPUTED_VALUE"""),0)</f>
        <v>0</v>
      </c>
      <c r="J259" s="143">
        <f ca="1">IFERROR(__xludf.DUMMYFUNCTION("""COMPUTED_VALUE"""),0)</f>
        <v>0</v>
      </c>
      <c r="K259" s="143">
        <f ca="1">IFERROR(__xludf.DUMMYFUNCTION("""COMPUTED_VALUE"""),0)</f>
        <v>0</v>
      </c>
      <c r="L259" s="143">
        <f ca="1">IFERROR(__xludf.DUMMYFUNCTION("""COMPUTED_VALUE"""),0)</f>
        <v>0</v>
      </c>
      <c r="M259" s="143">
        <f ca="1">IFERROR(__xludf.DUMMYFUNCTION("""COMPUTED_VALUE"""),0)</f>
        <v>0</v>
      </c>
      <c r="N259" s="143">
        <f ca="1">IFERROR(__xludf.DUMMYFUNCTION("""COMPUTED_VALUE"""),0)</f>
        <v>0</v>
      </c>
      <c r="O259" s="143">
        <f ca="1">IFERROR(__xludf.DUMMYFUNCTION("""COMPUTED_VALUE"""),0)</f>
        <v>0</v>
      </c>
      <c r="P259" s="143">
        <f ca="1">IFERROR(__xludf.DUMMYFUNCTION("""COMPUTED_VALUE"""),0)</f>
        <v>0</v>
      </c>
      <c r="Q259" s="143">
        <f ca="1">IFERROR(__xludf.DUMMYFUNCTION("""COMPUTED_VALUE"""),0)</f>
        <v>0</v>
      </c>
      <c r="R259" s="287"/>
      <c r="S259" s="291" t="e">
        <f ca="1">_xludf.ifs(A259="INDIA",E259/'Shared Summary by Dept_US$'!$B$31,A259="INDO",E259/'Shared Summary by Dept_US$'!$B$32,A259="BD",E259/'Shared Summary by Dept_US$'!$B$33,A259="Nepal",E259/'Shared Summary by Dept_US$'!$B$34,A259="US",E259/'Shared Summary by Dept_US$'!$B$35)</f>
        <v>#NAME?</v>
      </c>
      <c r="T259" s="292" t="s">
        <v>176</v>
      </c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spans="1:34" ht="15.75" customHeight="1" x14ac:dyDescent="0.25">
      <c r="A260" s="64" t="s">
        <v>44</v>
      </c>
      <c r="B260" s="64" t="str">
        <f ca="1">IFERROR(__xludf.DUMMYFUNCTION("""COMPUTED_VALUE"""),"Health and Retirement Benefits")</f>
        <v>Health and Retirement Benefits</v>
      </c>
      <c r="C260" s="64" t="str">
        <f ca="1">IFERROR(__xludf.DUMMYFUNCTION("""COMPUTED_VALUE"""),"Gratuity &amp; Bonus")</f>
        <v>Gratuity &amp; Bonus</v>
      </c>
      <c r="D260" s="293"/>
      <c r="E260" s="143">
        <f ca="1">IFERROR(__xludf.DUMMYFUNCTION("""COMPUTED_VALUE"""),0)</f>
        <v>0</v>
      </c>
      <c r="F260" s="143">
        <f ca="1">IFERROR(__xludf.DUMMYFUNCTION("""COMPUTED_VALUE"""),0)</f>
        <v>0</v>
      </c>
      <c r="G260" s="143">
        <f ca="1">IFERROR(__xludf.DUMMYFUNCTION("""COMPUTED_VALUE"""),0)</f>
        <v>0</v>
      </c>
      <c r="H260" s="143">
        <f ca="1">IFERROR(__xludf.DUMMYFUNCTION("""COMPUTED_VALUE"""),0)</f>
        <v>0</v>
      </c>
      <c r="I260" s="143">
        <f ca="1">IFERROR(__xludf.DUMMYFUNCTION("""COMPUTED_VALUE"""),0)</f>
        <v>0</v>
      </c>
      <c r="J260" s="143">
        <f ca="1">IFERROR(__xludf.DUMMYFUNCTION("""COMPUTED_VALUE"""),0)</f>
        <v>0</v>
      </c>
      <c r="K260" s="143">
        <f ca="1">IFERROR(__xludf.DUMMYFUNCTION("""COMPUTED_VALUE"""),0)</f>
        <v>0</v>
      </c>
      <c r="L260" s="143">
        <f ca="1">IFERROR(__xludf.DUMMYFUNCTION("""COMPUTED_VALUE"""),0)</f>
        <v>0</v>
      </c>
      <c r="M260" s="143">
        <f ca="1">IFERROR(__xludf.DUMMYFUNCTION("""COMPUTED_VALUE"""),0)</f>
        <v>0</v>
      </c>
      <c r="N260" s="143">
        <f ca="1">IFERROR(__xludf.DUMMYFUNCTION("""COMPUTED_VALUE"""),0)</f>
        <v>0</v>
      </c>
      <c r="O260" s="143">
        <f ca="1">IFERROR(__xludf.DUMMYFUNCTION("""COMPUTED_VALUE"""),0)</f>
        <v>0</v>
      </c>
      <c r="P260" s="143">
        <f ca="1">IFERROR(__xludf.DUMMYFUNCTION("""COMPUTED_VALUE"""),0)</f>
        <v>0</v>
      </c>
      <c r="Q260" s="143">
        <f ca="1">IFERROR(__xludf.DUMMYFUNCTION("""COMPUTED_VALUE"""),0)</f>
        <v>0</v>
      </c>
      <c r="R260" s="287"/>
      <c r="S260" s="291" t="e">
        <f ca="1">_xludf.ifs(A260="INDIA",E260/'Shared Summary by Dept_US$'!$B$31,A260="INDO",E260/'Shared Summary by Dept_US$'!$B$32,A260="BD",E260/'Shared Summary by Dept_US$'!$B$33,A260="Nepal",E260/'Shared Summary by Dept_US$'!$B$34,A260="US",E260/'Shared Summary by Dept_US$'!$B$35)</f>
        <v>#NAME?</v>
      </c>
      <c r="T260" s="292" t="s">
        <v>176</v>
      </c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spans="1:34" ht="15.75" customHeight="1" x14ac:dyDescent="0.25">
      <c r="A261" s="64" t="s">
        <v>44</v>
      </c>
      <c r="B261" s="64" t="str">
        <f ca="1">IFERROR(__xludf.DUMMYFUNCTION("""COMPUTED_VALUE"""),"Other Staff Expenses")</f>
        <v>Other Staff Expenses</v>
      </c>
      <c r="C261" s="64" t="str">
        <f ca="1">IFERROR(__xludf.DUMMYFUNCTION("""COMPUTED_VALUE"""),"Staff Training, Learning &amp; Development Exp")</f>
        <v>Staff Training, Learning &amp; Development Exp</v>
      </c>
      <c r="D261" s="293">
        <f ca="1">IFERROR(__xludf.DUMMYFUNCTION("""COMPUTED_VALUE"""),91302)</f>
        <v>91302</v>
      </c>
      <c r="E261" s="143">
        <f ca="1">IFERROR(__xludf.DUMMYFUNCTION("""COMPUTED_VALUE"""),0)</f>
        <v>0</v>
      </c>
      <c r="F261" s="143">
        <f ca="1">IFERROR(__xludf.DUMMYFUNCTION("""COMPUTED_VALUE"""),0)</f>
        <v>0</v>
      </c>
      <c r="G261" s="143">
        <f ca="1">IFERROR(__xludf.DUMMYFUNCTION("""COMPUTED_VALUE"""),0)</f>
        <v>0</v>
      </c>
      <c r="H261" s="143">
        <f ca="1">IFERROR(__xludf.DUMMYFUNCTION("""COMPUTED_VALUE"""),0)</f>
        <v>0</v>
      </c>
      <c r="I261" s="143">
        <f ca="1">IFERROR(__xludf.DUMMYFUNCTION("""COMPUTED_VALUE"""),0)</f>
        <v>0</v>
      </c>
      <c r="J261" s="143">
        <f ca="1">IFERROR(__xludf.DUMMYFUNCTION("""COMPUTED_VALUE"""),0)</f>
        <v>0</v>
      </c>
      <c r="K261" s="143">
        <f ca="1">IFERROR(__xludf.DUMMYFUNCTION("""COMPUTED_VALUE"""),0)</f>
        <v>0</v>
      </c>
      <c r="L261" s="143">
        <f ca="1">IFERROR(__xludf.DUMMYFUNCTION("""COMPUTED_VALUE"""),0)</f>
        <v>0</v>
      </c>
      <c r="M261" s="143">
        <f ca="1">IFERROR(__xludf.DUMMYFUNCTION("""COMPUTED_VALUE"""),0)</f>
        <v>0</v>
      </c>
      <c r="N261" s="143">
        <f ca="1">IFERROR(__xludf.DUMMYFUNCTION("""COMPUTED_VALUE"""),0)</f>
        <v>0</v>
      </c>
      <c r="O261" s="143">
        <f ca="1">IFERROR(__xludf.DUMMYFUNCTION("""COMPUTED_VALUE"""),0)</f>
        <v>0</v>
      </c>
      <c r="P261" s="143">
        <f ca="1">IFERROR(__xludf.DUMMYFUNCTION("""COMPUTED_VALUE"""),0)</f>
        <v>0</v>
      </c>
      <c r="Q261" s="143">
        <f ca="1">IFERROR(__xludf.DUMMYFUNCTION("""COMPUTED_VALUE"""),0)</f>
        <v>0</v>
      </c>
      <c r="R261" s="287"/>
      <c r="S261" s="291" t="e">
        <f ca="1">_xludf.ifs(A261="INDIA",E261/'Shared Summary by Dept_US$'!$B$31,A261="INDO",E261/'Shared Summary by Dept_US$'!$B$32,A261="BD",E261/'Shared Summary by Dept_US$'!$B$33,A261="Nepal",E261/'Shared Summary by Dept_US$'!$B$34,A261="US",E261/'Shared Summary by Dept_US$'!$B$35)</f>
        <v>#NAME?</v>
      </c>
      <c r="T261" s="292" t="s">
        <v>176</v>
      </c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spans="1:34" ht="15.75" customHeight="1" x14ac:dyDescent="0.25">
      <c r="A262" s="64" t="s">
        <v>44</v>
      </c>
      <c r="B262" s="64" t="str">
        <f ca="1">IFERROR(__xludf.DUMMYFUNCTION("""COMPUTED_VALUE"""),"Resource Persons")</f>
        <v>Resource Persons</v>
      </c>
      <c r="C262" s="64" t="str">
        <f ca="1">IFERROR(__xludf.DUMMYFUNCTION("""COMPUTED_VALUE"""),"Program Resource Consultant (EHA)")</f>
        <v>Program Resource Consultant (EHA)</v>
      </c>
      <c r="D262" s="293">
        <f ca="1">IFERROR(__xludf.DUMMYFUNCTION("""COMPUTED_VALUE"""),92101)</f>
        <v>92101</v>
      </c>
      <c r="E262" s="143">
        <f ca="1">IFERROR(__xludf.DUMMYFUNCTION("""COMPUTED_VALUE"""),0)</f>
        <v>0</v>
      </c>
      <c r="F262" s="143">
        <f ca="1">IFERROR(__xludf.DUMMYFUNCTION("""COMPUTED_VALUE"""),0)</f>
        <v>0</v>
      </c>
      <c r="G262" s="143">
        <f ca="1">IFERROR(__xludf.DUMMYFUNCTION("""COMPUTED_VALUE"""),0)</f>
        <v>0</v>
      </c>
      <c r="H262" s="143">
        <f ca="1">IFERROR(__xludf.DUMMYFUNCTION("""COMPUTED_VALUE"""),0)</f>
        <v>0</v>
      </c>
      <c r="I262" s="143">
        <f ca="1">IFERROR(__xludf.DUMMYFUNCTION("""COMPUTED_VALUE"""),0)</f>
        <v>0</v>
      </c>
      <c r="J262" s="143">
        <f ca="1">IFERROR(__xludf.DUMMYFUNCTION("""COMPUTED_VALUE"""),0)</f>
        <v>0</v>
      </c>
      <c r="K262" s="143">
        <f ca="1">IFERROR(__xludf.DUMMYFUNCTION("""COMPUTED_VALUE"""),0)</f>
        <v>0</v>
      </c>
      <c r="L262" s="143">
        <f ca="1">IFERROR(__xludf.DUMMYFUNCTION("""COMPUTED_VALUE"""),0)</f>
        <v>0</v>
      </c>
      <c r="M262" s="143">
        <f ca="1">IFERROR(__xludf.DUMMYFUNCTION("""COMPUTED_VALUE"""),0)</f>
        <v>0</v>
      </c>
      <c r="N262" s="143">
        <f ca="1">IFERROR(__xludf.DUMMYFUNCTION("""COMPUTED_VALUE"""),0)</f>
        <v>0</v>
      </c>
      <c r="O262" s="143">
        <f ca="1">IFERROR(__xludf.DUMMYFUNCTION("""COMPUTED_VALUE"""),0)</f>
        <v>0</v>
      </c>
      <c r="P262" s="143">
        <f ca="1">IFERROR(__xludf.DUMMYFUNCTION("""COMPUTED_VALUE"""),0)</f>
        <v>0</v>
      </c>
      <c r="Q262" s="143">
        <f ca="1">IFERROR(__xludf.DUMMYFUNCTION("""COMPUTED_VALUE"""),0)</f>
        <v>0</v>
      </c>
      <c r="R262" s="287"/>
      <c r="S262" s="291" t="e">
        <f ca="1">_xludf.ifs(A262="INDIA",E262/'Shared Summary by Dept_US$'!$B$31,A262="INDO",E262/'Shared Summary by Dept_US$'!$B$32,A262="BD",E262/'Shared Summary by Dept_US$'!$B$33,A262="Nepal",E262/'Shared Summary by Dept_US$'!$B$34,A262="US",E262/'Shared Summary by Dept_US$'!$B$35)</f>
        <v>#NAME?</v>
      </c>
      <c r="T262" s="292" t="s">
        <v>176</v>
      </c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spans="1:34" ht="15.75" customHeight="1" x14ac:dyDescent="0.25">
      <c r="A263" s="64" t="s">
        <v>44</v>
      </c>
      <c r="B263" s="64" t="str">
        <f ca="1">IFERROR(__xludf.DUMMYFUNCTION("""COMPUTED_VALUE"""),"Travel &amp; Lodging Expenses")</f>
        <v>Travel &amp; Lodging Expenses</v>
      </c>
      <c r="C263" s="64" t="str">
        <f ca="1">IFERROR(__xludf.DUMMYFUNCTION("""COMPUTED_VALUE"""),"Hotel Accomodation")</f>
        <v>Hotel Accomodation</v>
      </c>
      <c r="D263" s="293">
        <f ca="1">IFERROR(__xludf.DUMMYFUNCTION("""COMPUTED_VALUE"""),93101)</f>
        <v>93101</v>
      </c>
      <c r="E263" s="143">
        <f ca="1">IFERROR(__xludf.DUMMYFUNCTION("""COMPUTED_VALUE"""),0)</f>
        <v>0</v>
      </c>
      <c r="F263" s="143">
        <f ca="1">IFERROR(__xludf.DUMMYFUNCTION("""COMPUTED_VALUE"""),0)</f>
        <v>0</v>
      </c>
      <c r="G263" s="143">
        <f ca="1">IFERROR(__xludf.DUMMYFUNCTION("""COMPUTED_VALUE"""),0)</f>
        <v>0</v>
      </c>
      <c r="H263" s="143">
        <f ca="1">IFERROR(__xludf.DUMMYFUNCTION("""COMPUTED_VALUE"""),0)</f>
        <v>0</v>
      </c>
      <c r="I263" s="143">
        <f ca="1">IFERROR(__xludf.DUMMYFUNCTION("""COMPUTED_VALUE"""),0)</f>
        <v>0</v>
      </c>
      <c r="J263" s="143">
        <f ca="1">IFERROR(__xludf.DUMMYFUNCTION("""COMPUTED_VALUE"""),0)</f>
        <v>0</v>
      </c>
      <c r="K263" s="143">
        <f ca="1">IFERROR(__xludf.DUMMYFUNCTION("""COMPUTED_VALUE"""),0)</f>
        <v>0</v>
      </c>
      <c r="L263" s="143">
        <f ca="1">IFERROR(__xludf.DUMMYFUNCTION("""COMPUTED_VALUE"""),0)</f>
        <v>0</v>
      </c>
      <c r="M263" s="143">
        <f ca="1">IFERROR(__xludf.DUMMYFUNCTION("""COMPUTED_VALUE"""),0)</f>
        <v>0</v>
      </c>
      <c r="N263" s="143">
        <f ca="1">IFERROR(__xludf.DUMMYFUNCTION("""COMPUTED_VALUE"""),0)</f>
        <v>0</v>
      </c>
      <c r="O263" s="143">
        <f ca="1">IFERROR(__xludf.DUMMYFUNCTION("""COMPUTED_VALUE"""),0)</f>
        <v>0</v>
      </c>
      <c r="P263" s="143">
        <f ca="1">IFERROR(__xludf.DUMMYFUNCTION("""COMPUTED_VALUE"""),0)</f>
        <v>0</v>
      </c>
      <c r="Q263" s="143">
        <f ca="1">IFERROR(__xludf.DUMMYFUNCTION("""COMPUTED_VALUE"""),0)</f>
        <v>0</v>
      </c>
      <c r="R263" s="287"/>
      <c r="S263" s="291" t="e">
        <f ca="1">_xludf.ifs(A263="INDIA",E263/'Shared Summary by Dept_US$'!$B$31,A263="INDO",E263/'Shared Summary by Dept_US$'!$B$32,A263="BD",E263/'Shared Summary by Dept_US$'!$B$33,A263="Nepal",E263/'Shared Summary by Dept_US$'!$B$34,A263="US",E263/'Shared Summary by Dept_US$'!$B$35)</f>
        <v>#NAME?</v>
      </c>
      <c r="T263" s="292" t="s">
        <v>176</v>
      </c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spans="1:34" ht="15.75" customHeight="1" x14ac:dyDescent="0.25">
      <c r="A264" s="64" t="s">
        <v>44</v>
      </c>
      <c r="B264" s="64" t="str">
        <f ca="1">IFERROR(__xludf.DUMMYFUNCTION("""COMPUTED_VALUE"""),"Travel &amp; Lodging Expenses")</f>
        <v>Travel &amp; Lodging Expenses</v>
      </c>
      <c r="C264" s="64" t="str">
        <f ca="1">IFERROR(__xludf.DUMMYFUNCTION("""COMPUTED_VALUE"""),"Food Expenses")</f>
        <v>Food Expenses</v>
      </c>
      <c r="D264" s="293">
        <f ca="1">IFERROR(__xludf.DUMMYFUNCTION("""COMPUTED_VALUE"""),93102)</f>
        <v>93102</v>
      </c>
      <c r="E264" s="143">
        <f ca="1">IFERROR(__xludf.DUMMYFUNCTION("""COMPUTED_VALUE"""),0)</f>
        <v>0</v>
      </c>
      <c r="F264" s="143">
        <f ca="1">IFERROR(__xludf.DUMMYFUNCTION("""COMPUTED_VALUE"""),0)</f>
        <v>0</v>
      </c>
      <c r="G264" s="143">
        <f ca="1">IFERROR(__xludf.DUMMYFUNCTION("""COMPUTED_VALUE"""),0)</f>
        <v>0</v>
      </c>
      <c r="H264" s="143">
        <f ca="1">IFERROR(__xludf.DUMMYFUNCTION("""COMPUTED_VALUE"""),0)</f>
        <v>0</v>
      </c>
      <c r="I264" s="143">
        <f ca="1">IFERROR(__xludf.DUMMYFUNCTION("""COMPUTED_VALUE"""),0)</f>
        <v>0</v>
      </c>
      <c r="J264" s="143">
        <f ca="1">IFERROR(__xludf.DUMMYFUNCTION("""COMPUTED_VALUE"""),0)</f>
        <v>0</v>
      </c>
      <c r="K264" s="143">
        <f ca="1">IFERROR(__xludf.DUMMYFUNCTION("""COMPUTED_VALUE"""),0)</f>
        <v>0</v>
      </c>
      <c r="L264" s="143">
        <f ca="1">IFERROR(__xludf.DUMMYFUNCTION("""COMPUTED_VALUE"""),0)</f>
        <v>0</v>
      </c>
      <c r="M264" s="143">
        <f ca="1">IFERROR(__xludf.DUMMYFUNCTION("""COMPUTED_VALUE"""),0)</f>
        <v>0</v>
      </c>
      <c r="N264" s="143">
        <f ca="1">IFERROR(__xludf.DUMMYFUNCTION("""COMPUTED_VALUE"""),0)</f>
        <v>0</v>
      </c>
      <c r="O264" s="143">
        <f ca="1">IFERROR(__xludf.DUMMYFUNCTION("""COMPUTED_VALUE"""),0)</f>
        <v>0</v>
      </c>
      <c r="P264" s="143">
        <f ca="1">IFERROR(__xludf.DUMMYFUNCTION("""COMPUTED_VALUE"""),0)</f>
        <v>0</v>
      </c>
      <c r="Q264" s="143">
        <f ca="1">IFERROR(__xludf.DUMMYFUNCTION("""COMPUTED_VALUE"""),0)</f>
        <v>0</v>
      </c>
      <c r="R264" s="287"/>
      <c r="S264" s="291" t="e">
        <f ca="1">_xludf.ifs(A264="INDIA",E264/'Shared Summary by Dept_US$'!$B$31,A264="INDO",E264/'Shared Summary by Dept_US$'!$B$32,A264="BD",E264/'Shared Summary by Dept_US$'!$B$33,A264="Nepal",E264/'Shared Summary by Dept_US$'!$B$34,A264="US",E264/'Shared Summary by Dept_US$'!$B$35)</f>
        <v>#NAME?</v>
      </c>
      <c r="T264" s="292" t="s">
        <v>176</v>
      </c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spans="1:34" ht="15.75" customHeight="1" x14ac:dyDescent="0.25">
      <c r="A265" s="64" t="s">
        <v>44</v>
      </c>
      <c r="B265" s="64" t="str">
        <f ca="1">IFERROR(__xludf.DUMMYFUNCTION("""COMPUTED_VALUE"""),"Travel &amp; Lodging Expenses")</f>
        <v>Travel &amp; Lodging Expenses</v>
      </c>
      <c r="C265" s="64" t="str">
        <f ca="1">IFERROR(__xludf.DUMMYFUNCTION("""COMPUTED_VALUE"""),"Air fare")</f>
        <v>Air fare</v>
      </c>
      <c r="D265" s="293">
        <f ca="1">IFERROR(__xludf.DUMMYFUNCTION("""COMPUTED_VALUE"""),93103)</f>
        <v>93103</v>
      </c>
      <c r="E265" s="143">
        <f ca="1">IFERROR(__xludf.DUMMYFUNCTION("""COMPUTED_VALUE"""),0)</f>
        <v>0</v>
      </c>
      <c r="F265" s="143">
        <f ca="1">IFERROR(__xludf.DUMMYFUNCTION("""COMPUTED_VALUE"""),0)</f>
        <v>0</v>
      </c>
      <c r="G265" s="143">
        <f ca="1">IFERROR(__xludf.DUMMYFUNCTION("""COMPUTED_VALUE"""),0)</f>
        <v>0</v>
      </c>
      <c r="H265" s="143">
        <f ca="1">IFERROR(__xludf.DUMMYFUNCTION("""COMPUTED_VALUE"""),0)</f>
        <v>0</v>
      </c>
      <c r="I265" s="143">
        <f ca="1">IFERROR(__xludf.DUMMYFUNCTION("""COMPUTED_VALUE"""),0)</f>
        <v>0</v>
      </c>
      <c r="J265" s="143">
        <f ca="1">IFERROR(__xludf.DUMMYFUNCTION("""COMPUTED_VALUE"""),0)</f>
        <v>0</v>
      </c>
      <c r="K265" s="143">
        <f ca="1">IFERROR(__xludf.DUMMYFUNCTION("""COMPUTED_VALUE"""),0)</f>
        <v>0</v>
      </c>
      <c r="L265" s="143">
        <f ca="1">IFERROR(__xludf.DUMMYFUNCTION("""COMPUTED_VALUE"""),0)</f>
        <v>0</v>
      </c>
      <c r="M265" s="143">
        <f ca="1">IFERROR(__xludf.DUMMYFUNCTION("""COMPUTED_VALUE"""),0)</f>
        <v>0</v>
      </c>
      <c r="N265" s="143">
        <f ca="1">IFERROR(__xludf.DUMMYFUNCTION("""COMPUTED_VALUE"""),0)</f>
        <v>0</v>
      </c>
      <c r="O265" s="143">
        <f ca="1">IFERROR(__xludf.DUMMYFUNCTION("""COMPUTED_VALUE"""),0)</f>
        <v>0</v>
      </c>
      <c r="P265" s="143">
        <f ca="1">IFERROR(__xludf.DUMMYFUNCTION("""COMPUTED_VALUE"""),0)</f>
        <v>0</v>
      </c>
      <c r="Q265" s="143">
        <f ca="1">IFERROR(__xludf.DUMMYFUNCTION("""COMPUTED_VALUE"""),0)</f>
        <v>0</v>
      </c>
      <c r="R265" s="287"/>
      <c r="S265" s="291" t="e">
        <f ca="1">_xludf.ifs(A265="INDIA",E265/'Shared Summary by Dept_US$'!$B$31,A265="INDO",E265/'Shared Summary by Dept_US$'!$B$32,A265="BD",E265/'Shared Summary by Dept_US$'!$B$33,A265="Nepal",E265/'Shared Summary by Dept_US$'!$B$34,A265="US",E265/'Shared Summary by Dept_US$'!$B$35)</f>
        <v>#NAME?</v>
      </c>
      <c r="T265" s="292" t="s">
        <v>176</v>
      </c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spans="1:34" ht="15.75" customHeight="1" x14ac:dyDescent="0.25">
      <c r="A266" s="64" t="s">
        <v>44</v>
      </c>
      <c r="B266" s="64" t="str">
        <f ca="1">IFERROR(__xludf.DUMMYFUNCTION("""COMPUTED_VALUE"""),"Travel &amp; Lodging Expenses")</f>
        <v>Travel &amp; Lodging Expenses</v>
      </c>
      <c r="C266" s="64" t="str">
        <f ca="1">IFERROR(__xludf.DUMMYFUNCTION("""COMPUTED_VALUE"""),"Cab/Auto")</f>
        <v>Cab/Auto</v>
      </c>
      <c r="D266" s="293">
        <f ca="1">IFERROR(__xludf.DUMMYFUNCTION("""COMPUTED_VALUE"""),93104)</f>
        <v>93104</v>
      </c>
      <c r="E266" s="143">
        <f ca="1">IFERROR(__xludf.DUMMYFUNCTION("""COMPUTED_VALUE"""),0)</f>
        <v>0</v>
      </c>
      <c r="F266" s="143">
        <f ca="1">IFERROR(__xludf.DUMMYFUNCTION("""COMPUTED_VALUE"""),0)</f>
        <v>0</v>
      </c>
      <c r="G266" s="143">
        <f ca="1">IFERROR(__xludf.DUMMYFUNCTION("""COMPUTED_VALUE"""),0)</f>
        <v>0</v>
      </c>
      <c r="H266" s="143">
        <f ca="1">IFERROR(__xludf.DUMMYFUNCTION("""COMPUTED_VALUE"""),0)</f>
        <v>0</v>
      </c>
      <c r="I266" s="143">
        <f ca="1">IFERROR(__xludf.DUMMYFUNCTION("""COMPUTED_VALUE"""),0)</f>
        <v>0</v>
      </c>
      <c r="J266" s="143">
        <f ca="1">IFERROR(__xludf.DUMMYFUNCTION("""COMPUTED_VALUE"""),0)</f>
        <v>0</v>
      </c>
      <c r="K266" s="143">
        <f ca="1">IFERROR(__xludf.DUMMYFUNCTION("""COMPUTED_VALUE"""),0)</f>
        <v>0</v>
      </c>
      <c r="L266" s="143">
        <f ca="1">IFERROR(__xludf.DUMMYFUNCTION("""COMPUTED_VALUE"""),0)</f>
        <v>0</v>
      </c>
      <c r="M266" s="143">
        <f ca="1">IFERROR(__xludf.DUMMYFUNCTION("""COMPUTED_VALUE"""),0)</f>
        <v>0</v>
      </c>
      <c r="N266" s="143">
        <f ca="1">IFERROR(__xludf.DUMMYFUNCTION("""COMPUTED_VALUE"""),0)</f>
        <v>0</v>
      </c>
      <c r="O266" s="143">
        <f ca="1">IFERROR(__xludf.DUMMYFUNCTION("""COMPUTED_VALUE"""),0)</f>
        <v>0</v>
      </c>
      <c r="P266" s="143">
        <f ca="1">IFERROR(__xludf.DUMMYFUNCTION("""COMPUTED_VALUE"""),0)</f>
        <v>0</v>
      </c>
      <c r="Q266" s="143">
        <f ca="1">IFERROR(__xludf.DUMMYFUNCTION("""COMPUTED_VALUE"""),0)</f>
        <v>0</v>
      </c>
      <c r="R266" s="287"/>
      <c r="S266" s="291" t="e">
        <f ca="1">_xludf.ifs(A266="INDIA",E266/'Shared Summary by Dept_US$'!$B$31,A266="INDO",E266/'Shared Summary by Dept_US$'!$B$32,A266="BD",E266/'Shared Summary by Dept_US$'!$B$33,A266="Nepal",E266/'Shared Summary by Dept_US$'!$B$34,A266="US",E266/'Shared Summary by Dept_US$'!$B$35)</f>
        <v>#NAME?</v>
      </c>
      <c r="T266" s="292" t="s">
        <v>176</v>
      </c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spans="1:34" ht="15.75" customHeight="1" x14ac:dyDescent="0.25">
      <c r="A267" s="64" t="s">
        <v>44</v>
      </c>
      <c r="B267" s="64" t="str">
        <f ca="1">IFERROR(__xludf.DUMMYFUNCTION("""COMPUTED_VALUE"""),"Travel &amp; Lodging Expenses")</f>
        <v>Travel &amp; Lodging Expenses</v>
      </c>
      <c r="C267" s="64" t="str">
        <f ca="1">IFERROR(__xludf.DUMMYFUNCTION("""COMPUTED_VALUE"""),"Bus/Train")</f>
        <v>Bus/Train</v>
      </c>
      <c r="D267" s="293">
        <f ca="1">IFERROR(__xludf.DUMMYFUNCTION("""COMPUTED_VALUE"""),93105)</f>
        <v>93105</v>
      </c>
      <c r="E267" s="143">
        <f ca="1">IFERROR(__xludf.DUMMYFUNCTION("""COMPUTED_VALUE"""),0)</f>
        <v>0</v>
      </c>
      <c r="F267" s="143">
        <f ca="1">IFERROR(__xludf.DUMMYFUNCTION("""COMPUTED_VALUE"""),0)</f>
        <v>0</v>
      </c>
      <c r="G267" s="143">
        <f ca="1">IFERROR(__xludf.DUMMYFUNCTION("""COMPUTED_VALUE"""),0)</f>
        <v>0</v>
      </c>
      <c r="H267" s="143">
        <f ca="1">IFERROR(__xludf.DUMMYFUNCTION("""COMPUTED_VALUE"""),0)</f>
        <v>0</v>
      </c>
      <c r="I267" s="143">
        <f ca="1">IFERROR(__xludf.DUMMYFUNCTION("""COMPUTED_VALUE"""),0)</f>
        <v>0</v>
      </c>
      <c r="J267" s="143">
        <f ca="1">IFERROR(__xludf.DUMMYFUNCTION("""COMPUTED_VALUE"""),0)</f>
        <v>0</v>
      </c>
      <c r="K267" s="143">
        <f ca="1">IFERROR(__xludf.DUMMYFUNCTION("""COMPUTED_VALUE"""),0)</f>
        <v>0</v>
      </c>
      <c r="L267" s="143">
        <f ca="1">IFERROR(__xludf.DUMMYFUNCTION("""COMPUTED_VALUE"""),0)</f>
        <v>0</v>
      </c>
      <c r="M267" s="143">
        <f ca="1">IFERROR(__xludf.DUMMYFUNCTION("""COMPUTED_VALUE"""),0)</f>
        <v>0</v>
      </c>
      <c r="N267" s="143">
        <f ca="1">IFERROR(__xludf.DUMMYFUNCTION("""COMPUTED_VALUE"""),0)</f>
        <v>0</v>
      </c>
      <c r="O267" s="143">
        <f ca="1">IFERROR(__xludf.DUMMYFUNCTION("""COMPUTED_VALUE"""),0)</f>
        <v>0</v>
      </c>
      <c r="P267" s="143">
        <f ca="1">IFERROR(__xludf.DUMMYFUNCTION("""COMPUTED_VALUE"""),0)</f>
        <v>0</v>
      </c>
      <c r="Q267" s="143">
        <f ca="1">IFERROR(__xludf.DUMMYFUNCTION("""COMPUTED_VALUE"""),0)</f>
        <v>0</v>
      </c>
      <c r="R267" s="287"/>
      <c r="S267" s="291" t="e">
        <f ca="1">_xludf.ifs(A267="INDIA",E267/'Shared Summary by Dept_US$'!$B$31,A267="INDO",E267/'Shared Summary by Dept_US$'!$B$32,A267="BD",E267/'Shared Summary by Dept_US$'!$B$33,A267="Nepal",E267/'Shared Summary by Dept_US$'!$B$34,A267="US",E267/'Shared Summary by Dept_US$'!$B$35)</f>
        <v>#NAME?</v>
      </c>
      <c r="T267" s="292" t="s">
        <v>176</v>
      </c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spans="1:34" ht="15.75" customHeight="1" x14ac:dyDescent="0.25">
      <c r="A268" s="64" t="s">
        <v>44</v>
      </c>
      <c r="B268" s="64" t="str">
        <f ca="1">IFERROR(__xludf.DUMMYFUNCTION("""COMPUTED_VALUE"""),"Travel &amp; Lodging Expenses")</f>
        <v>Travel &amp; Lodging Expenses</v>
      </c>
      <c r="C268" s="64" t="str">
        <f ca="1">IFERROR(__xludf.DUMMYFUNCTION("""COMPUTED_VALUE"""),"Other incidental travel costs")</f>
        <v>Other incidental travel costs</v>
      </c>
      <c r="D268" s="293">
        <f ca="1">IFERROR(__xludf.DUMMYFUNCTION("""COMPUTED_VALUE"""),93106)</f>
        <v>93106</v>
      </c>
      <c r="E268" s="143">
        <f ca="1">IFERROR(__xludf.DUMMYFUNCTION("""COMPUTED_VALUE"""),0)</f>
        <v>0</v>
      </c>
      <c r="F268" s="143">
        <f ca="1">IFERROR(__xludf.DUMMYFUNCTION("""COMPUTED_VALUE"""),0)</f>
        <v>0</v>
      </c>
      <c r="G268" s="143">
        <f ca="1">IFERROR(__xludf.DUMMYFUNCTION("""COMPUTED_VALUE"""),0)</f>
        <v>0</v>
      </c>
      <c r="H268" s="143">
        <f ca="1">IFERROR(__xludf.DUMMYFUNCTION("""COMPUTED_VALUE"""),0)</f>
        <v>0</v>
      </c>
      <c r="I268" s="143">
        <f ca="1">IFERROR(__xludf.DUMMYFUNCTION("""COMPUTED_VALUE"""),0)</f>
        <v>0</v>
      </c>
      <c r="J268" s="143">
        <f ca="1">IFERROR(__xludf.DUMMYFUNCTION("""COMPUTED_VALUE"""),0)</f>
        <v>0</v>
      </c>
      <c r="K268" s="143">
        <f ca="1">IFERROR(__xludf.DUMMYFUNCTION("""COMPUTED_VALUE"""),0)</f>
        <v>0</v>
      </c>
      <c r="L268" s="143">
        <f ca="1">IFERROR(__xludf.DUMMYFUNCTION("""COMPUTED_VALUE"""),0)</f>
        <v>0</v>
      </c>
      <c r="M268" s="143">
        <f ca="1">IFERROR(__xludf.DUMMYFUNCTION("""COMPUTED_VALUE"""),0)</f>
        <v>0</v>
      </c>
      <c r="N268" s="143">
        <f ca="1">IFERROR(__xludf.DUMMYFUNCTION("""COMPUTED_VALUE"""),0)</f>
        <v>0</v>
      </c>
      <c r="O268" s="143">
        <f ca="1">IFERROR(__xludf.DUMMYFUNCTION("""COMPUTED_VALUE"""),0)</f>
        <v>0</v>
      </c>
      <c r="P268" s="143">
        <f ca="1">IFERROR(__xludf.DUMMYFUNCTION("""COMPUTED_VALUE"""),0)</f>
        <v>0</v>
      </c>
      <c r="Q268" s="143">
        <f ca="1">IFERROR(__xludf.DUMMYFUNCTION("""COMPUTED_VALUE"""),0)</f>
        <v>0</v>
      </c>
      <c r="R268" s="287"/>
      <c r="S268" s="291" t="e">
        <f ca="1">_xludf.ifs(A268="INDIA",E268/'Shared Summary by Dept_US$'!$B$31,A268="INDO",E268/'Shared Summary by Dept_US$'!$B$32,A268="BD",E268/'Shared Summary by Dept_US$'!$B$33,A268="Nepal",E268/'Shared Summary by Dept_US$'!$B$34,A268="US",E268/'Shared Summary by Dept_US$'!$B$35)</f>
        <v>#NAME?</v>
      </c>
      <c r="T268" s="292" t="s">
        <v>176</v>
      </c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spans="1:34" ht="15.75" customHeight="1" x14ac:dyDescent="0.25">
      <c r="A269" s="64" t="s">
        <v>44</v>
      </c>
      <c r="B269" s="64" t="str">
        <f ca="1">IFERROR(__xludf.DUMMYFUNCTION("""COMPUTED_VALUE"""),"Other Direct Expenses")</f>
        <v>Other Direct Expenses</v>
      </c>
      <c r="C269" s="64" t="str">
        <f ca="1">IFERROR(__xludf.DUMMYFUNCTION("""COMPUTED_VALUE"""),"Other Direct Expenses")</f>
        <v>Other Direct Expenses</v>
      </c>
      <c r="D269" s="293">
        <f ca="1">IFERROR(__xludf.DUMMYFUNCTION("""COMPUTED_VALUE"""),93201)</f>
        <v>93201</v>
      </c>
      <c r="E269" s="143">
        <f ca="1">IFERROR(__xludf.DUMMYFUNCTION("""COMPUTED_VALUE"""),0)</f>
        <v>0</v>
      </c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287"/>
      <c r="S269" s="291" t="e">
        <f ca="1">_xludf.ifs(A269="INDIA",E269/'Shared Summary by Dept_US$'!$B$31,A269="INDO",E269/'Shared Summary by Dept_US$'!$B$32,A269="BD",E269/'Shared Summary by Dept_US$'!$B$33,A269="Nepal",E269/'Shared Summary by Dept_US$'!$B$34,A269="US",E269/'Shared Summary by Dept_US$'!$B$35)</f>
        <v>#NAME?</v>
      </c>
      <c r="T269" s="292" t="s">
        <v>176</v>
      </c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spans="1:34" ht="15.75" customHeight="1" x14ac:dyDescent="0.25">
      <c r="A270" s="64" t="s">
        <v>44</v>
      </c>
      <c r="B270" s="64" t="str">
        <f ca="1">IFERROR(__xludf.DUMMYFUNCTION("""COMPUTED_VALUE"""),"Supplies &amp; Printing Costs")</f>
        <v>Supplies &amp; Printing Costs</v>
      </c>
      <c r="C270" s="64" t="str">
        <f ca="1">IFERROR(__xludf.DUMMYFUNCTION("""COMPUTED_VALUE"""),"Printing expenses")</f>
        <v>Printing expenses</v>
      </c>
      <c r="D270" s="293">
        <f ca="1">IFERROR(__xludf.DUMMYFUNCTION("""COMPUTED_VALUE"""),93204)</f>
        <v>93204</v>
      </c>
      <c r="E270" s="143">
        <f ca="1">IFERROR(__xludf.DUMMYFUNCTION("""COMPUTED_VALUE"""),0)</f>
        <v>0</v>
      </c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287"/>
      <c r="S270" s="291" t="e">
        <f ca="1">_xludf.ifs(A270="INDIA",E270/'Shared Summary by Dept_US$'!$B$31,A270="INDO",E270/'Shared Summary by Dept_US$'!$B$32,A270="BD",E270/'Shared Summary by Dept_US$'!$B$33,A270="Nepal",E270/'Shared Summary by Dept_US$'!$B$34,A270="US",E270/'Shared Summary by Dept_US$'!$B$35)</f>
        <v>#NAME?</v>
      </c>
      <c r="T270" s="292" t="s">
        <v>176</v>
      </c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spans="1:34" ht="15.75" customHeight="1" x14ac:dyDescent="0.25">
      <c r="A271" s="64" t="s">
        <v>44</v>
      </c>
      <c r="B271" s="64" t="str">
        <f ca="1">IFERROR(__xludf.DUMMYFUNCTION("""COMPUTED_VALUE"""),"Communication Cost")</f>
        <v>Communication Cost</v>
      </c>
      <c r="C271" s="64" t="str">
        <f ca="1">IFERROR(__xludf.DUMMYFUNCTION("""COMPUTED_VALUE"""),"Internet Expenses")</f>
        <v>Internet Expenses</v>
      </c>
      <c r="D271" s="293">
        <f ca="1">IFERROR(__xludf.DUMMYFUNCTION("""COMPUTED_VALUE"""),93301)</f>
        <v>93301</v>
      </c>
      <c r="E271" s="143">
        <f ca="1">IFERROR(__xludf.DUMMYFUNCTION("""COMPUTED_VALUE"""),0)</f>
        <v>0</v>
      </c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287"/>
      <c r="S271" s="291" t="e">
        <f ca="1">_xludf.ifs(A271="INDIA",E271/'Shared Summary by Dept_US$'!$B$31,A271="INDO",E271/'Shared Summary by Dept_US$'!$B$32,A271="BD",E271/'Shared Summary by Dept_US$'!$B$33,A271="Nepal",E271/'Shared Summary by Dept_US$'!$B$34,A271="US",E271/'Shared Summary by Dept_US$'!$B$35)</f>
        <v>#NAME?</v>
      </c>
      <c r="T271" s="292" t="s">
        <v>176</v>
      </c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spans="1:34" ht="15.75" customHeight="1" x14ac:dyDescent="0.25">
      <c r="A272" s="64" t="s">
        <v>44</v>
      </c>
      <c r="B272" s="64" t="str">
        <f ca="1">IFERROR(__xludf.DUMMYFUNCTION("""COMPUTED_VALUE"""),"Communication Cost")</f>
        <v>Communication Cost</v>
      </c>
      <c r="C272" s="64" t="str">
        <f ca="1">IFERROR(__xludf.DUMMYFUNCTION("""COMPUTED_VALUE"""),"Postage &amp; Courier Expenses")</f>
        <v>Postage &amp; Courier Expenses</v>
      </c>
      <c r="D272" s="293">
        <f ca="1">IFERROR(__xludf.DUMMYFUNCTION("""COMPUTED_VALUE"""),93302)</f>
        <v>93302</v>
      </c>
      <c r="E272" s="143">
        <f ca="1">IFERROR(__xludf.DUMMYFUNCTION("""COMPUTED_VALUE"""),0)</f>
        <v>0</v>
      </c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287"/>
      <c r="S272" s="291" t="e">
        <f ca="1">_xludf.ifs(A272="INDIA",E272/'Shared Summary by Dept_US$'!$B$31,A272="INDO",E272/'Shared Summary by Dept_US$'!$B$32,A272="BD",E272/'Shared Summary by Dept_US$'!$B$33,A272="Nepal",E272/'Shared Summary by Dept_US$'!$B$34,A272="US",E272/'Shared Summary by Dept_US$'!$B$35)</f>
        <v>#NAME?</v>
      </c>
      <c r="T272" s="292" t="s">
        <v>176</v>
      </c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spans="1:34" ht="15.75" customHeight="1" x14ac:dyDescent="0.25">
      <c r="A273" s="64" t="s">
        <v>44</v>
      </c>
      <c r="B273" s="64" t="str">
        <f ca="1">IFERROR(__xludf.DUMMYFUNCTION("""COMPUTED_VALUE"""),"Communication Cost")</f>
        <v>Communication Cost</v>
      </c>
      <c r="C273" s="64" t="str">
        <f ca="1">IFERROR(__xludf.DUMMYFUNCTION("""COMPUTED_VALUE"""),"Telecommunication expenses")</f>
        <v>Telecommunication expenses</v>
      </c>
      <c r="D273" s="293">
        <f ca="1">IFERROR(__xludf.DUMMYFUNCTION("""COMPUTED_VALUE"""),93303)</f>
        <v>93303</v>
      </c>
      <c r="E273" s="143">
        <f ca="1">IFERROR(__xludf.DUMMYFUNCTION("""COMPUTED_VALUE"""),0)</f>
        <v>0</v>
      </c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287"/>
      <c r="S273" s="291" t="e">
        <f ca="1">_xludf.ifs(A273="INDIA",E273/'Shared Summary by Dept_US$'!$B$31,A273="INDO",E273/'Shared Summary by Dept_US$'!$B$32,A273="BD",E273/'Shared Summary by Dept_US$'!$B$33,A273="Nepal",E273/'Shared Summary by Dept_US$'!$B$34,A273="US",E273/'Shared Summary by Dept_US$'!$B$35)</f>
        <v>#NAME?</v>
      </c>
      <c r="T273" s="292" t="s">
        <v>176</v>
      </c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spans="1:34" ht="15.75" customHeight="1" x14ac:dyDescent="0.25">
      <c r="A274" s="64" t="s">
        <v>44</v>
      </c>
      <c r="B274" s="64" t="str">
        <f ca="1">IFERROR(__xludf.DUMMYFUNCTION("""COMPUTED_VALUE"""),"Office Expenses")</f>
        <v>Office Expenses</v>
      </c>
      <c r="C274" s="64" t="str">
        <f ca="1">IFERROR(__xludf.DUMMYFUNCTION("""COMPUTED_VALUE"""),"Software and Subscriptions")</f>
        <v>Software and Subscriptions</v>
      </c>
      <c r="D274" s="293">
        <f ca="1">IFERROR(__xludf.DUMMYFUNCTION("""COMPUTED_VALUE"""),93401)</f>
        <v>93401</v>
      </c>
      <c r="E274" s="143">
        <f ca="1">IFERROR(__xludf.DUMMYFUNCTION("""COMPUTED_VALUE"""),0)</f>
        <v>0</v>
      </c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287"/>
      <c r="S274" s="291" t="e">
        <f ca="1">_xludf.ifs(A274="INDIA",E274/'Shared Summary by Dept_US$'!$B$31,A274="INDO",E274/'Shared Summary by Dept_US$'!$B$32,A274="BD",E274/'Shared Summary by Dept_US$'!$B$33,A274="Nepal",E274/'Shared Summary by Dept_US$'!$B$34,A274="US",E274/'Shared Summary by Dept_US$'!$B$35)</f>
        <v>#NAME?</v>
      </c>
      <c r="T274" s="292" t="s">
        <v>176</v>
      </c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spans="1:34" ht="15.75" customHeight="1" x14ac:dyDescent="0.25">
      <c r="A275" s="64" t="s">
        <v>44</v>
      </c>
      <c r="B275" s="64" t="str">
        <f ca="1">IFERROR(__xludf.DUMMYFUNCTION("""COMPUTED_VALUE"""),"Office Expenses")</f>
        <v>Office Expenses</v>
      </c>
      <c r="C275" s="64" t="str">
        <f ca="1">IFERROR(__xludf.DUMMYFUNCTION("""COMPUTED_VALUE"""),"Stationery &amp; Consumables")</f>
        <v>Stationery &amp; Consumables</v>
      </c>
      <c r="D275" s="293">
        <f ca="1">IFERROR(__xludf.DUMMYFUNCTION("""COMPUTED_VALUE"""),93404)</f>
        <v>93404</v>
      </c>
      <c r="E275" s="143">
        <f ca="1">IFERROR(__xludf.DUMMYFUNCTION("""COMPUTED_VALUE"""),0)</f>
        <v>0</v>
      </c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287"/>
      <c r="S275" s="291" t="e">
        <f ca="1">_xludf.ifs(A275="INDIA",E275/'Shared Summary by Dept_US$'!$B$31,A275="INDO",E275/'Shared Summary by Dept_US$'!$B$32,A275="BD",E275/'Shared Summary by Dept_US$'!$B$33,A275="Nepal",E275/'Shared Summary by Dept_US$'!$B$34,A275="US",E275/'Shared Summary by Dept_US$'!$B$35)</f>
        <v>#NAME?</v>
      </c>
      <c r="T275" s="292" t="s">
        <v>176</v>
      </c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spans="1:34" ht="15.75" customHeight="1" x14ac:dyDescent="0.25">
      <c r="A276" s="64" t="s">
        <v>44</v>
      </c>
      <c r="B276" s="64" t="str">
        <f ca="1">IFERROR(__xludf.DUMMYFUNCTION("""COMPUTED_VALUE"""),"Office Expenses")</f>
        <v>Office Expenses</v>
      </c>
      <c r="C276" s="64" t="str">
        <f ca="1">IFERROR(__xludf.DUMMYFUNCTION("""COMPUTED_VALUE"""),"Office Equipment Expense")</f>
        <v>Office Equipment Expense</v>
      </c>
      <c r="D276" s="293">
        <f ca="1">IFERROR(__xludf.DUMMYFUNCTION("""COMPUTED_VALUE"""),93405)</f>
        <v>93405</v>
      </c>
      <c r="E276" s="143">
        <f ca="1">IFERROR(__xludf.DUMMYFUNCTION("""COMPUTED_VALUE"""),0)</f>
        <v>0</v>
      </c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287"/>
      <c r="S276" s="291" t="e">
        <f ca="1">_xludf.ifs(A276="INDIA",E276/'Shared Summary by Dept_US$'!$B$31,A276="INDO",E276/'Shared Summary by Dept_US$'!$B$32,A276="BD",E276/'Shared Summary by Dept_US$'!$B$33,A276="Nepal",E276/'Shared Summary by Dept_US$'!$B$34,A276="US",E276/'Shared Summary by Dept_US$'!$B$35)</f>
        <v>#NAME?</v>
      </c>
      <c r="T276" s="292" t="s">
        <v>176</v>
      </c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spans="1:34" ht="15.75" customHeight="1" x14ac:dyDescent="0.25">
      <c r="A277" s="64" t="s">
        <v>44</v>
      </c>
      <c r="B277" s="64" t="str">
        <f ca="1">IFERROR(__xludf.DUMMYFUNCTION("""COMPUTED_VALUE"""),"Professional &amp; Consultancy Charges")</f>
        <v>Professional &amp; Consultancy Charges</v>
      </c>
      <c r="C277" s="64" t="str">
        <f ca="1">IFERROR(__xludf.DUMMYFUNCTION("""COMPUTED_VALUE"""),"Admin Consultants")</f>
        <v>Admin Consultants</v>
      </c>
      <c r="D277" s="293">
        <f ca="1">IFERROR(__xludf.DUMMYFUNCTION("""COMPUTED_VALUE"""),93703)</f>
        <v>93703</v>
      </c>
      <c r="E277" s="143">
        <f ca="1">IFERROR(__xludf.DUMMYFUNCTION("""COMPUTED_VALUE"""),0)</f>
        <v>0</v>
      </c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287"/>
      <c r="S277" s="291" t="e">
        <f ca="1">_xludf.ifs(A277="INDIA",E277/'Shared Summary by Dept_US$'!$B$31,A277="INDO",E277/'Shared Summary by Dept_US$'!$B$32,A277="BD",E277/'Shared Summary by Dept_US$'!$B$33,A277="Nepal",E277/'Shared Summary by Dept_US$'!$B$34,A277="US",E277/'Shared Summary by Dept_US$'!$B$35)</f>
        <v>#NAME?</v>
      </c>
      <c r="T277" s="292" t="s">
        <v>176</v>
      </c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spans="1:34" ht="15.75" customHeight="1" x14ac:dyDescent="0.25">
      <c r="A278" s="64" t="s">
        <v>44</v>
      </c>
      <c r="B278" s="64" t="str">
        <f ca="1">IFERROR(__xludf.DUMMYFUNCTION("""COMPUTED_VALUE"""),"Fixed Assets")</f>
        <v>Fixed Assets</v>
      </c>
      <c r="C278" s="64" t="str">
        <f ca="1">IFERROR(__xludf.DUMMYFUNCTION("""COMPUTED_VALUE"""),"Laptop/ Printer")</f>
        <v>Laptop/ Printer</v>
      </c>
      <c r="D278" s="293">
        <f ca="1">IFERROR(__xludf.DUMMYFUNCTION("""COMPUTED_VALUE"""),11301)</f>
        <v>11301</v>
      </c>
      <c r="E278" s="143">
        <f ca="1">IFERROR(__xludf.DUMMYFUNCTION("""COMPUTED_VALUE"""),0)</f>
        <v>0</v>
      </c>
      <c r="F278" s="143">
        <f ca="1">IFERROR(__xludf.DUMMYFUNCTION("""COMPUTED_VALUE"""),0)</f>
        <v>0</v>
      </c>
      <c r="G278" s="143">
        <f ca="1">IFERROR(__xludf.DUMMYFUNCTION("""COMPUTED_VALUE"""),0)</f>
        <v>0</v>
      </c>
      <c r="H278" s="143">
        <f ca="1">IFERROR(__xludf.DUMMYFUNCTION("""COMPUTED_VALUE"""),0)</f>
        <v>0</v>
      </c>
      <c r="I278" s="143">
        <f ca="1">IFERROR(__xludf.DUMMYFUNCTION("""COMPUTED_VALUE"""),0)</f>
        <v>0</v>
      </c>
      <c r="J278" s="143">
        <f ca="1">IFERROR(__xludf.DUMMYFUNCTION("""COMPUTED_VALUE"""),0)</f>
        <v>0</v>
      </c>
      <c r="K278" s="143">
        <f ca="1">IFERROR(__xludf.DUMMYFUNCTION("""COMPUTED_VALUE"""),0)</f>
        <v>0</v>
      </c>
      <c r="L278" s="143">
        <f ca="1">IFERROR(__xludf.DUMMYFUNCTION("""COMPUTED_VALUE"""),0)</f>
        <v>0</v>
      </c>
      <c r="M278" s="143">
        <f ca="1">IFERROR(__xludf.DUMMYFUNCTION("""COMPUTED_VALUE"""),0)</f>
        <v>0</v>
      </c>
      <c r="N278" s="143">
        <f ca="1">IFERROR(__xludf.DUMMYFUNCTION("""COMPUTED_VALUE"""),0)</f>
        <v>0</v>
      </c>
      <c r="O278" s="143">
        <f ca="1">IFERROR(__xludf.DUMMYFUNCTION("""COMPUTED_VALUE"""),0)</f>
        <v>0</v>
      </c>
      <c r="P278" s="143">
        <f ca="1">IFERROR(__xludf.DUMMYFUNCTION("""COMPUTED_VALUE"""),0)</f>
        <v>0</v>
      </c>
      <c r="Q278" s="143">
        <f ca="1">IFERROR(__xludf.DUMMYFUNCTION("""COMPUTED_VALUE"""),0)</f>
        <v>0</v>
      </c>
      <c r="R278" s="287"/>
      <c r="S278" s="291" t="e">
        <f ca="1">_xludf.ifs(A278="INDIA",E278/'Shared Summary by Dept_US$'!$B$31,A278="INDO",E278/'Shared Summary by Dept_US$'!$B$32,A278="BD",E278/'Shared Summary by Dept_US$'!$B$33,A278="Nepal",E278/'Shared Summary by Dept_US$'!$B$34,A278="US",E278/'Shared Summary by Dept_US$'!$B$35)</f>
        <v>#NAME?</v>
      </c>
      <c r="T278" s="292" t="s">
        <v>176</v>
      </c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spans="1:34" ht="15.75" customHeight="1" x14ac:dyDescent="0.25">
      <c r="A279" s="64" t="s">
        <v>44</v>
      </c>
      <c r="B279" s="64" t="str">
        <f ca="1">IFERROR(__xludf.DUMMYFUNCTION("""COMPUTED_VALUE"""),"Salaries and Wages")</f>
        <v>Salaries and Wages</v>
      </c>
      <c r="C279" s="64" t="str">
        <f ca="1">IFERROR(__xludf.DUMMYFUNCTION("""COMPUTED_VALUE"""),"Salaries and Wages")</f>
        <v>Salaries and Wages</v>
      </c>
      <c r="D279" s="293"/>
      <c r="E279" s="143">
        <f ca="1">IFERROR(__xludf.DUMMYFUNCTION("""COMPUTED_VALUE"""),0)</f>
        <v>0</v>
      </c>
      <c r="F279" s="143">
        <f ca="1">IFERROR(__xludf.DUMMYFUNCTION("""COMPUTED_VALUE"""),0)</f>
        <v>0</v>
      </c>
      <c r="G279" s="143">
        <f ca="1">IFERROR(__xludf.DUMMYFUNCTION("""COMPUTED_VALUE"""),0)</f>
        <v>0</v>
      </c>
      <c r="H279" s="143">
        <f ca="1">IFERROR(__xludf.DUMMYFUNCTION("""COMPUTED_VALUE"""),0)</f>
        <v>0</v>
      </c>
      <c r="I279" s="143">
        <f ca="1">IFERROR(__xludf.DUMMYFUNCTION("""COMPUTED_VALUE"""),0)</f>
        <v>0</v>
      </c>
      <c r="J279" s="143">
        <f ca="1">IFERROR(__xludf.DUMMYFUNCTION("""COMPUTED_VALUE"""),0)</f>
        <v>0</v>
      </c>
      <c r="K279" s="143">
        <f ca="1">IFERROR(__xludf.DUMMYFUNCTION("""COMPUTED_VALUE"""),0)</f>
        <v>0</v>
      </c>
      <c r="L279" s="143">
        <f ca="1">IFERROR(__xludf.DUMMYFUNCTION("""COMPUTED_VALUE"""),0)</f>
        <v>0</v>
      </c>
      <c r="M279" s="143">
        <f ca="1">IFERROR(__xludf.DUMMYFUNCTION("""COMPUTED_VALUE"""),0)</f>
        <v>0</v>
      </c>
      <c r="N279" s="143">
        <f ca="1">IFERROR(__xludf.DUMMYFUNCTION("""COMPUTED_VALUE"""),0)</f>
        <v>0</v>
      </c>
      <c r="O279" s="143">
        <f ca="1">IFERROR(__xludf.DUMMYFUNCTION("""COMPUTED_VALUE"""),0)</f>
        <v>0</v>
      </c>
      <c r="P279" s="143">
        <f ca="1">IFERROR(__xludf.DUMMYFUNCTION("""COMPUTED_VALUE"""),0)</f>
        <v>0</v>
      </c>
      <c r="Q279" s="143">
        <f ca="1">IFERROR(__xludf.DUMMYFUNCTION("""COMPUTED_VALUE"""),0)</f>
        <v>0</v>
      </c>
      <c r="R279" s="287"/>
      <c r="S279" s="291" t="e">
        <f ca="1">_xludf.ifs(A279="INDIA",E279/'Shared Summary by Dept_US$'!$B$31,A279="INDO",E279/'Shared Summary by Dept_US$'!$B$32,A279="BD",E279/'Shared Summary by Dept_US$'!$B$33,A279="Nepal",E279/'Shared Summary by Dept_US$'!$B$34,A279="US",E279/'Shared Summary by Dept_US$'!$B$35)</f>
        <v>#NAME?</v>
      </c>
      <c r="T279" s="292" t="s">
        <v>177</v>
      </c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spans="1:34" ht="15.75" customHeight="1" x14ac:dyDescent="0.25">
      <c r="A280" s="64" t="s">
        <v>44</v>
      </c>
      <c r="B280" s="64" t="str">
        <f ca="1">IFERROR(__xludf.DUMMYFUNCTION("""COMPUTED_VALUE"""),"Health and Retirement Benefits")</f>
        <v>Health and Retirement Benefits</v>
      </c>
      <c r="C280" s="64" t="str">
        <f ca="1">IFERROR(__xludf.DUMMYFUNCTION("""COMPUTED_VALUE"""),"Gratuity &amp; Bonus")</f>
        <v>Gratuity &amp; Bonus</v>
      </c>
      <c r="D280" s="293"/>
      <c r="E280" s="143">
        <f ca="1">IFERROR(__xludf.DUMMYFUNCTION("""COMPUTED_VALUE"""),0)</f>
        <v>0</v>
      </c>
      <c r="F280" s="143">
        <f ca="1">IFERROR(__xludf.DUMMYFUNCTION("""COMPUTED_VALUE"""),0)</f>
        <v>0</v>
      </c>
      <c r="G280" s="143">
        <f ca="1">IFERROR(__xludf.DUMMYFUNCTION("""COMPUTED_VALUE"""),0)</f>
        <v>0</v>
      </c>
      <c r="H280" s="143">
        <f ca="1">IFERROR(__xludf.DUMMYFUNCTION("""COMPUTED_VALUE"""),0)</f>
        <v>0</v>
      </c>
      <c r="I280" s="143">
        <f ca="1">IFERROR(__xludf.DUMMYFUNCTION("""COMPUTED_VALUE"""),0)</f>
        <v>0</v>
      </c>
      <c r="J280" s="143">
        <f ca="1">IFERROR(__xludf.DUMMYFUNCTION("""COMPUTED_VALUE"""),0)</f>
        <v>0</v>
      </c>
      <c r="K280" s="143">
        <f ca="1">IFERROR(__xludf.DUMMYFUNCTION("""COMPUTED_VALUE"""),0)</f>
        <v>0</v>
      </c>
      <c r="L280" s="143">
        <f ca="1">IFERROR(__xludf.DUMMYFUNCTION("""COMPUTED_VALUE"""),0)</f>
        <v>0</v>
      </c>
      <c r="M280" s="143">
        <f ca="1">IFERROR(__xludf.DUMMYFUNCTION("""COMPUTED_VALUE"""),0)</f>
        <v>0</v>
      </c>
      <c r="N280" s="143">
        <f ca="1">IFERROR(__xludf.DUMMYFUNCTION("""COMPUTED_VALUE"""),0)</f>
        <v>0</v>
      </c>
      <c r="O280" s="143">
        <f ca="1">IFERROR(__xludf.DUMMYFUNCTION("""COMPUTED_VALUE"""),0)</f>
        <v>0</v>
      </c>
      <c r="P280" s="143">
        <f ca="1">IFERROR(__xludf.DUMMYFUNCTION("""COMPUTED_VALUE"""),0)</f>
        <v>0</v>
      </c>
      <c r="Q280" s="143">
        <f ca="1">IFERROR(__xludf.DUMMYFUNCTION("""COMPUTED_VALUE"""),0)</f>
        <v>0</v>
      </c>
      <c r="R280" s="287"/>
      <c r="S280" s="291" t="e">
        <f ca="1">_xludf.ifs(A280="INDIA",E280/'Shared Summary by Dept_US$'!$B$31,A280="INDO",E280/'Shared Summary by Dept_US$'!$B$32,A280="BD",E280/'Shared Summary by Dept_US$'!$B$33,A280="Nepal",E280/'Shared Summary by Dept_US$'!$B$34,A280="US",E280/'Shared Summary by Dept_US$'!$B$35)</f>
        <v>#NAME?</v>
      </c>
      <c r="T280" s="292" t="s">
        <v>177</v>
      </c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spans="1:34" ht="15.75" customHeight="1" x14ac:dyDescent="0.25">
      <c r="A281" s="64" t="s">
        <v>44</v>
      </c>
      <c r="B281" s="64" t="str">
        <f ca="1">IFERROR(__xludf.DUMMYFUNCTION("""COMPUTED_VALUE"""),"Other Staff Expenses")</f>
        <v>Other Staff Expenses</v>
      </c>
      <c r="C281" s="64" t="str">
        <f ca="1">IFERROR(__xludf.DUMMYFUNCTION("""COMPUTED_VALUE"""),"Staff Training, Learning &amp; Development Exp")</f>
        <v>Staff Training, Learning &amp; Development Exp</v>
      </c>
      <c r="D281" s="293">
        <f ca="1">IFERROR(__xludf.DUMMYFUNCTION("""COMPUTED_VALUE"""),91302)</f>
        <v>91302</v>
      </c>
      <c r="E281" s="143">
        <f ca="1">IFERROR(__xludf.DUMMYFUNCTION("""COMPUTED_VALUE"""),0)</f>
        <v>0</v>
      </c>
      <c r="F281" s="143">
        <f ca="1">IFERROR(__xludf.DUMMYFUNCTION("""COMPUTED_VALUE"""),0)</f>
        <v>0</v>
      </c>
      <c r="G281" s="143">
        <f ca="1">IFERROR(__xludf.DUMMYFUNCTION("""COMPUTED_VALUE"""),0)</f>
        <v>0</v>
      </c>
      <c r="H281" s="143">
        <f ca="1">IFERROR(__xludf.DUMMYFUNCTION("""COMPUTED_VALUE"""),0)</f>
        <v>0</v>
      </c>
      <c r="I281" s="143">
        <f ca="1">IFERROR(__xludf.DUMMYFUNCTION("""COMPUTED_VALUE"""),0)</f>
        <v>0</v>
      </c>
      <c r="J281" s="143">
        <f ca="1">IFERROR(__xludf.DUMMYFUNCTION("""COMPUTED_VALUE"""),0)</f>
        <v>0</v>
      </c>
      <c r="K281" s="143">
        <f ca="1">IFERROR(__xludf.DUMMYFUNCTION("""COMPUTED_VALUE"""),0)</f>
        <v>0</v>
      </c>
      <c r="L281" s="143">
        <f ca="1">IFERROR(__xludf.DUMMYFUNCTION("""COMPUTED_VALUE"""),0)</f>
        <v>0</v>
      </c>
      <c r="M281" s="143">
        <f ca="1">IFERROR(__xludf.DUMMYFUNCTION("""COMPUTED_VALUE"""),0)</f>
        <v>0</v>
      </c>
      <c r="N281" s="143">
        <f ca="1">IFERROR(__xludf.DUMMYFUNCTION("""COMPUTED_VALUE"""),0)</f>
        <v>0</v>
      </c>
      <c r="O281" s="143">
        <f ca="1">IFERROR(__xludf.DUMMYFUNCTION("""COMPUTED_VALUE"""),0)</f>
        <v>0</v>
      </c>
      <c r="P281" s="143">
        <f ca="1">IFERROR(__xludf.DUMMYFUNCTION("""COMPUTED_VALUE"""),0)</f>
        <v>0</v>
      </c>
      <c r="Q281" s="143">
        <f ca="1">IFERROR(__xludf.DUMMYFUNCTION("""COMPUTED_VALUE"""),0)</f>
        <v>0</v>
      </c>
      <c r="R281" s="287"/>
      <c r="S281" s="291" t="e">
        <f ca="1">_xludf.ifs(A281="INDIA",E281/'Shared Summary by Dept_US$'!$B$31,A281="INDO",E281/'Shared Summary by Dept_US$'!$B$32,A281="BD",E281/'Shared Summary by Dept_US$'!$B$33,A281="Nepal",E281/'Shared Summary by Dept_US$'!$B$34,A281="US",E281/'Shared Summary by Dept_US$'!$B$35)</f>
        <v>#NAME?</v>
      </c>
      <c r="T281" s="292" t="s">
        <v>177</v>
      </c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spans="1:34" ht="15.75" customHeight="1" x14ac:dyDescent="0.25">
      <c r="A282" s="64" t="s">
        <v>44</v>
      </c>
      <c r="B282" s="64" t="str">
        <f ca="1">IFERROR(__xludf.DUMMYFUNCTION("""COMPUTED_VALUE"""),"Resource Persons")</f>
        <v>Resource Persons</v>
      </c>
      <c r="C282" s="64" t="str">
        <f ca="1">IFERROR(__xludf.DUMMYFUNCTION("""COMPUTED_VALUE"""),"Program Resource Consultant (EHA)")</f>
        <v>Program Resource Consultant (EHA)</v>
      </c>
      <c r="D282" s="293">
        <f ca="1">IFERROR(__xludf.DUMMYFUNCTION("""COMPUTED_VALUE"""),92101)</f>
        <v>92101</v>
      </c>
      <c r="E282" s="143">
        <f ca="1">IFERROR(__xludf.DUMMYFUNCTION("""COMPUTED_VALUE"""),8715)</f>
        <v>8715</v>
      </c>
      <c r="F282" s="143">
        <f ca="1">IFERROR(__xludf.DUMMYFUNCTION("""COMPUTED_VALUE"""),2905)</f>
        <v>2905</v>
      </c>
      <c r="G282" s="143">
        <f ca="1">IFERROR(__xludf.DUMMYFUNCTION("""COMPUTED_VALUE"""),2905)</f>
        <v>2905</v>
      </c>
      <c r="H282" s="143">
        <f ca="1">IFERROR(__xludf.DUMMYFUNCTION("""COMPUTED_VALUE"""),2905)</f>
        <v>2905</v>
      </c>
      <c r="I282" s="143">
        <f ca="1">IFERROR(__xludf.DUMMYFUNCTION("""COMPUTED_VALUE"""),0)</f>
        <v>0</v>
      </c>
      <c r="J282" s="143">
        <f ca="1">IFERROR(__xludf.DUMMYFUNCTION("""COMPUTED_VALUE"""),0)</f>
        <v>0</v>
      </c>
      <c r="K282" s="143">
        <f ca="1">IFERROR(__xludf.DUMMYFUNCTION("""COMPUTED_VALUE"""),0)</f>
        <v>0</v>
      </c>
      <c r="L282" s="143">
        <f ca="1">IFERROR(__xludf.DUMMYFUNCTION("""COMPUTED_VALUE"""),0)</f>
        <v>0</v>
      </c>
      <c r="M282" s="143">
        <f ca="1">IFERROR(__xludf.DUMMYFUNCTION("""COMPUTED_VALUE"""),0)</f>
        <v>0</v>
      </c>
      <c r="N282" s="143">
        <f ca="1">IFERROR(__xludf.DUMMYFUNCTION("""COMPUTED_VALUE"""),0)</f>
        <v>0</v>
      </c>
      <c r="O282" s="143">
        <f ca="1">IFERROR(__xludf.DUMMYFUNCTION("""COMPUTED_VALUE"""),0)</f>
        <v>0</v>
      </c>
      <c r="P282" s="143">
        <f ca="1">IFERROR(__xludf.DUMMYFUNCTION("""COMPUTED_VALUE"""),0)</f>
        <v>0</v>
      </c>
      <c r="Q282" s="143">
        <f ca="1">IFERROR(__xludf.DUMMYFUNCTION("""COMPUTED_VALUE"""),0)</f>
        <v>0</v>
      </c>
      <c r="R282" s="287"/>
      <c r="S282" s="291" t="e">
        <f ca="1">_xludf.ifs(A282="INDIA",E282/'Shared Summary by Dept_US$'!$B$31,A282="INDO",E282/'Shared Summary by Dept_US$'!$B$32,A282="BD",E282/'Shared Summary by Dept_US$'!$B$33,A282="Nepal",E282/'Shared Summary by Dept_US$'!$B$34,A282="US",E282/'Shared Summary by Dept_US$'!$B$35)</f>
        <v>#NAME?</v>
      </c>
      <c r="T282" s="292" t="s">
        <v>177</v>
      </c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spans="1:34" ht="15.75" customHeight="1" x14ac:dyDescent="0.25">
      <c r="A283" s="64" t="s">
        <v>44</v>
      </c>
      <c r="B283" s="64" t="str">
        <f ca="1">IFERROR(__xludf.DUMMYFUNCTION("""COMPUTED_VALUE"""),"Travel &amp; Lodging Expenses")</f>
        <v>Travel &amp; Lodging Expenses</v>
      </c>
      <c r="C283" s="64" t="str">
        <f ca="1">IFERROR(__xludf.DUMMYFUNCTION("""COMPUTED_VALUE"""),"Hotel Accomodation")</f>
        <v>Hotel Accomodation</v>
      </c>
      <c r="D283" s="293">
        <f ca="1">IFERROR(__xludf.DUMMYFUNCTION("""COMPUTED_VALUE"""),93101)</f>
        <v>93101</v>
      </c>
      <c r="E283" s="143">
        <f ca="1">IFERROR(__xludf.DUMMYFUNCTION("""COMPUTED_VALUE"""),0)</f>
        <v>0</v>
      </c>
      <c r="F283" s="143">
        <f ca="1">IFERROR(__xludf.DUMMYFUNCTION("""COMPUTED_VALUE"""),0)</f>
        <v>0</v>
      </c>
      <c r="G283" s="143">
        <f ca="1">IFERROR(__xludf.DUMMYFUNCTION("""COMPUTED_VALUE"""),0)</f>
        <v>0</v>
      </c>
      <c r="H283" s="143">
        <f ca="1">IFERROR(__xludf.DUMMYFUNCTION("""COMPUTED_VALUE"""),0)</f>
        <v>0</v>
      </c>
      <c r="I283" s="143">
        <f ca="1">IFERROR(__xludf.DUMMYFUNCTION("""COMPUTED_VALUE"""),0)</f>
        <v>0</v>
      </c>
      <c r="J283" s="143">
        <f ca="1">IFERROR(__xludf.DUMMYFUNCTION("""COMPUTED_VALUE"""),0)</f>
        <v>0</v>
      </c>
      <c r="K283" s="143">
        <f ca="1">IFERROR(__xludf.DUMMYFUNCTION("""COMPUTED_VALUE"""),0)</f>
        <v>0</v>
      </c>
      <c r="L283" s="143">
        <f ca="1">IFERROR(__xludf.DUMMYFUNCTION("""COMPUTED_VALUE"""),0)</f>
        <v>0</v>
      </c>
      <c r="M283" s="143">
        <f ca="1">IFERROR(__xludf.DUMMYFUNCTION("""COMPUTED_VALUE"""),0)</f>
        <v>0</v>
      </c>
      <c r="N283" s="143">
        <f ca="1">IFERROR(__xludf.DUMMYFUNCTION("""COMPUTED_VALUE"""),0)</f>
        <v>0</v>
      </c>
      <c r="O283" s="143">
        <f ca="1">IFERROR(__xludf.DUMMYFUNCTION("""COMPUTED_VALUE"""),0)</f>
        <v>0</v>
      </c>
      <c r="P283" s="143">
        <f ca="1">IFERROR(__xludf.DUMMYFUNCTION("""COMPUTED_VALUE"""),0)</f>
        <v>0</v>
      </c>
      <c r="Q283" s="143">
        <f ca="1">IFERROR(__xludf.DUMMYFUNCTION("""COMPUTED_VALUE"""),0)</f>
        <v>0</v>
      </c>
      <c r="R283" s="287"/>
      <c r="S283" s="291" t="e">
        <f ca="1">_xludf.ifs(A283="INDIA",E283/'Shared Summary by Dept_US$'!$B$31,A283="INDO",E283/'Shared Summary by Dept_US$'!$B$32,A283="BD",E283/'Shared Summary by Dept_US$'!$B$33,A283="Nepal",E283/'Shared Summary by Dept_US$'!$B$34,A283="US",E283/'Shared Summary by Dept_US$'!$B$35)</f>
        <v>#NAME?</v>
      </c>
      <c r="T283" s="292" t="s">
        <v>177</v>
      </c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spans="1:34" ht="15.75" customHeight="1" x14ac:dyDescent="0.25">
      <c r="A284" s="64" t="s">
        <v>44</v>
      </c>
      <c r="B284" s="64" t="str">
        <f ca="1">IFERROR(__xludf.DUMMYFUNCTION("""COMPUTED_VALUE"""),"Travel &amp; Lodging Expenses")</f>
        <v>Travel &amp; Lodging Expenses</v>
      </c>
      <c r="C284" s="64" t="str">
        <f ca="1">IFERROR(__xludf.DUMMYFUNCTION("""COMPUTED_VALUE"""),"Food Expenses")</f>
        <v>Food Expenses</v>
      </c>
      <c r="D284" s="293">
        <f ca="1">IFERROR(__xludf.DUMMYFUNCTION("""COMPUTED_VALUE"""),93102)</f>
        <v>93102</v>
      </c>
      <c r="E284" s="143">
        <f ca="1">IFERROR(__xludf.DUMMYFUNCTION("""COMPUTED_VALUE"""),0)</f>
        <v>0</v>
      </c>
      <c r="F284" s="143">
        <f ca="1">IFERROR(__xludf.DUMMYFUNCTION("""COMPUTED_VALUE"""),0)</f>
        <v>0</v>
      </c>
      <c r="G284" s="143">
        <f ca="1">IFERROR(__xludf.DUMMYFUNCTION("""COMPUTED_VALUE"""),0)</f>
        <v>0</v>
      </c>
      <c r="H284" s="143">
        <f ca="1">IFERROR(__xludf.DUMMYFUNCTION("""COMPUTED_VALUE"""),0)</f>
        <v>0</v>
      </c>
      <c r="I284" s="143">
        <f ca="1">IFERROR(__xludf.DUMMYFUNCTION("""COMPUTED_VALUE"""),0)</f>
        <v>0</v>
      </c>
      <c r="J284" s="143">
        <f ca="1">IFERROR(__xludf.DUMMYFUNCTION("""COMPUTED_VALUE"""),0)</f>
        <v>0</v>
      </c>
      <c r="K284" s="143">
        <f ca="1">IFERROR(__xludf.DUMMYFUNCTION("""COMPUTED_VALUE"""),0)</f>
        <v>0</v>
      </c>
      <c r="L284" s="143">
        <f ca="1">IFERROR(__xludf.DUMMYFUNCTION("""COMPUTED_VALUE"""),0)</f>
        <v>0</v>
      </c>
      <c r="M284" s="143">
        <f ca="1">IFERROR(__xludf.DUMMYFUNCTION("""COMPUTED_VALUE"""),0)</f>
        <v>0</v>
      </c>
      <c r="N284" s="143">
        <f ca="1">IFERROR(__xludf.DUMMYFUNCTION("""COMPUTED_VALUE"""),0)</f>
        <v>0</v>
      </c>
      <c r="O284" s="143">
        <f ca="1">IFERROR(__xludf.DUMMYFUNCTION("""COMPUTED_VALUE"""),0)</f>
        <v>0</v>
      </c>
      <c r="P284" s="143">
        <f ca="1">IFERROR(__xludf.DUMMYFUNCTION("""COMPUTED_VALUE"""),0)</f>
        <v>0</v>
      </c>
      <c r="Q284" s="143">
        <f ca="1">IFERROR(__xludf.DUMMYFUNCTION("""COMPUTED_VALUE"""),0)</f>
        <v>0</v>
      </c>
      <c r="R284" s="287"/>
      <c r="S284" s="291" t="e">
        <f ca="1">_xludf.ifs(A284="INDIA",E284/'Shared Summary by Dept_US$'!$B$31,A284="INDO",E284/'Shared Summary by Dept_US$'!$B$32,A284="BD",E284/'Shared Summary by Dept_US$'!$B$33,A284="Nepal",E284/'Shared Summary by Dept_US$'!$B$34,A284="US",E284/'Shared Summary by Dept_US$'!$B$35)</f>
        <v>#NAME?</v>
      </c>
      <c r="T284" s="292" t="s">
        <v>177</v>
      </c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spans="1:34" ht="15.75" customHeight="1" x14ac:dyDescent="0.25">
      <c r="A285" s="64" t="s">
        <v>44</v>
      </c>
      <c r="B285" s="64" t="str">
        <f ca="1">IFERROR(__xludf.DUMMYFUNCTION("""COMPUTED_VALUE"""),"Travel &amp; Lodging Expenses")</f>
        <v>Travel &amp; Lodging Expenses</v>
      </c>
      <c r="C285" s="64" t="str">
        <f ca="1">IFERROR(__xludf.DUMMYFUNCTION("""COMPUTED_VALUE"""),"Air fare")</f>
        <v>Air fare</v>
      </c>
      <c r="D285" s="293">
        <f ca="1">IFERROR(__xludf.DUMMYFUNCTION("""COMPUTED_VALUE"""),93103)</f>
        <v>93103</v>
      </c>
      <c r="E285" s="143">
        <f ca="1">IFERROR(__xludf.DUMMYFUNCTION("""COMPUTED_VALUE"""),0)</f>
        <v>0</v>
      </c>
      <c r="F285" s="143">
        <f ca="1">IFERROR(__xludf.DUMMYFUNCTION("""COMPUTED_VALUE"""),0)</f>
        <v>0</v>
      </c>
      <c r="G285" s="143">
        <f ca="1">IFERROR(__xludf.DUMMYFUNCTION("""COMPUTED_VALUE"""),0)</f>
        <v>0</v>
      </c>
      <c r="H285" s="143">
        <f ca="1">IFERROR(__xludf.DUMMYFUNCTION("""COMPUTED_VALUE"""),0)</f>
        <v>0</v>
      </c>
      <c r="I285" s="143">
        <f ca="1">IFERROR(__xludf.DUMMYFUNCTION("""COMPUTED_VALUE"""),0)</f>
        <v>0</v>
      </c>
      <c r="J285" s="143">
        <f ca="1">IFERROR(__xludf.DUMMYFUNCTION("""COMPUTED_VALUE"""),0)</f>
        <v>0</v>
      </c>
      <c r="K285" s="143">
        <f ca="1">IFERROR(__xludf.DUMMYFUNCTION("""COMPUTED_VALUE"""),0)</f>
        <v>0</v>
      </c>
      <c r="L285" s="143">
        <f ca="1">IFERROR(__xludf.DUMMYFUNCTION("""COMPUTED_VALUE"""),0)</f>
        <v>0</v>
      </c>
      <c r="M285" s="143">
        <f ca="1">IFERROR(__xludf.DUMMYFUNCTION("""COMPUTED_VALUE"""),0)</f>
        <v>0</v>
      </c>
      <c r="N285" s="143">
        <f ca="1">IFERROR(__xludf.DUMMYFUNCTION("""COMPUTED_VALUE"""),0)</f>
        <v>0</v>
      </c>
      <c r="O285" s="143">
        <f ca="1">IFERROR(__xludf.DUMMYFUNCTION("""COMPUTED_VALUE"""),0)</f>
        <v>0</v>
      </c>
      <c r="P285" s="143">
        <f ca="1">IFERROR(__xludf.DUMMYFUNCTION("""COMPUTED_VALUE"""),0)</f>
        <v>0</v>
      </c>
      <c r="Q285" s="143">
        <f ca="1">IFERROR(__xludf.DUMMYFUNCTION("""COMPUTED_VALUE"""),0)</f>
        <v>0</v>
      </c>
      <c r="R285" s="287"/>
      <c r="S285" s="291" t="e">
        <f ca="1">_xludf.ifs(A285="INDIA",E285/'Shared Summary by Dept_US$'!$B$31,A285="INDO",E285/'Shared Summary by Dept_US$'!$B$32,A285="BD",E285/'Shared Summary by Dept_US$'!$B$33,A285="Nepal",E285/'Shared Summary by Dept_US$'!$B$34,A285="US",E285/'Shared Summary by Dept_US$'!$B$35)</f>
        <v>#NAME?</v>
      </c>
      <c r="T285" s="292" t="s">
        <v>177</v>
      </c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spans="1:34" ht="15.75" customHeight="1" x14ac:dyDescent="0.25">
      <c r="A286" s="64" t="s">
        <v>44</v>
      </c>
      <c r="B286" s="64" t="str">
        <f ca="1">IFERROR(__xludf.DUMMYFUNCTION("""COMPUTED_VALUE"""),"Travel &amp; Lodging Expenses")</f>
        <v>Travel &amp; Lodging Expenses</v>
      </c>
      <c r="C286" s="64" t="str">
        <f ca="1">IFERROR(__xludf.DUMMYFUNCTION("""COMPUTED_VALUE"""),"Cab/Auto")</f>
        <v>Cab/Auto</v>
      </c>
      <c r="D286" s="293">
        <f ca="1">IFERROR(__xludf.DUMMYFUNCTION("""COMPUTED_VALUE"""),93104)</f>
        <v>93104</v>
      </c>
      <c r="E286" s="143">
        <f ca="1">IFERROR(__xludf.DUMMYFUNCTION("""COMPUTED_VALUE"""),0)</f>
        <v>0</v>
      </c>
      <c r="F286" s="143">
        <f ca="1">IFERROR(__xludf.DUMMYFUNCTION("""COMPUTED_VALUE"""),0)</f>
        <v>0</v>
      </c>
      <c r="G286" s="143">
        <f ca="1">IFERROR(__xludf.DUMMYFUNCTION("""COMPUTED_VALUE"""),0)</f>
        <v>0</v>
      </c>
      <c r="H286" s="143">
        <f ca="1">IFERROR(__xludf.DUMMYFUNCTION("""COMPUTED_VALUE"""),0)</f>
        <v>0</v>
      </c>
      <c r="I286" s="143">
        <f ca="1">IFERROR(__xludf.DUMMYFUNCTION("""COMPUTED_VALUE"""),0)</f>
        <v>0</v>
      </c>
      <c r="J286" s="143">
        <f ca="1">IFERROR(__xludf.DUMMYFUNCTION("""COMPUTED_VALUE"""),0)</f>
        <v>0</v>
      </c>
      <c r="K286" s="143">
        <f ca="1">IFERROR(__xludf.DUMMYFUNCTION("""COMPUTED_VALUE"""),0)</f>
        <v>0</v>
      </c>
      <c r="L286" s="143">
        <f ca="1">IFERROR(__xludf.DUMMYFUNCTION("""COMPUTED_VALUE"""),0)</f>
        <v>0</v>
      </c>
      <c r="M286" s="143">
        <f ca="1">IFERROR(__xludf.DUMMYFUNCTION("""COMPUTED_VALUE"""),0)</f>
        <v>0</v>
      </c>
      <c r="N286" s="143">
        <f ca="1">IFERROR(__xludf.DUMMYFUNCTION("""COMPUTED_VALUE"""),0)</f>
        <v>0</v>
      </c>
      <c r="O286" s="143">
        <f ca="1">IFERROR(__xludf.DUMMYFUNCTION("""COMPUTED_VALUE"""),0)</f>
        <v>0</v>
      </c>
      <c r="P286" s="143">
        <f ca="1">IFERROR(__xludf.DUMMYFUNCTION("""COMPUTED_VALUE"""),0)</f>
        <v>0</v>
      </c>
      <c r="Q286" s="143">
        <f ca="1">IFERROR(__xludf.DUMMYFUNCTION("""COMPUTED_VALUE"""),0)</f>
        <v>0</v>
      </c>
      <c r="R286" s="287"/>
      <c r="S286" s="291" t="e">
        <f ca="1">_xludf.ifs(A286="INDIA",E286/'Shared Summary by Dept_US$'!$B$31,A286="INDO",E286/'Shared Summary by Dept_US$'!$B$32,A286="BD",E286/'Shared Summary by Dept_US$'!$B$33,A286="Nepal",E286/'Shared Summary by Dept_US$'!$B$34,A286="US",E286/'Shared Summary by Dept_US$'!$B$35)</f>
        <v>#NAME?</v>
      </c>
      <c r="T286" s="292" t="s">
        <v>177</v>
      </c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spans="1:34" ht="15.75" customHeight="1" x14ac:dyDescent="0.25">
      <c r="A287" s="64" t="s">
        <v>44</v>
      </c>
      <c r="B287" s="64" t="str">
        <f ca="1">IFERROR(__xludf.DUMMYFUNCTION("""COMPUTED_VALUE"""),"Travel &amp; Lodging Expenses")</f>
        <v>Travel &amp; Lodging Expenses</v>
      </c>
      <c r="C287" s="64" t="str">
        <f ca="1">IFERROR(__xludf.DUMMYFUNCTION("""COMPUTED_VALUE"""),"Bus/Train")</f>
        <v>Bus/Train</v>
      </c>
      <c r="D287" s="293">
        <f ca="1">IFERROR(__xludf.DUMMYFUNCTION("""COMPUTED_VALUE"""),93105)</f>
        <v>93105</v>
      </c>
      <c r="E287" s="143">
        <f ca="1">IFERROR(__xludf.DUMMYFUNCTION("""COMPUTED_VALUE"""),0)</f>
        <v>0</v>
      </c>
      <c r="F287" s="143">
        <f ca="1">IFERROR(__xludf.DUMMYFUNCTION("""COMPUTED_VALUE"""),0)</f>
        <v>0</v>
      </c>
      <c r="G287" s="143">
        <f ca="1">IFERROR(__xludf.DUMMYFUNCTION("""COMPUTED_VALUE"""),0)</f>
        <v>0</v>
      </c>
      <c r="H287" s="143">
        <f ca="1">IFERROR(__xludf.DUMMYFUNCTION("""COMPUTED_VALUE"""),0)</f>
        <v>0</v>
      </c>
      <c r="I287" s="143">
        <f ca="1">IFERROR(__xludf.DUMMYFUNCTION("""COMPUTED_VALUE"""),0)</f>
        <v>0</v>
      </c>
      <c r="J287" s="143">
        <f ca="1">IFERROR(__xludf.DUMMYFUNCTION("""COMPUTED_VALUE"""),0)</f>
        <v>0</v>
      </c>
      <c r="K287" s="143">
        <f ca="1">IFERROR(__xludf.DUMMYFUNCTION("""COMPUTED_VALUE"""),0)</f>
        <v>0</v>
      </c>
      <c r="L287" s="143">
        <f ca="1">IFERROR(__xludf.DUMMYFUNCTION("""COMPUTED_VALUE"""),0)</f>
        <v>0</v>
      </c>
      <c r="M287" s="143">
        <f ca="1">IFERROR(__xludf.DUMMYFUNCTION("""COMPUTED_VALUE"""),0)</f>
        <v>0</v>
      </c>
      <c r="N287" s="143">
        <f ca="1">IFERROR(__xludf.DUMMYFUNCTION("""COMPUTED_VALUE"""),0)</f>
        <v>0</v>
      </c>
      <c r="O287" s="143">
        <f ca="1">IFERROR(__xludf.DUMMYFUNCTION("""COMPUTED_VALUE"""),0)</f>
        <v>0</v>
      </c>
      <c r="P287" s="143">
        <f ca="1">IFERROR(__xludf.DUMMYFUNCTION("""COMPUTED_VALUE"""),0)</f>
        <v>0</v>
      </c>
      <c r="Q287" s="143">
        <f ca="1">IFERROR(__xludf.DUMMYFUNCTION("""COMPUTED_VALUE"""),0)</f>
        <v>0</v>
      </c>
      <c r="R287" s="287"/>
      <c r="S287" s="291" t="e">
        <f ca="1">_xludf.ifs(A287="INDIA",E287/'Shared Summary by Dept_US$'!$B$31,A287="INDO",E287/'Shared Summary by Dept_US$'!$B$32,A287="BD",E287/'Shared Summary by Dept_US$'!$B$33,A287="Nepal",E287/'Shared Summary by Dept_US$'!$B$34,A287="US",E287/'Shared Summary by Dept_US$'!$B$35)</f>
        <v>#NAME?</v>
      </c>
      <c r="T287" s="292" t="s">
        <v>177</v>
      </c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spans="1:34" ht="15.75" customHeight="1" x14ac:dyDescent="0.25">
      <c r="A288" s="64" t="s">
        <v>44</v>
      </c>
      <c r="B288" s="64" t="str">
        <f ca="1">IFERROR(__xludf.DUMMYFUNCTION("""COMPUTED_VALUE"""),"Travel &amp; Lodging Expenses")</f>
        <v>Travel &amp; Lodging Expenses</v>
      </c>
      <c r="C288" s="64" t="str">
        <f ca="1">IFERROR(__xludf.DUMMYFUNCTION("""COMPUTED_VALUE"""),"Other incidental travel costs")</f>
        <v>Other incidental travel costs</v>
      </c>
      <c r="D288" s="293">
        <f ca="1">IFERROR(__xludf.DUMMYFUNCTION("""COMPUTED_VALUE"""),93106)</f>
        <v>93106</v>
      </c>
      <c r="E288" s="143">
        <f ca="1">IFERROR(__xludf.DUMMYFUNCTION("""COMPUTED_VALUE"""),0)</f>
        <v>0</v>
      </c>
      <c r="F288" s="143">
        <f ca="1">IFERROR(__xludf.DUMMYFUNCTION("""COMPUTED_VALUE"""),0)</f>
        <v>0</v>
      </c>
      <c r="G288" s="143">
        <f ca="1">IFERROR(__xludf.DUMMYFUNCTION("""COMPUTED_VALUE"""),0)</f>
        <v>0</v>
      </c>
      <c r="H288" s="143">
        <f ca="1">IFERROR(__xludf.DUMMYFUNCTION("""COMPUTED_VALUE"""),0)</f>
        <v>0</v>
      </c>
      <c r="I288" s="143">
        <f ca="1">IFERROR(__xludf.DUMMYFUNCTION("""COMPUTED_VALUE"""),0)</f>
        <v>0</v>
      </c>
      <c r="J288" s="143">
        <f ca="1">IFERROR(__xludf.DUMMYFUNCTION("""COMPUTED_VALUE"""),0)</f>
        <v>0</v>
      </c>
      <c r="K288" s="143">
        <f ca="1">IFERROR(__xludf.DUMMYFUNCTION("""COMPUTED_VALUE"""),0)</f>
        <v>0</v>
      </c>
      <c r="L288" s="143">
        <f ca="1">IFERROR(__xludf.DUMMYFUNCTION("""COMPUTED_VALUE"""),0)</f>
        <v>0</v>
      </c>
      <c r="M288" s="143">
        <f ca="1">IFERROR(__xludf.DUMMYFUNCTION("""COMPUTED_VALUE"""),0)</f>
        <v>0</v>
      </c>
      <c r="N288" s="143">
        <f ca="1">IFERROR(__xludf.DUMMYFUNCTION("""COMPUTED_VALUE"""),0)</f>
        <v>0</v>
      </c>
      <c r="O288" s="143">
        <f ca="1">IFERROR(__xludf.DUMMYFUNCTION("""COMPUTED_VALUE"""),0)</f>
        <v>0</v>
      </c>
      <c r="P288" s="143">
        <f ca="1">IFERROR(__xludf.DUMMYFUNCTION("""COMPUTED_VALUE"""),0)</f>
        <v>0</v>
      </c>
      <c r="Q288" s="143">
        <f ca="1">IFERROR(__xludf.DUMMYFUNCTION("""COMPUTED_VALUE"""),0)</f>
        <v>0</v>
      </c>
      <c r="R288" s="287"/>
      <c r="S288" s="291" t="e">
        <f ca="1">_xludf.ifs(A288="INDIA",E288/'Shared Summary by Dept_US$'!$B$31,A288="INDO",E288/'Shared Summary by Dept_US$'!$B$32,A288="BD",E288/'Shared Summary by Dept_US$'!$B$33,A288="Nepal",E288/'Shared Summary by Dept_US$'!$B$34,A288="US",E288/'Shared Summary by Dept_US$'!$B$35)</f>
        <v>#NAME?</v>
      </c>
      <c r="T288" s="292" t="s">
        <v>177</v>
      </c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spans="1:34" ht="15.75" customHeight="1" x14ac:dyDescent="0.25">
      <c r="A289" s="64" t="s">
        <v>44</v>
      </c>
      <c r="B289" s="64" t="str">
        <f ca="1">IFERROR(__xludf.DUMMYFUNCTION("""COMPUTED_VALUE"""),"Other Direct Expenses")</f>
        <v>Other Direct Expenses</v>
      </c>
      <c r="C289" s="64" t="str">
        <f ca="1">IFERROR(__xludf.DUMMYFUNCTION("""COMPUTED_VALUE"""),"Other Direct Expenses")</f>
        <v>Other Direct Expenses</v>
      </c>
      <c r="D289" s="293">
        <f ca="1">IFERROR(__xludf.DUMMYFUNCTION("""COMPUTED_VALUE"""),93201)</f>
        <v>93201</v>
      </c>
      <c r="E289" s="143">
        <f ca="1">IFERROR(__xludf.DUMMYFUNCTION("""COMPUTED_VALUE"""),0)</f>
        <v>0</v>
      </c>
      <c r="F289" s="143">
        <f ca="1">IFERROR(__xludf.DUMMYFUNCTION("""COMPUTED_VALUE"""),0)</f>
        <v>0</v>
      </c>
      <c r="G289" s="143">
        <f ca="1">IFERROR(__xludf.DUMMYFUNCTION("""COMPUTED_VALUE"""),0)</f>
        <v>0</v>
      </c>
      <c r="H289" s="143">
        <f ca="1">IFERROR(__xludf.DUMMYFUNCTION("""COMPUTED_VALUE"""),0)</f>
        <v>0</v>
      </c>
      <c r="I289" s="143">
        <f ca="1">IFERROR(__xludf.DUMMYFUNCTION("""COMPUTED_VALUE"""),0)</f>
        <v>0</v>
      </c>
      <c r="J289" s="143">
        <f ca="1">IFERROR(__xludf.DUMMYFUNCTION("""COMPUTED_VALUE"""),0)</f>
        <v>0</v>
      </c>
      <c r="K289" s="143">
        <f ca="1">IFERROR(__xludf.DUMMYFUNCTION("""COMPUTED_VALUE"""),0)</f>
        <v>0</v>
      </c>
      <c r="L289" s="143">
        <f ca="1">IFERROR(__xludf.DUMMYFUNCTION("""COMPUTED_VALUE"""),0)</f>
        <v>0</v>
      </c>
      <c r="M289" s="143">
        <f ca="1">IFERROR(__xludf.DUMMYFUNCTION("""COMPUTED_VALUE"""),0)</f>
        <v>0</v>
      </c>
      <c r="N289" s="143">
        <f ca="1">IFERROR(__xludf.DUMMYFUNCTION("""COMPUTED_VALUE"""),0)</f>
        <v>0</v>
      </c>
      <c r="O289" s="143">
        <f ca="1">IFERROR(__xludf.DUMMYFUNCTION("""COMPUTED_VALUE"""),0)</f>
        <v>0</v>
      </c>
      <c r="P289" s="143">
        <f ca="1">IFERROR(__xludf.DUMMYFUNCTION("""COMPUTED_VALUE"""),0)</f>
        <v>0</v>
      </c>
      <c r="Q289" s="143">
        <f ca="1">IFERROR(__xludf.DUMMYFUNCTION("""COMPUTED_VALUE"""),0)</f>
        <v>0</v>
      </c>
      <c r="R289" s="287"/>
      <c r="S289" s="291" t="e">
        <f ca="1">_xludf.ifs(A289="INDIA",E289/'Shared Summary by Dept_US$'!$B$31,A289="INDO",E289/'Shared Summary by Dept_US$'!$B$32,A289="BD",E289/'Shared Summary by Dept_US$'!$B$33,A289="Nepal",E289/'Shared Summary by Dept_US$'!$B$34,A289="US",E289/'Shared Summary by Dept_US$'!$B$35)</f>
        <v>#NAME?</v>
      </c>
      <c r="T289" s="292" t="s">
        <v>177</v>
      </c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spans="1:34" ht="15.75" customHeight="1" x14ac:dyDescent="0.25">
      <c r="A290" s="64" t="s">
        <v>44</v>
      </c>
      <c r="B290" s="64" t="str">
        <f ca="1">IFERROR(__xludf.DUMMYFUNCTION("""COMPUTED_VALUE"""),"Supplies &amp; Printing Costs")</f>
        <v>Supplies &amp; Printing Costs</v>
      </c>
      <c r="C290" s="64" t="str">
        <f ca="1">IFERROR(__xludf.DUMMYFUNCTION("""COMPUTED_VALUE"""),"Printing expenses")</f>
        <v>Printing expenses</v>
      </c>
      <c r="D290" s="293">
        <f ca="1">IFERROR(__xludf.DUMMYFUNCTION("""COMPUTED_VALUE"""),93204)</f>
        <v>93204</v>
      </c>
      <c r="E290" s="143">
        <f ca="1">IFERROR(__xludf.DUMMYFUNCTION("""COMPUTED_VALUE"""),0)</f>
        <v>0</v>
      </c>
      <c r="F290" s="143">
        <f ca="1">IFERROR(__xludf.DUMMYFUNCTION("""COMPUTED_VALUE"""),0)</f>
        <v>0</v>
      </c>
      <c r="G290" s="143">
        <f ca="1">IFERROR(__xludf.DUMMYFUNCTION("""COMPUTED_VALUE"""),0)</f>
        <v>0</v>
      </c>
      <c r="H290" s="143">
        <f ca="1">IFERROR(__xludf.DUMMYFUNCTION("""COMPUTED_VALUE"""),0)</f>
        <v>0</v>
      </c>
      <c r="I290" s="143">
        <f ca="1">IFERROR(__xludf.DUMMYFUNCTION("""COMPUTED_VALUE"""),0)</f>
        <v>0</v>
      </c>
      <c r="J290" s="143">
        <f ca="1">IFERROR(__xludf.DUMMYFUNCTION("""COMPUTED_VALUE"""),0)</f>
        <v>0</v>
      </c>
      <c r="K290" s="143">
        <f ca="1">IFERROR(__xludf.DUMMYFUNCTION("""COMPUTED_VALUE"""),0)</f>
        <v>0</v>
      </c>
      <c r="L290" s="143">
        <f ca="1">IFERROR(__xludf.DUMMYFUNCTION("""COMPUTED_VALUE"""),0)</f>
        <v>0</v>
      </c>
      <c r="M290" s="143">
        <f ca="1">IFERROR(__xludf.DUMMYFUNCTION("""COMPUTED_VALUE"""),0)</f>
        <v>0</v>
      </c>
      <c r="N290" s="143">
        <f ca="1">IFERROR(__xludf.DUMMYFUNCTION("""COMPUTED_VALUE"""),0)</f>
        <v>0</v>
      </c>
      <c r="O290" s="143">
        <f ca="1">IFERROR(__xludf.DUMMYFUNCTION("""COMPUTED_VALUE"""),0)</f>
        <v>0</v>
      </c>
      <c r="P290" s="143">
        <f ca="1">IFERROR(__xludf.DUMMYFUNCTION("""COMPUTED_VALUE"""),0)</f>
        <v>0</v>
      </c>
      <c r="Q290" s="143">
        <f ca="1">IFERROR(__xludf.DUMMYFUNCTION("""COMPUTED_VALUE"""),0)</f>
        <v>0</v>
      </c>
      <c r="R290" s="287"/>
      <c r="S290" s="291" t="e">
        <f ca="1">_xludf.ifs(A290="INDIA",E290/'Shared Summary by Dept_US$'!$B$31,A290="INDO",E290/'Shared Summary by Dept_US$'!$B$32,A290="BD",E290/'Shared Summary by Dept_US$'!$B$33,A290="Nepal",E290/'Shared Summary by Dept_US$'!$B$34,A290="US",E290/'Shared Summary by Dept_US$'!$B$35)</f>
        <v>#NAME?</v>
      </c>
      <c r="T290" s="292" t="s">
        <v>177</v>
      </c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spans="1:34" ht="15.75" customHeight="1" x14ac:dyDescent="0.25">
      <c r="A291" s="64" t="s">
        <v>44</v>
      </c>
      <c r="B291" s="64" t="str">
        <f ca="1">IFERROR(__xludf.DUMMYFUNCTION("""COMPUTED_VALUE"""),"Communication Cost")</f>
        <v>Communication Cost</v>
      </c>
      <c r="C291" s="64" t="str">
        <f ca="1">IFERROR(__xludf.DUMMYFUNCTION("""COMPUTED_VALUE"""),"Internet Expenses")</f>
        <v>Internet Expenses</v>
      </c>
      <c r="D291" s="293">
        <f ca="1">IFERROR(__xludf.DUMMYFUNCTION("""COMPUTED_VALUE"""),93301)</f>
        <v>93301</v>
      </c>
      <c r="E291" s="143">
        <f ca="1">IFERROR(__xludf.DUMMYFUNCTION("""COMPUTED_VALUE"""),0)</f>
        <v>0</v>
      </c>
      <c r="F291" s="143">
        <f ca="1">IFERROR(__xludf.DUMMYFUNCTION("""COMPUTED_VALUE"""),0)</f>
        <v>0</v>
      </c>
      <c r="G291" s="143">
        <f ca="1">IFERROR(__xludf.DUMMYFUNCTION("""COMPUTED_VALUE"""),0)</f>
        <v>0</v>
      </c>
      <c r="H291" s="143">
        <f ca="1">IFERROR(__xludf.DUMMYFUNCTION("""COMPUTED_VALUE"""),0)</f>
        <v>0</v>
      </c>
      <c r="I291" s="143">
        <f ca="1">IFERROR(__xludf.DUMMYFUNCTION("""COMPUTED_VALUE"""),0)</f>
        <v>0</v>
      </c>
      <c r="J291" s="143">
        <f ca="1">IFERROR(__xludf.DUMMYFUNCTION("""COMPUTED_VALUE"""),0)</f>
        <v>0</v>
      </c>
      <c r="K291" s="143">
        <f ca="1">IFERROR(__xludf.DUMMYFUNCTION("""COMPUTED_VALUE"""),0)</f>
        <v>0</v>
      </c>
      <c r="L291" s="143">
        <f ca="1">IFERROR(__xludf.DUMMYFUNCTION("""COMPUTED_VALUE"""),0)</f>
        <v>0</v>
      </c>
      <c r="M291" s="143">
        <f ca="1">IFERROR(__xludf.DUMMYFUNCTION("""COMPUTED_VALUE"""),0)</f>
        <v>0</v>
      </c>
      <c r="N291" s="143">
        <f ca="1">IFERROR(__xludf.DUMMYFUNCTION("""COMPUTED_VALUE"""),0)</f>
        <v>0</v>
      </c>
      <c r="O291" s="143">
        <f ca="1">IFERROR(__xludf.DUMMYFUNCTION("""COMPUTED_VALUE"""),0)</f>
        <v>0</v>
      </c>
      <c r="P291" s="143">
        <f ca="1">IFERROR(__xludf.DUMMYFUNCTION("""COMPUTED_VALUE"""),0)</f>
        <v>0</v>
      </c>
      <c r="Q291" s="143">
        <f ca="1">IFERROR(__xludf.DUMMYFUNCTION("""COMPUTED_VALUE"""),0)</f>
        <v>0</v>
      </c>
      <c r="R291" s="287"/>
      <c r="S291" s="291" t="e">
        <f ca="1">_xludf.ifs(A291="INDIA",E291/'Shared Summary by Dept_US$'!$B$31,A291="INDO",E291/'Shared Summary by Dept_US$'!$B$32,A291="BD",E291/'Shared Summary by Dept_US$'!$B$33,A291="Nepal",E291/'Shared Summary by Dept_US$'!$B$34,A291="US",E291/'Shared Summary by Dept_US$'!$B$35)</f>
        <v>#NAME?</v>
      </c>
      <c r="T291" s="292" t="s">
        <v>177</v>
      </c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spans="1:34" ht="15.75" customHeight="1" x14ac:dyDescent="0.25">
      <c r="A292" s="64" t="s">
        <v>44</v>
      </c>
      <c r="B292" s="64" t="str">
        <f ca="1">IFERROR(__xludf.DUMMYFUNCTION("""COMPUTED_VALUE"""),"Communication Cost")</f>
        <v>Communication Cost</v>
      </c>
      <c r="C292" s="64" t="str">
        <f ca="1">IFERROR(__xludf.DUMMYFUNCTION("""COMPUTED_VALUE"""),"Postage &amp; Courier Expenses")</f>
        <v>Postage &amp; Courier Expenses</v>
      </c>
      <c r="D292" s="293">
        <f ca="1">IFERROR(__xludf.DUMMYFUNCTION("""COMPUTED_VALUE"""),93302)</f>
        <v>93302</v>
      </c>
      <c r="E292" s="143">
        <f ca="1">IFERROR(__xludf.DUMMYFUNCTION("""COMPUTED_VALUE"""),0)</f>
        <v>0</v>
      </c>
      <c r="F292" s="143">
        <f ca="1">IFERROR(__xludf.DUMMYFUNCTION("""COMPUTED_VALUE"""),0)</f>
        <v>0</v>
      </c>
      <c r="G292" s="143">
        <f ca="1">IFERROR(__xludf.DUMMYFUNCTION("""COMPUTED_VALUE"""),0)</f>
        <v>0</v>
      </c>
      <c r="H292" s="143">
        <f ca="1">IFERROR(__xludf.DUMMYFUNCTION("""COMPUTED_VALUE"""),0)</f>
        <v>0</v>
      </c>
      <c r="I292" s="143">
        <f ca="1">IFERROR(__xludf.DUMMYFUNCTION("""COMPUTED_VALUE"""),0)</f>
        <v>0</v>
      </c>
      <c r="J292" s="143">
        <f ca="1">IFERROR(__xludf.DUMMYFUNCTION("""COMPUTED_VALUE"""),0)</f>
        <v>0</v>
      </c>
      <c r="K292" s="143">
        <f ca="1">IFERROR(__xludf.DUMMYFUNCTION("""COMPUTED_VALUE"""),0)</f>
        <v>0</v>
      </c>
      <c r="L292" s="143">
        <f ca="1">IFERROR(__xludf.DUMMYFUNCTION("""COMPUTED_VALUE"""),0)</f>
        <v>0</v>
      </c>
      <c r="M292" s="143">
        <f ca="1">IFERROR(__xludf.DUMMYFUNCTION("""COMPUTED_VALUE"""),0)</f>
        <v>0</v>
      </c>
      <c r="N292" s="143">
        <f ca="1">IFERROR(__xludf.DUMMYFUNCTION("""COMPUTED_VALUE"""),0)</f>
        <v>0</v>
      </c>
      <c r="O292" s="143">
        <f ca="1">IFERROR(__xludf.DUMMYFUNCTION("""COMPUTED_VALUE"""),0)</f>
        <v>0</v>
      </c>
      <c r="P292" s="143">
        <f ca="1">IFERROR(__xludf.DUMMYFUNCTION("""COMPUTED_VALUE"""),0)</f>
        <v>0</v>
      </c>
      <c r="Q292" s="143">
        <f ca="1">IFERROR(__xludf.DUMMYFUNCTION("""COMPUTED_VALUE"""),0)</f>
        <v>0</v>
      </c>
      <c r="R292" s="287"/>
      <c r="S292" s="291" t="e">
        <f ca="1">_xludf.ifs(A292="INDIA",E292/'Shared Summary by Dept_US$'!$B$31,A292="INDO",E292/'Shared Summary by Dept_US$'!$B$32,A292="BD",E292/'Shared Summary by Dept_US$'!$B$33,A292="Nepal",E292/'Shared Summary by Dept_US$'!$B$34,A292="US",E292/'Shared Summary by Dept_US$'!$B$35)</f>
        <v>#NAME?</v>
      </c>
      <c r="T292" s="292" t="s">
        <v>177</v>
      </c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spans="1:34" ht="15.75" customHeight="1" x14ac:dyDescent="0.25">
      <c r="A293" s="64" t="s">
        <v>44</v>
      </c>
      <c r="B293" s="64" t="str">
        <f ca="1">IFERROR(__xludf.DUMMYFUNCTION("""COMPUTED_VALUE"""),"Communication Cost")</f>
        <v>Communication Cost</v>
      </c>
      <c r="C293" s="64" t="str">
        <f ca="1">IFERROR(__xludf.DUMMYFUNCTION("""COMPUTED_VALUE"""),"Telecommunication expenses")</f>
        <v>Telecommunication expenses</v>
      </c>
      <c r="D293" s="293">
        <f ca="1">IFERROR(__xludf.DUMMYFUNCTION("""COMPUTED_VALUE"""),93303)</f>
        <v>93303</v>
      </c>
      <c r="E293" s="143">
        <f ca="1">IFERROR(__xludf.DUMMYFUNCTION("""COMPUTED_VALUE"""),0)</f>
        <v>0</v>
      </c>
      <c r="F293" s="143">
        <f ca="1">IFERROR(__xludf.DUMMYFUNCTION("""COMPUTED_VALUE"""),0)</f>
        <v>0</v>
      </c>
      <c r="G293" s="143">
        <f ca="1">IFERROR(__xludf.DUMMYFUNCTION("""COMPUTED_VALUE"""),0)</f>
        <v>0</v>
      </c>
      <c r="H293" s="143">
        <f ca="1">IFERROR(__xludf.DUMMYFUNCTION("""COMPUTED_VALUE"""),0)</f>
        <v>0</v>
      </c>
      <c r="I293" s="143">
        <f ca="1">IFERROR(__xludf.DUMMYFUNCTION("""COMPUTED_VALUE"""),0)</f>
        <v>0</v>
      </c>
      <c r="J293" s="143">
        <f ca="1">IFERROR(__xludf.DUMMYFUNCTION("""COMPUTED_VALUE"""),0)</f>
        <v>0</v>
      </c>
      <c r="K293" s="143">
        <f ca="1">IFERROR(__xludf.DUMMYFUNCTION("""COMPUTED_VALUE"""),0)</f>
        <v>0</v>
      </c>
      <c r="L293" s="143">
        <f ca="1">IFERROR(__xludf.DUMMYFUNCTION("""COMPUTED_VALUE"""),0)</f>
        <v>0</v>
      </c>
      <c r="M293" s="143">
        <f ca="1">IFERROR(__xludf.DUMMYFUNCTION("""COMPUTED_VALUE"""),0)</f>
        <v>0</v>
      </c>
      <c r="N293" s="143">
        <f ca="1">IFERROR(__xludf.DUMMYFUNCTION("""COMPUTED_VALUE"""),0)</f>
        <v>0</v>
      </c>
      <c r="O293" s="143">
        <f ca="1">IFERROR(__xludf.DUMMYFUNCTION("""COMPUTED_VALUE"""),0)</f>
        <v>0</v>
      </c>
      <c r="P293" s="143">
        <f ca="1">IFERROR(__xludf.DUMMYFUNCTION("""COMPUTED_VALUE"""),0)</f>
        <v>0</v>
      </c>
      <c r="Q293" s="143">
        <f ca="1">IFERROR(__xludf.DUMMYFUNCTION("""COMPUTED_VALUE"""),0)</f>
        <v>0</v>
      </c>
      <c r="R293" s="287"/>
      <c r="S293" s="291" t="e">
        <f ca="1">_xludf.ifs(A293="INDIA",E293/'Shared Summary by Dept_US$'!$B$31,A293="INDO",E293/'Shared Summary by Dept_US$'!$B$32,A293="BD",E293/'Shared Summary by Dept_US$'!$B$33,A293="Nepal",E293/'Shared Summary by Dept_US$'!$B$34,A293="US",E293/'Shared Summary by Dept_US$'!$B$35)</f>
        <v>#NAME?</v>
      </c>
      <c r="T293" s="292" t="s">
        <v>177</v>
      </c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spans="1:34" ht="15.75" customHeight="1" x14ac:dyDescent="0.25">
      <c r="A294" s="64" t="s">
        <v>44</v>
      </c>
      <c r="B294" s="64" t="str">
        <f ca="1">IFERROR(__xludf.DUMMYFUNCTION("""COMPUTED_VALUE"""),"Office Expenses")</f>
        <v>Office Expenses</v>
      </c>
      <c r="C294" s="64" t="str">
        <f ca="1">IFERROR(__xludf.DUMMYFUNCTION("""COMPUTED_VALUE"""),"Software and Subscriptions")</f>
        <v>Software and Subscriptions</v>
      </c>
      <c r="D294" s="293">
        <f ca="1">IFERROR(__xludf.DUMMYFUNCTION("""COMPUTED_VALUE"""),93401)</f>
        <v>93401</v>
      </c>
      <c r="E294" s="143">
        <f ca="1">IFERROR(__xludf.DUMMYFUNCTION("""COMPUTED_VALUE"""),274183.999999999)</f>
        <v>274183.99999999901</v>
      </c>
      <c r="F294" s="143">
        <f ca="1">IFERROR(__xludf.DUMMYFUNCTION("""COMPUTED_VALUE"""),28292.6666666666)</f>
        <v>28292.666666666599</v>
      </c>
      <c r="G294" s="143">
        <f ca="1">IFERROR(__xludf.DUMMYFUNCTION("""COMPUTED_VALUE"""),21780.6666666666)</f>
        <v>21780.666666666599</v>
      </c>
      <c r="H294" s="143">
        <f ca="1">IFERROR(__xludf.DUMMYFUNCTION("""COMPUTED_VALUE"""),22620.6666666666)</f>
        <v>22620.666666666599</v>
      </c>
      <c r="I294" s="143">
        <f ca="1">IFERROR(__xludf.DUMMYFUNCTION("""COMPUTED_VALUE"""),22182.6666666666)</f>
        <v>22182.666666666599</v>
      </c>
      <c r="J294" s="143">
        <f ca="1">IFERROR(__xludf.DUMMYFUNCTION("""COMPUTED_VALUE"""),22758.6666666666)</f>
        <v>22758.666666666599</v>
      </c>
      <c r="K294" s="143">
        <f ca="1">IFERROR(__xludf.DUMMYFUNCTION("""COMPUTED_VALUE"""),21745.6666666666)</f>
        <v>21745.666666666599</v>
      </c>
      <c r="L294" s="143">
        <f ca="1">IFERROR(__xludf.DUMMYFUNCTION("""COMPUTED_VALUE"""),24333.6666666666)</f>
        <v>24333.666666666599</v>
      </c>
      <c r="M294" s="143">
        <f ca="1">IFERROR(__xludf.DUMMYFUNCTION("""COMPUTED_VALUE"""),21855.6666666666)</f>
        <v>21855.666666666599</v>
      </c>
      <c r="N294" s="143">
        <f ca="1">IFERROR(__xludf.DUMMYFUNCTION("""COMPUTED_VALUE"""),22471.6666666666)</f>
        <v>22471.666666666599</v>
      </c>
      <c r="O294" s="143">
        <f ca="1">IFERROR(__xludf.DUMMYFUNCTION("""COMPUTED_VALUE"""),21874.6666666666)</f>
        <v>21874.666666666599</v>
      </c>
      <c r="P294" s="143">
        <f ca="1">IFERROR(__xludf.DUMMYFUNCTION("""COMPUTED_VALUE"""),22496.6666666666)</f>
        <v>22496.666666666599</v>
      </c>
      <c r="Q294" s="143">
        <f ca="1">IFERROR(__xludf.DUMMYFUNCTION("""COMPUTED_VALUE"""),21770.6666666666)</f>
        <v>21770.666666666599</v>
      </c>
      <c r="R294" s="287"/>
      <c r="S294" s="291" t="e">
        <f ca="1">_xludf.ifs(A294="INDIA",E294/'Shared Summary by Dept_US$'!$B$31,A294="INDO",E294/'Shared Summary by Dept_US$'!$B$32,A294="BD",E294/'Shared Summary by Dept_US$'!$B$33,A294="Nepal",E294/'Shared Summary by Dept_US$'!$B$34,A294="US",E294/'Shared Summary by Dept_US$'!$B$35)</f>
        <v>#NAME?</v>
      </c>
      <c r="T294" s="292" t="s">
        <v>177</v>
      </c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spans="1:34" ht="15.75" customHeight="1" x14ac:dyDescent="0.25">
      <c r="A295" s="64" t="s">
        <v>44</v>
      </c>
      <c r="B295" s="64" t="str">
        <f ca="1">IFERROR(__xludf.DUMMYFUNCTION("""COMPUTED_VALUE"""),"Office Expenses")</f>
        <v>Office Expenses</v>
      </c>
      <c r="C295" s="64" t="str">
        <f ca="1">IFERROR(__xludf.DUMMYFUNCTION("""COMPUTED_VALUE"""),"Stationery &amp; Consumables")</f>
        <v>Stationery &amp; Consumables</v>
      </c>
      <c r="D295" s="293">
        <f ca="1">IFERROR(__xludf.DUMMYFUNCTION("""COMPUTED_VALUE"""),93404)</f>
        <v>93404</v>
      </c>
      <c r="E295" s="143">
        <f ca="1">IFERROR(__xludf.DUMMYFUNCTION("""COMPUTED_VALUE"""),0)</f>
        <v>0</v>
      </c>
      <c r="F295" s="143">
        <f ca="1">IFERROR(__xludf.DUMMYFUNCTION("""COMPUTED_VALUE"""),0)</f>
        <v>0</v>
      </c>
      <c r="G295" s="143">
        <f ca="1">IFERROR(__xludf.DUMMYFUNCTION("""COMPUTED_VALUE"""),0)</f>
        <v>0</v>
      </c>
      <c r="H295" s="143">
        <f ca="1">IFERROR(__xludf.DUMMYFUNCTION("""COMPUTED_VALUE"""),0)</f>
        <v>0</v>
      </c>
      <c r="I295" s="143">
        <f ca="1">IFERROR(__xludf.DUMMYFUNCTION("""COMPUTED_VALUE"""),0)</f>
        <v>0</v>
      </c>
      <c r="J295" s="143">
        <f ca="1">IFERROR(__xludf.DUMMYFUNCTION("""COMPUTED_VALUE"""),0)</f>
        <v>0</v>
      </c>
      <c r="K295" s="143">
        <f ca="1">IFERROR(__xludf.DUMMYFUNCTION("""COMPUTED_VALUE"""),0)</f>
        <v>0</v>
      </c>
      <c r="L295" s="143">
        <f ca="1">IFERROR(__xludf.DUMMYFUNCTION("""COMPUTED_VALUE"""),0)</f>
        <v>0</v>
      </c>
      <c r="M295" s="143">
        <f ca="1">IFERROR(__xludf.DUMMYFUNCTION("""COMPUTED_VALUE"""),0)</f>
        <v>0</v>
      </c>
      <c r="N295" s="143">
        <f ca="1">IFERROR(__xludf.DUMMYFUNCTION("""COMPUTED_VALUE"""),0)</f>
        <v>0</v>
      </c>
      <c r="O295" s="143">
        <f ca="1">IFERROR(__xludf.DUMMYFUNCTION("""COMPUTED_VALUE"""),0)</f>
        <v>0</v>
      </c>
      <c r="P295" s="143">
        <f ca="1">IFERROR(__xludf.DUMMYFUNCTION("""COMPUTED_VALUE"""),0)</f>
        <v>0</v>
      </c>
      <c r="Q295" s="143">
        <f ca="1">IFERROR(__xludf.DUMMYFUNCTION("""COMPUTED_VALUE"""),0)</f>
        <v>0</v>
      </c>
      <c r="R295" s="287"/>
      <c r="S295" s="291" t="e">
        <f ca="1">_xludf.ifs(A295="INDIA",E295/'Shared Summary by Dept_US$'!$B$31,A295="INDO",E295/'Shared Summary by Dept_US$'!$B$32,A295="BD",E295/'Shared Summary by Dept_US$'!$B$33,A295="Nepal",E295/'Shared Summary by Dept_US$'!$B$34,A295="US",E295/'Shared Summary by Dept_US$'!$B$35)</f>
        <v>#NAME?</v>
      </c>
      <c r="T295" s="292" t="s">
        <v>177</v>
      </c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spans="1:34" ht="15.75" customHeight="1" x14ac:dyDescent="0.25">
      <c r="A296" s="64" t="s">
        <v>44</v>
      </c>
      <c r="B296" s="64" t="str">
        <f ca="1">IFERROR(__xludf.DUMMYFUNCTION("""COMPUTED_VALUE"""),"Office Expenses")</f>
        <v>Office Expenses</v>
      </c>
      <c r="C296" s="64" t="str">
        <f ca="1">IFERROR(__xludf.DUMMYFUNCTION("""COMPUTED_VALUE"""),"Office Equipment Expense")</f>
        <v>Office Equipment Expense</v>
      </c>
      <c r="D296" s="293">
        <f ca="1">IFERROR(__xludf.DUMMYFUNCTION("""COMPUTED_VALUE"""),93405)</f>
        <v>93405</v>
      </c>
      <c r="E296" s="143">
        <f ca="1">IFERROR(__xludf.DUMMYFUNCTION("""COMPUTED_VALUE"""),0)</f>
        <v>0</v>
      </c>
      <c r="F296" s="143">
        <f ca="1">IFERROR(__xludf.DUMMYFUNCTION("""COMPUTED_VALUE"""),0)</f>
        <v>0</v>
      </c>
      <c r="G296" s="143">
        <f ca="1">IFERROR(__xludf.DUMMYFUNCTION("""COMPUTED_VALUE"""),0)</f>
        <v>0</v>
      </c>
      <c r="H296" s="143">
        <f ca="1">IFERROR(__xludf.DUMMYFUNCTION("""COMPUTED_VALUE"""),0)</f>
        <v>0</v>
      </c>
      <c r="I296" s="143">
        <f ca="1">IFERROR(__xludf.DUMMYFUNCTION("""COMPUTED_VALUE"""),0)</f>
        <v>0</v>
      </c>
      <c r="J296" s="143">
        <f ca="1">IFERROR(__xludf.DUMMYFUNCTION("""COMPUTED_VALUE"""),0)</f>
        <v>0</v>
      </c>
      <c r="K296" s="143">
        <f ca="1">IFERROR(__xludf.DUMMYFUNCTION("""COMPUTED_VALUE"""),0)</f>
        <v>0</v>
      </c>
      <c r="L296" s="143">
        <f ca="1">IFERROR(__xludf.DUMMYFUNCTION("""COMPUTED_VALUE"""),0)</f>
        <v>0</v>
      </c>
      <c r="M296" s="143">
        <f ca="1">IFERROR(__xludf.DUMMYFUNCTION("""COMPUTED_VALUE"""),0)</f>
        <v>0</v>
      </c>
      <c r="N296" s="143">
        <f ca="1">IFERROR(__xludf.DUMMYFUNCTION("""COMPUTED_VALUE"""),0)</f>
        <v>0</v>
      </c>
      <c r="O296" s="143">
        <f ca="1">IFERROR(__xludf.DUMMYFUNCTION("""COMPUTED_VALUE"""),0)</f>
        <v>0</v>
      </c>
      <c r="P296" s="143">
        <f ca="1">IFERROR(__xludf.DUMMYFUNCTION("""COMPUTED_VALUE"""),0)</f>
        <v>0</v>
      </c>
      <c r="Q296" s="143">
        <f ca="1">IFERROR(__xludf.DUMMYFUNCTION("""COMPUTED_VALUE"""),0)</f>
        <v>0</v>
      </c>
      <c r="R296" s="287"/>
      <c r="S296" s="291" t="e">
        <f ca="1">_xludf.ifs(A296="INDIA",E296/'Shared Summary by Dept_US$'!$B$31,A296="INDO",E296/'Shared Summary by Dept_US$'!$B$32,A296="BD",E296/'Shared Summary by Dept_US$'!$B$33,A296="Nepal",E296/'Shared Summary by Dept_US$'!$B$34,A296="US",E296/'Shared Summary by Dept_US$'!$B$35)</f>
        <v>#NAME?</v>
      </c>
      <c r="T296" s="292" t="s">
        <v>177</v>
      </c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spans="1:34" ht="15.75" customHeight="1" x14ac:dyDescent="0.25">
      <c r="A297" s="64" t="s">
        <v>44</v>
      </c>
      <c r="B297" s="64" t="str">
        <f ca="1">IFERROR(__xludf.DUMMYFUNCTION("""COMPUTED_VALUE"""),"Professional &amp; Consultancy Charges")</f>
        <v>Professional &amp; Consultancy Charges</v>
      </c>
      <c r="C297" s="64" t="str">
        <f ca="1">IFERROR(__xludf.DUMMYFUNCTION("""COMPUTED_VALUE"""),"Admin Consultants")</f>
        <v>Admin Consultants</v>
      </c>
      <c r="D297" s="293">
        <f ca="1">IFERROR(__xludf.DUMMYFUNCTION("""COMPUTED_VALUE"""),93703)</f>
        <v>93703</v>
      </c>
      <c r="E297" s="143">
        <f ca="1">IFERROR(__xludf.DUMMYFUNCTION("""COMPUTED_VALUE"""),5955)</f>
        <v>5955</v>
      </c>
      <c r="F297" s="143">
        <f ca="1">IFERROR(__xludf.DUMMYFUNCTION("""COMPUTED_VALUE"""),5955)</f>
        <v>5955</v>
      </c>
      <c r="G297" s="143">
        <f ca="1">IFERROR(__xludf.DUMMYFUNCTION("""COMPUTED_VALUE"""),0)</f>
        <v>0</v>
      </c>
      <c r="H297" s="143">
        <f ca="1">IFERROR(__xludf.DUMMYFUNCTION("""COMPUTED_VALUE"""),0)</f>
        <v>0</v>
      </c>
      <c r="I297" s="143">
        <f ca="1">IFERROR(__xludf.DUMMYFUNCTION("""COMPUTED_VALUE"""),0)</f>
        <v>0</v>
      </c>
      <c r="J297" s="143">
        <f ca="1">IFERROR(__xludf.DUMMYFUNCTION("""COMPUTED_VALUE"""),0)</f>
        <v>0</v>
      </c>
      <c r="K297" s="143">
        <f ca="1">IFERROR(__xludf.DUMMYFUNCTION("""COMPUTED_VALUE"""),0)</f>
        <v>0</v>
      </c>
      <c r="L297" s="143">
        <f ca="1">IFERROR(__xludf.DUMMYFUNCTION("""COMPUTED_VALUE"""),0)</f>
        <v>0</v>
      </c>
      <c r="M297" s="143">
        <f ca="1">IFERROR(__xludf.DUMMYFUNCTION("""COMPUTED_VALUE"""),0)</f>
        <v>0</v>
      </c>
      <c r="N297" s="143">
        <f ca="1">IFERROR(__xludf.DUMMYFUNCTION("""COMPUTED_VALUE"""),0)</f>
        <v>0</v>
      </c>
      <c r="O297" s="143">
        <f ca="1">IFERROR(__xludf.DUMMYFUNCTION("""COMPUTED_VALUE"""),0)</f>
        <v>0</v>
      </c>
      <c r="P297" s="143">
        <f ca="1">IFERROR(__xludf.DUMMYFUNCTION("""COMPUTED_VALUE"""),0)</f>
        <v>0</v>
      </c>
      <c r="Q297" s="143">
        <f ca="1">IFERROR(__xludf.DUMMYFUNCTION("""COMPUTED_VALUE"""),0)</f>
        <v>0</v>
      </c>
      <c r="R297" s="287"/>
      <c r="S297" s="291" t="e">
        <f ca="1">_xludf.ifs(A297="INDIA",E297/'Shared Summary by Dept_US$'!$B$31,A297="INDO",E297/'Shared Summary by Dept_US$'!$B$32,A297="BD",E297/'Shared Summary by Dept_US$'!$B$33,A297="Nepal",E297/'Shared Summary by Dept_US$'!$B$34,A297="US",E297/'Shared Summary by Dept_US$'!$B$35)</f>
        <v>#NAME?</v>
      </c>
      <c r="T297" s="292" t="s">
        <v>177</v>
      </c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spans="1:34" ht="15.75" customHeight="1" x14ac:dyDescent="0.25">
      <c r="A298" s="64" t="s">
        <v>44</v>
      </c>
      <c r="B298" s="64" t="str">
        <f ca="1">IFERROR(__xludf.DUMMYFUNCTION("""COMPUTED_VALUE"""),"Fixed Assets")</f>
        <v>Fixed Assets</v>
      </c>
      <c r="C298" s="64" t="str">
        <f ca="1">IFERROR(__xludf.DUMMYFUNCTION("""COMPUTED_VALUE"""),"Laptop/ Printer")</f>
        <v>Laptop/ Printer</v>
      </c>
      <c r="D298" s="293">
        <f ca="1">IFERROR(__xludf.DUMMYFUNCTION("""COMPUTED_VALUE"""),11301)</f>
        <v>11301</v>
      </c>
      <c r="E298" s="143">
        <f ca="1">IFERROR(__xludf.DUMMYFUNCTION("""COMPUTED_VALUE"""),0)</f>
        <v>0</v>
      </c>
      <c r="F298" s="143">
        <f ca="1">IFERROR(__xludf.DUMMYFUNCTION("""COMPUTED_VALUE"""),0)</f>
        <v>0</v>
      </c>
      <c r="G298" s="143">
        <f ca="1">IFERROR(__xludf.DUMMYFUNCTION("""COMPUTED_VALUE"""),0)</f>
        <v>0</v>
      </c>
      <c r="H298" s="143">
        <f ca="1">IFERROR(__xludf.DUMMYFUNCTION("""COMPUTED_VALUE"""),0)</f>
        <v>0</v>
      </c>
      <c r="I298" s="143">
        <f ca="1">IFERROR(__xludf.DUMMYFUNCTION("""COMPUTED_VALUE"""),0)</f>
        <v>0</v>
      </c>
      <c r="J298" s="143">
        <f ca="1">IFERROR(__xludf.DUMMYFUNCTION("""COMPUTED_VALUE"""),0)</f>
        <v>0</v>
      </c>
      <c r="K298" s="143">
        <f ca="1">IFERROR(__xludf.DUMMYFUNCTION("""COMPUTED_VALUE"""),0)</f>
        <v>0</v>
      </c>
      <c r="L298" s="143">
        <f ca="1">IFERROR(__xludf.DUMMYFUNCTION("""COMPUTED_VALUE"""),0)</f>
        <v>0</v>
      </c>
      <c r="M298" s="143">
        <f ca="1">IFERROR(__xludf.DUMMYFUNCTION("""COMPUTED_VALUE"""),0)</f>
        <v>0</v>
      </c>
      <c r="N298" s="143">
        <f ca="1">IFERROR(__xludf.DUMMYFUNCTION("""COMPUTED_VALUE"""),0)</f>
        <v>0</v>
      </c>
      <c r="O298" s="143">
        <f ca="1">IFERROR(__xludf.DUMMYFUNCTION("""COMPUTED_VALUE"""),0)</f>
        <v>0</v>
      </c>
      <c r="P298" s="143">
        <f ca="1">IFERROR(__xludf.DUMMYFUNCTION("""COMPUTED_VALUE"""),0)</f>
        <v>0</v>
      </c>
      <c r="Q298" s="143">
        <f ca="1">IFERROR(__xludf.DUMMYFUNCTION("""COMPUTED_VALUE"""),0)</f>
        <v>0</v>
      </c>
      <c r="R298" s="287"/>
      <c r="S298" s="291" t="e">
        <f ca="1">_xludf.ifs(A298="INDIA",E298/'Shared Summary by Dept_US$'!$B$31,A298="INDO",E298/'Shared Summary by Dept_US$'!$B$32,A298="BD",E298/'Shared Summary by Dept_US$'!$B$33,A298="Nepal",E298/'Shared Summary by Dept_US$'!$B$34,A298="US",E298/'Shared Summary by Dept_US$'!$B$35)</f>
        <v>#NAME?</v>
      </c>
      <c r="T298" s="292" t="s">
        <v>177</v>
      </c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spans="1:34" ht="15.75" customHeight="1" x14ac:dyDescent="0.25">
      <c r="A299" s="81" t="s">
        <v>14</v>
      </c>
      <c r="B299" s="64" t="str">
        <f ca="1">IFERROR(__xludf.DUMMYFUNCTION("""COMPUTED_VALUE"""),"Salaries and Wages")</f>
        <v>Salaries and Wages</v>
      </c>
      <c r="C299" s="64" t="str">
        <f ca="1">IFERROR(__xludf.DUMMYFUNCTION("""COMPUTED_VALUE"""),"Salaries and Wages")</f>
        <v>Salaries and Wages</v>
      </c>
      <c r="D299" s="293"/>
      <c r="E299" s="143">
        <f ca="1">IFERROR(__xludf.DUMMYFUNCTION("""COMPUTED_VALUE"""),41816618.3333333)</f>
        <v>41816618.333333299</v>
      </c>
      <c r="F299" s="143">
        <f ca="1">IFERROR(__xludf.DUMMYFUNCTION("""COMPUTED_VALUE"""),2161107.08333333)</f>
        <v>2161107.0833333302</v>
      </c>
      <c r="G299" s="143">
        <f ca="1">IFERROR(__xludf.DUMMYFUNCTION("""COMPUTED_VALUE"""),2161107.08333333)</f>
        <v>2161107.0833333302</v>
      </c>
      <c r="H299" s="143">
        <f ca="1">IFERROR(__xludf.DUMMYFUNCTION("""COMPUTED_VALUE"""),2327773.75)</f>
        <v>2327773.75</v>
      </c>
      <c r="I299" s="143">
        <f ca="1">IFERROR(__xludf.DUMMYFUNCTION("""COMPUTED_VALUE"""),3477773.74999999)</f>
        <v>3477773.7499999902</v>
      </c>
      <c r="J299" s="143">
        <f ca="1">IFERROR(__xludf.DUMMYFUNCTION("""COMPUTED_VALUE"""),3961107.08333333)</f>
        <v>3961107.0833333302</v>
      </c>
      <c r="K299" s="143">
        <f ca="1">IFERROR(__xludf.DUMMYFUNCTION("""COMPUTED_VALUE"""),3961107.08333333)</f>
        <v>3961107.0833333302</v>
      </c>
      <c r="L299" s="143">
        <f ca="1">IFERROR(__xludf.DUMMYFUNCTION("""COMPUTED_VALUE"""),3961107.08333333)</f>
        <v>3961107.0833333302</v>
      </c>
      <c r="M299" s="143">
        <f ca="1">IFERROR(__xludf.DUMMYFUNCTION("""COMPUTED_VALUE"""),3961107.08333333)</f>
        <v>3961107.0833333302</v>
      </c>
      <c r="N299" s="143">
        <f ca="1">IFERROR(__xludf.DUMMYFUNCTION("""COMPUTED_VALUE"""),3961107.08333333)</f>
        <v>3961107.0833333302</v>
      </c>
      <c r="O299" s="143">
        <f ca="1">IFERROR(__xludf.DUMMYFUNCTION("""COMPUTED_VALUE"""),3961107.08333333)</f>
        <v>3961107.0833333302</v>
      </c>
      <c r="P299" s="143">
        <f ca="1">IFERROR(__xludf.DUMMYFUNCTION("""COMPUTED_VALUE"""),3961107.08333333)</f>
        <v>3961107.0833333302</v>
      </c>
      <c r="Q299" s="143">
        <f ca="1">IFERROR(__xludf.DUMMYFUNCTION("""COMPUTED_VALUE"""),3961107.08333333)</f>
        <v>3961107.0833333302</v>
      </c>
      <c r="R299" s="287"/>
      <c r="S299" s="291" t="e">
        <f ca="1">_xludf.ifs(A299="INDIA",E299/'Shared Summary by Dept_US$'!$B$31,A299="INDO",E299/'Shared Summary by Dept_US$'!$B$32,A299="BD",E299/'Shared Summary by Dept_US$'!$B$33,A299="Nepal",E299/'Shared Summary by Dept_US$'!$B$34,A299="US",E299/'Shared Summary by Dept_US$'!$B$35)</f>
        <v>#NAME?</v>
      </c>
      <c r="T299" s="292" t="s">
        <v>203</v>
      </c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spans="1:34" ht="15.75" customHeight="1" x14ac:dyDescent="0.25">
      <c r="A300" s="81" t="s">
        <v>14</v>
      </c>
      <c r="B300" s="64" t="str">
        <f ca="1">IFERROR(__xludf.DUMMYFUNCTION("""COMPUTED_VALUE"""),"Health and Retirement Benefits")</f>
        <v>Health and Retirement Benefits</v>
      </c>
      <c r="C300" s="64" t="str">
        <f ca="1">IFERROR(__xludf.DUMMYFUNCTION("""COMPUTED_VALUE"""),"Gratuity &amp; Bonus")</f>
        <v>Gratuity &amp; Bonus</v>
      </c>
      <c r="D300" s="293"/>
      <c r="E300" s="143">
        <f ca="1">IFERROR(__xludf.DUMMYFUNCTION("""COMPUTED_VALUE"""),0)</f>
        <v>0</v>
      </c>
      <c r="F300" s="143">
        <f ca="1">IFERROR(__xludf.DUMMYFUNCTION("""COMPUTED_VALUE"""),0)</f>
        <v>0</v>
      </c>
      <c r="G300" s="143">
        <f ca="1">IFERROR(__xludf.DUMMYFUNCTION("""COMPUTED_VALUE"""),0)</f>
        <v>0</v>
      </c>
      <c r="H300" s="143">
        <f ca="1">IFERROR(__xludf.DUMMYFUNCTION("""COMPUTED_VALUE"""),0)</f>
        <v>0</v>
      </c>
      <c r="I300" s="143">
        <f ca="1">IFERROR(__xludf.DUMMYFUNCTION("""COMPUTED_VALUE"""),0)</f>
        <v>0</v>
      </c>
      <c r="J300" s="143">
        <f ca="1">IFERROR(__xludf.DUMMYFUNCTION("""COMPUTED_VALUE"""),0)</f>
        <v>0</v>
      </c>
      <c r="K300" s="143">
        <f ca="1">IFERROR(__xludf.DUMMYFUNCTION("""COMPUTED_VALUE"""),0)</f>
        <v>0</v>
      </c>
      <c r="L300" s="143">
        <f ca="1">IFERROR(__xludf.DUMMYFUNCTION("""COMPUTED_VALUE"""),0)</f>
        <v>0</v>
      </c>
      <c r="M300" s="143">
        <f ca="1">IFERROR(__xludf.DUMMYFUNCTION("""COMPUTED_VALUE"""),0)</f>
        <v>0</v>
      </c>
      <c r="N300" s="143">
        <f ca="1">IFERROR(__xludf.DUMMYFUNCTION("""COMPUTED_VALUE"""),0)</f>
        <v>0</v>
      </c>
      <c r="O300" s="143">
        <f ca="1">IFERROR(__xludf.DUMMYFUNCTION("""COMPUTED_VALUE"""),0)</f>
        <v>0</v>
      </c>
      <c r="P300" s="143">
        <f ca="1">IFERROR(__xludf.DUMMYFUNCTION("""COMPUTED_VALUE"""),0)</f>
        <v>0</v>
      </c>
      <c r="Q300" s="143">
        <f ca="1">IFERROR(__xludf.DUMMYFUNCTION("""COMPUTED_VALUE"""),0)</f>
        <v>0</v>
      </c>
      <c r="R300" s="287"/>
      <c r="S300" s="291" t="e">
        <f ca="1">_xludf.ifs(A300="INDIA",E300/'Shared Summary by Dept_US$'!$B$31,A300="INDO",E300/'Shared Summary by Dept_US$'!$B$32,A300="BD",E300/'Shared Summary by Dept_US$'!$B$33,A300="Nepal",E300/'Shared Summary by Dept_US$'!$B$34,A300="US",E300/'Shared Summary by Dept_US$'!$B$35)</f>
        <v>#NAME?</v>
      </c>
      <c r="T300" s="292" t="s">
        <v>203</v>
      </c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spans="1:34" ht="15.75" customHeight="1" x14ac:dyDescent="0.25">
      <c r="A301" s="81" t="s">
        <v>14</v>
      </c>
      <c r="B301" s="64" t="str">
        <f ca="1">IFERROR(__xludf.DUMMYFUNCTION("""COMPUTED_VALUE"""),"Other Staff Expenses")</f>
        <v>Other Staff Expenses</v>
      </c>
      <c r="C301" s="64" t="str">
        <f ca="1">IFERROR(__xludf.DUMMYFUNCTION("""COMPUTED_VALUE"""),"Staff Training, Learning &amp; Development Exp")</f>
        <v>Staff Training, Learning &amp; Development Exp</v>
      </c>
      <c r="D301" s="293">
        <f ca="1">IFERROR(__xludf.DUMMYFUNCTION("""COMPUTED_VALUE"""),91302)</f>
        <v>91302</v>
      </c>
      <c r="E301" s="143">
        <f ca="1">IFERROR(__xludf.DUMMYFUNCTION("""COMPUTED_VALUE"""),0)</f>
        <v>0</v>
      </c>
      <c r="F301" s="143">
        <f ca="1">IFERROR(__xludf.DUMMYFUNCTION("""COMPUTED_VALUE"""),0)</f>
        <v>0</v>
      </c>
      <c r="G301" s="143">
        <f ca="1">IFERROR(__xludf.DUMMYFUNCTION("""COMPUTED_VALUE"""),0)</f>
        <v>0</v>
      </c>
      <c r="H301" s="143">
        <f ca="1">IFERROR(__xludf.DUMMYFUNCTION("""COMPUTED_VALUE"""),0)</f>
        <v>0</v>
      </c>
      <c r="I301" s="143">
        <f ca="1">IFERROR(__xludf.DUMMYFUNCTION("""COMPUTED_VALUE"""),0)</f>
        <v>0</v>
      </c>
      <c r="J301" s="143">
        <f ca="1">IFERROR(__xludf.DUMMYFUNCTION("""COMPUTED_VALUE"""),0)</f>
        <v>0</v>
      </c>
      <c r="K301" s="143">
        <f ca="1">IFERROR(__xludf.DUMMYFUNCTION("""COMPUTED_VALUE"""),0)</f>
        <v>0</v>
      </c>
      <c r="L301" s="143">
        <f ca="1">IFERROR(__xludf.DUMMYFUNCTION("""COMPUTED_VALUE"""),0)</f>
        <v>0</v>
      </c>
      <c r="M301" s="143">
        <f ca="1">IFERROR(__xludf.DUMMYFUNCTION("""COMPUTED_VALUE"""),0)</f>
        <v>0</v>
      </c>
      <c r="N301" s="143">
        <f ca="1">IFERROR(__xludf.DUMMYFUNCTION("""COMPUTED_VALUE"""),0)</f>
        <v>0</v>
      </c>
      <c r="O301" s="143">
        <f ca="1">IFERROR(__xludf.DUMMYFUNCTION("""COMPUTED_VALUE"""),0)</f>
        <v>0</v>
      </c>
      <c r="P301" s="143">
        <f ca="1">IFERROR(__xludf.DUMMYFUNCTION("""COMPUTED_VALUE"""),0)</f>
        <v>0</v>
      </c>
      <c r="Q301" s="143">
        <f ca="1">IFERROR(__xludf.DUMMYFUNCTION("""COMPUTED_VALUE"""),0)</f>
        <v>0</v>
      </c>
      <c r="R301" s="287"/>
      <c r="S301" s="291" t="e">
        <f ca="1">_xludf.ifs(A301="INDIA",E301/'Shared Summary by Dept_US$'!$B$31,A301="INDO",E301/'Shared Summary by Dept_US$'!$B$32,A301="BD",E301/'Shared Summary by Dept_US$'!$B$33,A301="Nepal",E301/'Shared Summary by Dept_US$'!$B$34,A301="US",E301/'Shared Summary by Dept_US$'!$B$35)</f>
        <v>#NAME?</v>
      </c>
      <c r="T301" s="292" t="s">
        <v>203</v>
      </c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spans="1:34" ht="15.75" customHeight="1" x14ac:dyDescent="0.25">
      <c r="A302" s="81" t="s">
        <v>14</v>
      </c>
      <c r="B302" s="64" t="str">
        <f ca="1">IFERROR(__xludf.DUMMYFUNCTION("""COMPUTED_VALUE"""),"Resource Persons")</f>
        <v>Resource Persons</v>
      </c>
      <c r="C302" s="64" t="str">
        <f ca="1">IFERROR(__xludf.DUMMYFUNCTION("""COMPUTED_VALUE"""),"Program Resource Consultant (EHA)")</f>
        <v>Program Resource Consultant (EHA)</v>
      </c>
      <c r="D302" s="293">
        <f ca="1">IFERROR(__xludf.DUMMYFUNCTION("""COMPUTED_VALUE"""),92101)</f>
        <v>92101</v>
      </c>
      <c r="E302" s="143">
        <f ca="1">IFERROR(__xludf.DUMMYFUNCTION("""COMPUTED_VALUE"""),3600000)</f>
        <v>3600000</v>
      </c>
      <c r="F302" s="143">
        <f ca="1">IFERROR(__xludf.DUMMYFUNCTION("""COMPUTED_VALUE"""),300000)</f>
        <v>300000</v>
      </c>
      <c r="G302" s="143">
        <f ca="1">IFERROR(__xludf.DUMMYFUNCTION("""COMPUTED_VALUE"""),300000)</f>
        <v>300000</v>
      </c>
      <c r="H302" s="143">
        <f ca="1">IFERROR(__xludf.DUMMYFUNCTION("""COMPUTED_VALUE"""),300000)</f>
        <v>300000</v>
      </c>
      <c r="I302" s="143">
        <f ca="1">IFERROR(__xludf.DUMMYFUNCTION("""COMPUTED_VALUE"""),300000)</f>
        <v>300000</v>
      </c>
      <c r="J302" s="143">
        <f ca="1">IFERROR(__xludf.DUMMYFUNCTION("""COMPUTED_VALUE"""),300000)</f>
        <v>300000</v>
      </c>
      <c r="K302" s="143">
        <f ca="1">IFERROR(__xludf.DUMMYFUNCTION("""COMPUTED_VALUE"""),300000)</f>
        <v>300000</v>
      </c>
      <c r="L302" s="143">
        <f ca="1">IFERROR(__xludf.DUMMYFUNCTION("""COMPUTED_VALUE"""),300000)</f>
        <v>300000</v>
      </c>
      <c r="M302" s="143">
        <f ca="1">IFERROR(__xludf.DUMMYFUNCTION("""COMPUTED_VALUE"""),300000)</f>
        <v>300000</v>
      </c>
      <c r="N302" s="143">
        <f ca="1">IFERROR(__xludf.DUMMYFUNCTION("""COMPUTED_VALUE"""),300000)</f>
        <v>300000</v>
      </c>
      <c r="O302" s="143">
        <f ca="1">IFERROR(__xludf.DUMMYFUNCTION("""COMPUTED_VALUE"""),300000)</f>
        <v>300000</v>
      </c>
      <c r="P302" s="143">
        <f ca="1">IFERROR(__xludf.DUMMYFUNCTION("""COMPUTED_VALUE"""),300000)</f>
        <v>300000</v>
      </c>
      <c r="Q302" s="143">
        <f ca="1">IFERROR(__xludf.DUMMYFUNCTION("""COMPUTED_VALUE"""),300000)</f>
        <v>300000</v>
      </c>
      <c r="R302" s="287"/>
      <c r="S302" s="291" t="e">
        <f ca="1">_xludf.ifs(A302="INDIA",E302/'Shared Summary by Dept_US$'!$B$31,A302="INDO",E302/'Shared Summary by Dept_US$'!$B$32,A302="BD",E302/'Shared Summary by Dept_US$'!$B$33,A302="Nepal",E302/'Shared Summary by Dept_US$'!$B$34,A302="US",E302/'Shared Summary by Dept_US$'!$B$35)</f>
        <v>#NAME?</v>
      </c>
      <c r="T302" s="292" t="s">
        <v>203</v>
      </c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spans="1:34" ht="15.75" customHeight="1" x14ac:dyDescent="0.25">
      <c r="A303" s="81" t="s">
        <v>14</v>
      </c>
      <c r="B303" s="64" t="str">
        <f ca="1">IFERROR(__xludf.DUMMYFUNCTION("""COMPUTED_VALUE"""),"Travel &amp; Lodging Expenses")</f>
        <v>Travel &amp; Lodging Expenses</v>
      </c>
      <c r="C303" s="64" t="str">
        <f ca="1">IFERROR(__xludf.DUMMYFUNCTION("""COMPUTED_VALUE"""),"Hotel Accomodation")</f>
        <v>Hotel Accomodation</v>
      </c>
      <c r="D303" s="293">
        <f ca="1">IFERROR(__xludf.DUMMYFUNCTION("""COMPUTED_VALUE"""),93101)</f>
        <v>93101</v>
      </c>
      <c r="E303" s="143">
        <f ca="1">IFERROR(__xludf.DUMMYFUNCTION("""COMPUTED_VALUE"""),69000)</f>
        <v>69000</v>
      </c>
      <c r="F303" s="143">
        <f ca="1">IFERROR(__xludf.DUMMYFUNCTION("""COMPUTED_VALUE"""),0)</f>
        <v>0</v>
      </c>
      <c r="G303" s="143">
        <f ca="1">IFERROR(__xludf.DUMMYFUNCTION("""COMPUTED_VALUE"""),0)</f>
        <v>0</v>
      </c>
      <c r="H303" s="143">
        <f ca="1">IFERROR(__xludf.DUMMYFUNCTION("""COMPUTED_VALUE"""),0)</f>
        <v>0</v>
      </c>
      <c r="I303" s="143">
        <f ca="1">IFERROR(__xludf.DUMMYFUNCTION("""COMPUTED_VALUE"""),10500)</f>
        <v>10500</v>
      </c>
      <c r="J303" s="143">
        <f ca="1">IFERROR(__xludf.DUMMYFUNCTION("""COMPUTED_VALUE"""),10500)</f>
        <v>10500</v>
      </c>
      <c r="K303" s="143">
        <f ca="1">IFERROR(__xludf.DUMMYFUNCTION("""COMPUTED_VALUE"""),24000)</f>
        <v>24000</v>
      </c>
      <c r="L303" s="143">
        <f ca="1">IFERROR(__xludf.DUMMYFUNCTION("""COMPUTED_VALUE"""),0)</f>
        <v>0</v>
      </c>
      <c r="M303" s="143">
        <f ca="1">IFERROR(__xludf.DUMMYFUNCTION("""COMPUTED_VALUE"""),24000)</f>
        <v>24000</v>
      </c>
      <c r="N303" s="143">
        <f ca="1">IFERROR(__xludf.DUMMYFUNCTION("""COMPUTED_VALUE"""),0)</f>
        <v>0</v>
      </c>
      <c r="O303" s="143">
        <f ca="1">IFERROR(__xludf.DUMMYFUNCTION("""COMPUTED_VALUE"""),0)</f>
        <v>0</v>
      </c>
      <c r="P303" s="143">
        <f ca="1">IFERROR(__xludf.DUMMYFUNCTION("""COMPUTED_VALUE"""),0)</f>
        <v>0</v>
      </c>
      <c r="Q303" s="143">
        <f ca="1">IFERROR(__xludf.DUMMYFUNCTION("""COMPUTED_VALUE"""),0)</f>
        <v>0</v>
      </c>
      <c r="R303" s="287"/>
      <c r="S303" s="291" t="e">
        <f ca="1">_xludf.ifs(A303="INDIA",E303/'Shared Summary by Dept_US$'!$B$31,A303="INDO",E303/'Shared Summary by Dept_US$'!$B$32,A303="BD",E303/'Shared Summary by Dept_US$'!$B$33,A303="Nepal",E303/'Shared Summary by Dept_US$'!$B$34,A303="US",E303/'Shared Summary by Dept_US$'!$B$35)</f>
        <v>#NAME?</v>
      </c>
      <c r="T303" s="292" t="s">
        <v>203</v>
      </c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spans="1:34" ht="15.75" customHeight="1" x14ac:dyDescent="0.25">
      <c r="A304" s="81" t="s">
        <v>14</v>
      </c>
      <c r="B304" s="64" t="str">
        <f ca="1">IFERROR(__xludf.DUMMYFUNCTION("""COMPUTED_VALUE"""),"Travel &amp; Lodging Expenses")</f>
        <v>Travel &amp; Lodging Expenses</v>
      </c>
      <c r="C304" s="64" t="str">
        <f ca="1">IFERROR(__xludf.DUMMYFUNCTION("""COMPUTED_VALUE"""),"Food Expenses")</f>
        <v>Food Expenses</v>
      </c>
      <c r="D304" s="293">
        <f ca="1">IFERROR(__xludf.DUMMYFUNCTION("""COMPUTED_VALUE"""),93102)</f>
        <v>93102</v>
      </c>
      <c r="E304" s="143">
        <f ca="1">IFERROR(__xludf.DUMMYFUNCTION("""COMPUTED_VALUE"""),22000)</f>
        <v>22000</v>
      </c>
      <c r="F304" s="143">
        <f ca="1">IFERROR(__xludf.DUMMYFUNCTION("""COMPUTED_VALUE"""),0)</f>
        <v>0</v>
      </c>
      <c r="G304" s="143">
        <f ca="1">IFERROR(__xludf.DUMMYFUNCTION("""COMPUTED_VALUE"""),0)</f>
        <v>0</v>
      </c>
      <c r="H304" s="143">
        <f ca="1">IFERROR(__xludf.DUMMYFUNCTION("""COMPUTED_VALUE"""),0)</f>
        <v>0</v>
      </c>
      <c r="I304" s="143">
        <f ca="1">IFERROR(__xludf.DUMMYFUNCTION("""COMPUTED_VALUE"""),3000)</f>
        <v>3000</v>
      </c>
      <c r="J304" s="143">
        <f ca="1">IFERROR(__xludf.DUMMYFUNCTION("""COMPUTED_VALUE"""),3000)</f>
        <v>3000</v>
      </c>
      <c r="K304" s="143">
        <f ca="1">IFERROR(__xludf.DUMMYFUNCTION("""COMPUTED_VALUE"""),10000)</f>
        <v>10000</v>
      </c>
      <c r="L304" s="143">
        <f ca="1">IFERROR(__xludf.DUMMYFUNCTION("""COMPUTED_VALUE"""),0)</f>
        <v>0</v>
      </c>
      <c r="M304" s="143">
        <f ca="1">IFERROR(__xludf.DUMMYFUNCTION("""COMPUTED_VALUE"""),6000)</f>
        <v>6000</v>
      </c>
      <c r="N304" s="143">
        <f ca="1">IFERROR(__xludf.DUMMYFUNCTION("""COMPUTED_VALUE"""),0)</f>
        <v>0</v>
      </c>
      <c r="O304" s="143">
        <f ca="1">IFERROR(__xludf.DUMMYFUNCTION("""COMPUTED_VALUE"""),0)</f>
        <v>0</v>
      </c>
      <c r="P304" s="143">
        <f ca="1">IFERROR(__xludf.DUMMYFUNCTION("""COMPUTED_VALUE"""),0)</f>
        <v>0</v>
      </c>
      <c r="Q304" s="143">
        <f ca="1">IFERROR(__xludf.DUMMYFUNCTION("""COMPUTED_VALUE"""),0)</f>
        <v>0</v>
      </c>
      <c r="R304" s="287"/>
      <c r="S304" s="291" t="e">
        <f ca="1">_xludf.ifs(A304="INDIA",E304/'Shared Summary by Dept_US$'!$B$31,A304="INDO",E304/'Shared Summary by Dept_US$'!$B$32,A304="BD",E304/'Shared Summary by Dept_US$'!$B$33,A304="Nepal",E304/'Shared Summary by Dept_US$'!$B$34,A304="US",E304/'Shared Summary by Dept_US$'!$B$35)</f>
        <v>#NAME?</v>
      </c>
      <c r="T304" s="292" t="s">
        <v>203</v>
      </c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spans="1:34" ht="15.75" customHeight="1" x14ac:dyDescent="0.25">
      <c r="A305" s="81" t="s">
        <v>14</v>
      </c>
      <c r="B305" s="64" t="str">
        <f ca="1">IFERROR(__xludf.DUMMYFUNCTION("""COMPUTED_VALUE"""),"Travel &amp; Lodging Expenses")</f>
        <v>Travel &amp; Lodging Expenses</v>
      </c>
      <c r="C305" s="64" t="str">
        <f ca="1">IFERROR(__xludf.DUMMYFUNCTION("""COMPUTED_VALUE"""),"Air fare")</f>
        <v>Air fare</v>
      </c>
      <c r="D305" s="293">
        <f ca="1">IFERROR(__xludf.DUMMYFUNCTION("""COMPUTED_VALUE"""),93103)</f>
        <v>93103</v>
      </c>
      <c r="E305" s="143">
        <f ca="1">IFERROR(__xludf.DUMMYFUNCTION("""COMPUTED_VALUE"""),160000)</f>
        <v>160000</v>
      </c>
      <c r="F305" s="143">
        <f ca="1">IFERROR(__xludf.DUMMYFUNCTION("""COMPUTED_VALUE"""),0)</f>
        <v>0</v>
      </c>
      <c r="G305" s="143">
        <f ca="1">IFERROR(__xludf.DUMMYFUNCTION("""COMPUTED_VALUE"""),0)</f>
        <v>0</v>
      </c>
      <c r="H305" s="143">
        <f ca="1">IFERROR(__xludf.DUMMYFUNCTION("""COMPUTED_VALUE"""),0)</f>
        <v>0</v>
      </c>
      <c r="I305" s="143">
        <f ca="1">IFERROR(__xludf.DUMMYFUNCTION("""COMPUTED_VALUE"""),18000)</f>
        <v>18000</v>
      </c>
      <c r="J305" s="143">
        <f ca="1">IFERROR(__xludf.DUMMYFUNCTION("""COMPUTED_VALUE"""),18000)</f>
        <v>18000</v>
      </c>
      <c r="K305" s="143">
        <f ca="1">IFERROR(__xludf.DUMMYFUNCTION("""COMPUTED_VALUE"""),88000)</f>
        <v>88000</v>
      </c>
      <c r="L305" s="143">
        <f ca="1">IFERROR(__xludf.DUMMYFUNCTION("""COMPUTED_VALUE"""),0)</f>
        <v>0</v>
      </c>
      <c r="M305" s="143">
        <f ca="1">IFERROR(__xludf.DUMMYFUNCTION("""COMPUTED_VALUE"""),36000)</f>
        <v>36000</v>
      </c>
      <c r="N305" s="143">
        <f ca="1">IFERROR(__xludf.DUMMYFUNCTION("""COMPUTED_VALUE"""),0)</f>
        <v>0</v>
      </c>
      <c r="O305" s="143">
        <f ca="1">IFERROR(__xludf.DUMMYFUNCTION("""COMPUTED_VALUE"""),0)</f>
        <v>0</v>
      </c>
      <c r="P305" s="143">
        <f ca="1">IFERROR(__xludf.DUMMYFUNCTION("""COMPUTED_VALUE"""),0)</f>
        <v>0</v>
      </c>
      <c r="Q305" s="143">
        <f ca="1">IFERROR(__xludf.DUMMYFUNCTION("""COMPUTED_VALUE"""),0)</f>
        <v>0</v>
      </c>
      <c r="R305" s="287"/>
      <c r="S305" s="291" t="e">
        <f ca="1">_xludf.ifs(A305="INDIA",E305/'Shared Summary by Dept_US$'!$B$31,A305="INDO",E305/'Shared Summary by Dept_US$'!$B$32,A305="BD",E305/'Shared Summary by Dept_US$'!$B$33,A305="Nepal",E305/'Shared Summary by Dept_US$'!$B$34,A305="US",E305/'Shared Summary by Dept_US$'!$B$35)</f>
        <v>#NAME?</v>
      </c>
      <c r="T305" s="292" t="s">
        <v>203</v>
      </c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spans="1:34" ht="15.75" customHeight="1" x14ac:dyDescent="0.25">
      <c r="A306" s="81" t="s">
        <v>14</v>
      </c>
      <c r="B306" s="64" t="str">
        <f ca="1">IFERROR(__xludf.DUMMYFUNCTION("""COMPUTED_VALUE"""),"Travel &amp; Lodging Expenses")</f>
        <v>Travel &amp; Lodging Expenses</v>
      </c>
      <c r="C306" s="64" t="str">
        <f ca="1">IFERROR(__xludf.DUMMYFUNCTION("""COMPUTED_VALUE"""),"Cab/Auto")</f>
        <v>Cab/Auto</v>
      </c>
      <c r="D306" s="293">
        <f ca="1">IFERROR(__xludf.DUMMYFUNCTION("""COMPUTED_VALUE"""),93104)</f>
        <v>93104</v>
      </c>
      <c r="E306" s="143">
        <f ca="1">IFERROR(__xludf.DUMMYFUNCTION("""COMPUTED_VALUE"""),42800)</f>
        <v>42800</v>
      </c>
      <c r="F306" s="143">
        <f ca="1">IFERROR(__xludf.DUMMYFUNCTION("""COMPUTED_VALUE"""),0)</f>
        <v>0</v>
      </c>
      <c r="G306" s="143">
        <f ca="1">IFERROR(__xludf.DUMMYFUNCTION("""COMPUTED_VALUE"""),0)</f>
        <v>0</v>
      </c>
      <c r="H306" s="143">
        <f ca="1">IFERROR(__xludf.DUMMYFUNCTION("""COMPUTED_VALUE"""),0)</f>
        <v>0</v>
      </c>
      <c r="I306" s="143">
        <f ca="1">IFERROR(__xludf.DUMMYFUNCTION("""COMPUTED_VALUE"""),8400)</f>
        <v>8400</v>
      </c>
      <c r="J306" s="143">
        <f ca="1">IFERROR(__xludf.DUMMYFUNCTION("""COMPUTED_VALUE"""),8400)</f>
        <v>8400</v>
      </c>
      <c r="K306" s="143">
        <f ca="1">IFERROR(__xludf.DUMMYFUNCTION("""COMPUTED_VALUE"""),20000)</f>
        <v>20000</v>
      </c>
      <c r="L306" s="143">
        <f ca="1">IFERROR(__xludf.DUMMYFUNCTION("""COMPUTED_VALUE"""),0)</f>
        <v>0</v>
      </c>
      <c r="M306" s="143">
        <f ca="1">IFERROR(__xludf.DUMMYFUNCTION("""COMPUTED_VALUE"""),6000)</f>
        <v>6000</v>
      </c>
      <c r="N306" s="143">
        <f ca="1">IFERROR(__xludf.DUMMYFUNCTION("""COMPUTED_VALUE"""),0)</f>
        <v>0</v>
      </c>
      <c r="O306" s="143">
        <f ca="1">IFERROR(__xludf.DUMMYFUNCTION("""COMPUTED_VALUE"""),0)</f>
        <v>0</v>
      </c>
      <c r="P306" s="143">
        <f ca="1">IFERROR(__xludf.DUMMYFUNCTION("""COMPUTED_VALUE"""),0)</f>
        <v>0</v>
      </c>
      <c r="Q306" s="143">
        <f ca="1">IFERROR(__xludf.DUMMYFUNCTION("""COMPUTED_VALUE"""),0)</f>
        <v>0</v>
      </c>
      <c r="R306" s="287"/>
      <c r="S306" s="291" t="e">
        <f ca="1">_xludf.ifs(A306="INDIA",E306/'Shared Summary by Dept_US$'!$B$31,A306="INDO",E306/'Shared Summary by Dept_US$'!$B$32,A306="BD",E306/'Shared Summary by Dept_US$'!$B$33,A306="Nepal",E306/'Shared Summary by Dept_US$'!$B$34,A306="US",E306/'Shared Summary by Dept_US$'!$B$35)</f>
        <v>#NAME?</v>
      </c>
      <c r="T306" s="292" t="s">
        <v>203</v>
      </c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spans="1:34" ht="15.75" customHeight="1" x14ac:dyDescent="0.25">
      <c r="A307" s="81" t="s">
        <v>14</v>
      </c>
      <c r="B307" s="64" t="str">
        <f ca="1">IFERROR(__xludf.DUMMYFUNCTION("""COMPUTED_VALUE"""),"Travel &amp; Lodging Expenses")</f>
        <v>Travel &amp; Lodging Expenses</v>
      </c>
      <c r="C307" s="64" t="str">
        <f ca="1">IFERROR(__xludf.DUMMYFUNCTION("""COMPUTED_VALUE"""),"Bus/Train")</f>
        <v>Bus/Train</v>
      </c>
      <c r="D307" s="293">
        <f ca="1">IFERROR(__xludf.DUMMYFUNCTION("""COMPUTED_VALUE"""),93105)</f>
        <v>93105</v>
      </c>
      <c r="E307" s="143">
        <f ca="1">IFERROR(__xludf.DUMMYFUNCTION("""COMPUTED_VALUE"""),3000)</f>
        <v>3000</v>
      </c>
      <c r="F307" s="143">
        <f ca="1">IFERROR(__xludf.DUMMYFUNCTION("""COMPUTED_VALUE"""),0)</f>
        <v>0</v>
      </c>
      <c r="G307" s="143">
        <f ca="1">IFERROR(__xludf.DUMMYFUNCTION("""COMPUTED_VALUE"""),0)</f>
        <v>0</v>
      </c>
      <c r="H307" s="143">
        <f ca="1">IFERROR(__xludf.DUMMYFUNCTION("""COMPUTED_VALUE"""),0)</f>
        <v>0</v>
      </c>
      <c r="I307" s="143">
        <f ca="1">IFERROR(__xludf.DUMMYFUNCTION("""COMPUTED_VALUE"""),1500)</f>
        <v>1500</v>
      </c>
      <c r="J307" s="143">
        <f ca="1">IFERROR(__xludf.DUMMYFUNCTION("""COMPUTED_VALUE"""),1500)</f>
        <v>1500</v>
      </c>
      <c r="K307" s="143">
        <f ca="1">IFERROR(__xludf.DUMMYFUNCTION("""COMPUTED_VALUE"""),0)</f>
        <v>0</v>
      </c>
      <c r="L307" s="143">
        <f ca="1">IFERROR(__xludf.DUMMYFUNCTION("""COMPUTED_VALUE"""),0)</f>
        <v>0</v>
      </c>
      <c r="M307" s="143">
        <f ca="1">IFERROR(__xludf.DUMMYFUNCTION("""COMPUTED_VALUE"""),0)</f>
        <v>0</v>
      </c>
      <c r="N307" s="143">
        <f ca="1">IFERROR(__xludf.DUMMYFUNCTION("""COMPUTED_VALUE"""),0)</f>
        <v>0</v>
      </c>
      <c r="O307" s="143">
        <f ca="1">IFERROR(__xludf.DUMMYFUNCTION("""COMPUTED_VALUE"""),0)</f>
        <v>0</v>
      </c>
      <c r="P307" s="143">
        <f ca="1">IFERROR(__xludf.DUMMYFUNCTION("""COMPUTED_VALUE"""),0)</f>
        <v>0</v>
      </c>
      <c r="Q307" s="143">
        <f ca="1">IFERROR(__xludf.DUMMYFUNCTION("""COMPUTED_VALUE"""),0)</f>
        <v>0</v>
      </c>
      <c r="R307" s="287"/>
      <c r="S307" s="291" t="e">
        <f ca="1">_xludf.ifs(A307="INDIA",E307/'Shared Summary by Dept_US$'!$B$31,A307="INDO",E307/'Shared Summary by Dept_US$'!$B$32,A307="BD",E307/'Shared Summary by Dept_US$'!$B$33,A307="Nepal",E307/'Shared Summary by Dept_US$'!$B$34,A307="US",E307/'Shared Summary by Dept_US$'!$B$35)</f>
        <v>#NAME?</v>
      </c>
      <c r="T307" s="292" t="s">
        <v>203</v>
      </c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spans="1:34" ht="15.75" customHeight="1" x14ac:dyDescent="0.25">
      <c r="A308" s="81" t="s">
        <v>14</v>
      </c>
      <c r="B308" s="64" t="str">
        <f ca="1">IFERROR(__xludf.DUMMYFUNCTION("""COMPUTED_VALUE"""),"Travel &amp; Lodging Expenses")</f>
        <v>Travel &amp; Lodging Expenses</v>
      </c>
      <c r="C308" s="64" t="str">
        <f ca="1">IFERROR(__xludf.DUMMYFUNCTION("""COMPUTED_VALUE"""),"Other incidental travel costs")</f>
        <v>Other incidental travel costs</v>
      </c>
      <c r="D308" s="293">
        <f ca="1">IFERROR(__xludf.DUMMYFUNCTION("""COMPUTED_VALUE"""),93106)</f>
        <v>93106</v>
      </c>
      <c r="E308" s="143">
        <f ca="1">IFERROR(__xludf.DUMMYFUNCTION("""COMPUTED_VALUE"""),27600)</f>
        <v>27600</v>
      </c>
      <c r="F308" s="143">
        <f ca="1">IFERROR(__xludf.DUMMYFUNCTION("""COMPUTED_VALUE"""),0)</f>
        <v>0</v>
      </c>
      <c r="G308" s="143">
        <f ca="1">IFERROR(__xludf.DUMMYFUNCTION("""COMPUTED_VALUE"""),0)</f>
        <v>0</v>
      </c>
      <c r="H308" s="143">
        <f ca="1">IFERROR(__xludf.DUMMYFUNCTION("""COMPUTED_VALUE"""),0)</f>
        <v>0</v>
      </c>
      <c r="I308" s="143">
        <f ca="1">IFERROR(__xludf.DUMMYFUNCTION("""COMPUTED_VALUE"""),700)</f>
        <v>700</v>
      </c>
      <c r="J308" s="143">
        <f ca="1">IFERROR(__xludf.DUMMYFUNCTION("""COMPUTED_VALUE"""),700)</f>
        <v>700</v>
      </c>
      <c r="K308" s="143">
        <f ca="1">IFERROR(__xludf.DUMMYFUNCTION("""COMPUTED_VALUE"""),3000)</f>
        <v>3000</v>
      </c>
      <c r="L308" s="143">
        <f ca="1">IFERROR(__xludf.DUMMYFUNCTION("""COMPUTED_VALUE"""),0)</f>
        <v>0</v>
      </c>
      <c r="M308" s="143">
        <f ca="1">IFERROR(__xludf.DUMMYFUNCTION("""COMPUTED_VALUE"""),23200)</f>
        <v>23200</v>
      </c>
      <c r="N308" s="143">
        <f ca="1">IFERROR(__xludf.DUMMYFUNCTION("""COMPUTED_VALUE"""),0)</f>
        <v>0</v>
      </c>
      <c r="O308" s="143">
        <f ca="1">IFERROR(__xludf.DUMMYFUNCTION("""COMPUTED_VALUE"""),0)</f>
        <v>0</v>
      </c>
      <c r="P308" s="143">
        <f ca="1">IFERROR(__xludf.DUMMYFUNCTION("""COMPUTED_VALUE"""),0)</f>
        <v>0</v>
      </c>
      <c r="Q308" s="143">
        <f ca="1">IFERROR(__xludf.DUMMYFUNCTION("""COMPUTED_VALUE"""),0)</f>
        <v>0</v>
      </c>
      <c r="R308" s="287"/>
      <c r="S308" s="291" t="e">
        <f ca="1">_xludf.ifs(A308="INDIA",E308/'Shared Summary by Dept_US$'!$B$31,A308="INDO",E308/'Shared Summary by Dept_US$'!$B$32,A308="BD",E308/'Shared Summary by Dept_US$'!$B$33,A308="Nepal",E308/'Shared Summary by Dept_US$'!$B$34,A308="US",E308/'Shared Summary by Dept_US$'!$B$35)</f>
        <v>#NAME?</v>
      </c>
      <c r="T308" s="292" t="s">
        <v>203</v>
      </c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spans="1:34" ht="15.75" customHeight="1" x14ac:dyDescent="0.25">
      <c r="A309" s="81" t="s">
        <v>14</v>
      </c>
      <c r="B309" s="64" t="str">
        <f ca="1">IFERROR(__xludf.DUMMYFUNCTION("""COMPUTED_VALUE"""),"Supplies &amp; Printing Costs")</f>
        <v>Supplies &amp; Printing Costs</v>
      </c>
      <c r="C309" s="64" t="str">
        <f ca="1">IFERROR(__xludf.DUMMYFUNCTION("""COMPUTED_VALUE"""),"Other Direct Expenses")</f>
        <v>Other Direct Expenses</v>
      </c>
      <c r="D309" s="293">
        <f ca="1">IFERROR(__xludf.DUMMYFUNCTION("""COMPUTED_VALUE"""),93201)</f>
        <v>93201</v>
      </c>
      <c r="E309" s="143">
        <f ca="1">IFERROR(__xludf.DUMMYFUNCTION("""COMPUTED_VALUE"""),0)</f>
        <v>0</v>
      </c>
      <c r="F309" s="143">
        <f ca="1">IFERROR(__xludf.DUMMYFUNCTION("""COMPUTED_VALUE"""),0)</f>
        <v>0</v>
      </c>
      <c r="G309" s="143">
        <f ca="1">IFERROR(__xludf.DUMMYFUNCTION("""COMPUTED_VALUE"""),0)</f>
        <v>0</v>
      </c>
      <c r="H309" s="143">
        <f ca="1">IFERROR(__xludf.DUMMYFUNCTION("""COMPUTED_VALUE"""),0)</f>
        <v>0</v>
      </c>
      <c r="I309" s="143">
        <f ca="1">IFERROR(__xludf.DUMMYFUNCTION("""COMPUTED_VALUE"""),0)</f>
        <v>0</v>
      </c>
      <c r="J309" s="143">
        <f ca="1">IFERROR(__xludf.DUMMYFUNCTION("""COMPUTED_VALUE"""),0)</f>
        <v>0</v>
      </c>
      <c r="K309" s="143">
        <f ca="1">IFERROR(__xludf.DUMMYFUNCTION("""COMPUTED_VALUE"""),0)</f>
        <v>0</v>
      </c>
      <c r="L309" s="143">
        <f ca="1">IFERROR(__xludf.DUMMYFUNCTION("""COMPUTED_VALUE"""),0)</f>
        <v>0</v>
      </c>
      <c r="M309" s="143">
        <f ca="1">IFERROR(__xludf.DUMMYFUNCTION("""COMPUTED_VALUE"""),0)</f>
        <v>0</v>
      </c>
      <c r="N309" s="143">
        <f ca="1">IFERROR(__xludf.DUMMYFUNCTION("""COMPUTED_VALUE"""),0)</f>
        <v>0</v>
      </c>
      <c r="O309" s="143">
        <f ca="1">IFERROR(__xludf.DUMMYFUNCTION("""COMPUTED_VALUE"""),0)</f>
        <v>0</v>
      </c>
      <c r="P309" s="143">
        <f ca="1">IFERROR(__xludf.DUMMYFUNCTION("""COMPUTED_VALUE"""),0)</f>
        <v>0</v>
      </c>
      <c r="Q309" s="143">
        <f ca="1">IFERROR(__xludf.DUMMYFUNCTION("""COMPUTED_VALUE"""),0)</f>
        <v>0</v>
      </c>
      <c r="R309" s="287"/>
      <c r="S309" s="291" t="e">
        <f ca="1">_xludf.ifs(A309="INDIA",E309/'Shared Summary by Dept_US$'!$B$31,A309="INDO",E309/'Shared Summary by Dept_US$'!$B$32,A309="BD",E309/'Shared Summary by Dept_US$'!$B$33,A309="Nepal",E309/'Shared Summary by Dept_US$'!$B$34,A309="US",E309/'Shared Summary by Dept_US$'!$B$35)</f>
        <v>#NAME?</v>
      </c>
      <c r="T309" s="292" t="s">
        <v>203</v>
      </c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spans="1:34" ht="15.75" customHeight="1" x14ac:dyDescent="0.25">
      <c r="A310" s="81" t="s">
        <v>14</v>
      </c>
      <c r="B310" s="64" t="str">
        <f ca="1">IFERROR(__xludf.DUMMYFUNCTION("""COMPUTED_VALUE"""),"Supplies &amp; Printing Costs")</f>
        <v>Supplies &amp; Printing Costs</v>
      </c>
      <c r="C310" s="64" t="str">
        <f ca="1">IFERROR(__xludf.DUMMYFUNCTION("""COMPUTED_VALUE"""),"Printing expenses")</f>
        <v>Printing expenses</v>
      </c>
      <c r="D310" s="293">
        <f ca="1">IFERROR(__xludf.DUMMYFUNCTION("""COMPUTED_VALUE"""),93204)</f>
        <v>93204</v>
      </c>
      <c r="E310" s="143">
        <f ca="1">IFERROR(__xludf.DUMMYFUNCTION("""COMPUTED_VALUE"""),0)</f>
        <v>0</v>
      </c>
      <c r="F310" s="143">
        <f ca="1">IFERROR(__xludf.DUMMYFUNCTION("""COMPUTED_VALUE"""),0)</f>
        <v>0</v>
      </c>
      <c r="G310" s="143">
        <f ca="1">IFERROR(__xludf.DUMMYFUNCTION("""COMPUTED_VALUE"""),0)</f>
        <v>0</v>
      </c>
      <c r="H310" s="143">
        <f ca="1">IFERROR(__xludf.DUMMYFUNCTION("""COMPUTED_VALUE"""),0)</f>
        <v>0</v>
      </c>
      <c r="I310" s="143">
        <f ca="1">IFERROR(__xludf.DUMMYFUNCTION("""COMPUTED_VALUE"""),0)</f>
        <v>0</v>
      </c>
      <c r="J310" s="143">
        <f ca="1">IFERROR(__xludf.DUMMYFUNCTION("""COMPUTED_VALUE"""),0)</f>
        <v>0</v>
      </c>
      <c r="K310" s="143">
        <f ca="1">IFERROR(__xludf.DUMMYFUNCTION("""COMPUTED_VALUE"""),0)</f>
        <v>0</v>
      </c>
      <c r="L310" s="143">
        <f ca="1">IFERROR(__xludf.DUMMYFUNCTION("""COMPUTED_VALUE"""),0)</f>
        <v>0</v>
      </c>
      <c r="M310" s="143">
        <f ca="1">IFERROR(__xludf.DUMMYFUNCTION("""COMPUTED_VALUE"""),0)</f>
        <v>0</v>
      </c>
      <c r="N310" s="143">
        <f ca="1">IFERROR(__xludf.DUMMYFUNCTION("""COMPUTED_VALUE"""),0)</f>
        <v>0</v>
      </c>
      <c r="O310" s="143">
        <f ca="1">IFERROR(__xludf.DUMMYFUNCTION("""COMPUTED_VALUE"""),0)</f>
        <v>0</v>
      </c>
      <c r="P310" s="143">
        <f ca="1">IFERROR(__xludf.DUMMYFUNCTION("""COMPUTED_VALUE"""),0)</f>
        <v>0</v>
      </c>
      <c r="Q310" s="143">
        <f ca="1">IFERROR(__xludf.DUMMYFUNCTION("""COMPUTED_VALUE"""),0)</f>
        <v>0</v>
      </c>
      <c r="R310" s="287"/>
      <c r="S310" s="291" t="e">
        <f ca="1">_xludf.ifs(A310="INDIA",E310/'Shared Summary by Dept_US$'!$B$31,A310="INDO",E310/'Shared Summary by Dept_US$'!$B$32,A310="BD",E310/'Shared Summary by Dept_US$'!$B$33,A310="Nepal",E310/'Shared Summary by Dept_US$'!$B$34,A310="US",E310/'Shared Summary by Dept_US$'!$B$35)</f>
        <v>#NAME?</v>
      </c>
      <c r="T310" s="292" t="s">
        <v>203</v>
      </c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spans="1:34" ht="15.75" customHeight="1" x14ac:dyDescent="0.25">
      <c r="A311" s="81" t="s">
        <v>14</v>
      </c>
      <c r="B311" s="64" t="str">
        <f ca="1">IFERROR(__xludf.DUMMYFUNCTION("""COMPUTED_VALUE"""),"Communication Cost")</f>
        <v>Communication Cost</v>
      </c>
      <c r="C311" s="64" t="str">
        <f ca="1">IFERROR(__xludf.DUMMYFUNCTION("""COMPUTED_VALUE"""),"Internet Expenses")</f>
        <v>Internet Expenses</v>
      </c>
      <c r="D311" s="293">
        <f ca="1">IFERROR(__xludf.DUMMYFUNCTION("""COMPUTED_VALUE"""),93301)</f>
        <v>93301</v>
      </c>
      <c r="E311" s="143">
        <f ca="1">IFERROR(__xludf.DUMMYFUNCTION("""COMPUTED_VALUE"""),0)</f>
        <v>0</v>
      </c>
      <c r="F311" s="143">
        <f ca="1">IFERROR(__xludf.DUMMYFUNCTION("""COMPUTED_VALUE"""),0)</f>
        <v>0</v>
      </c>
      <c r="G311" s="143">
        <f ca="1">IFERROR(__xludf.DUMMYFUNCTION("""COMPUTED_VALUE"""),0)</f>
        <v>0</v>
      </c>
      <c r="H311" s="143">
        <f ca="1">IFERROR(__xludf.DUMMYFUNCTION("""COMPUTED_VALUE"""),0)</f>
        <v>0</v>
      </c>
      <c r="I311" s="143">
        <f ca="1">IFERROR(__xludf.DUMMYFUNCTION("""COMPUTED_VALUE"""),0)</f>
        <v>0</v>
      </c>
      <c r="J311" s="143">
        <f ca="1">IFERROR(__xludf.DUMMYFUNCTION("""COMPUTED_VALUE"""),0)</f>
        <v>0</v>
      </c>
      <c r="K311" s="143">
        <f ca="1">IFERROR(__xludf.DUMMYFUNCTION("""COMPUTED_VALUE"""),0)</f>
        <v>0</v>
      </c>
      <c r="L311" s="143">
        <f ca="1">IFERROR(__xludf.DUMMYFUNCTION("""COMPUTED_VALUE"""),0)</f>
        <v>0</v>
      </c>
      <c r="M311" s="143">
        <f ca="1">IFERROR(__xludf.DUMMYFUNCTION("""COMPUTED_VALUE"""),0)</f>
        <v>0</v>
      </c>
      <c r="N311" s="143">
        <f ca="1">IFERROR(__xludf.DUMMYFUNCTION("""COMPUTED_VALUE"""),0)</f>
        <v>0</v>
      </c>
      <c r="O311" s="143">
        <f ca="1">IFERROR(__xludf.DUMMYFUNCTION("""COMPUTED_VALUE"""),0)</f>
        <v>0</v>
      </c>
      <c r="P311" s="143">
        <f ca="1">IFERROR(__xludf.DUMMYFUNCTION("""COMPUTED_VALUE"""),0)</f>
        <v>0</v>
      </c>
      <c r="Q311" s="143">
        <f ca="1">IFERROR(__xludf.DUMMYFUNCTION("""COMPUTED_VALUE"""),0)</f>
        <v>0</v>
      </c>
      <c r="R311" s="287"/>
      <c r="S311" s="291" t="e">
        <f ca="1">_xludf.ifs(A311="INDIA",E311/'Shared Summary by Dept_US$'!$B$31,A311="INDO",E311/'Shared Summary by Dept_US$'!$B$32,A311="BD",E311/'Shared Summary by Dept_US$'!$B$33,A311="Nepal",E311/'Shared Summary by Dept_US$'!$B$34,A311="US",E311/'Shared Summary by Dept_US$'!$B$35)</f>
        <v>#NAME?</v>
      </c>
      <c r="T311" s="292" t="s">
        <v>203</v>
      </c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spans="1:34" ht="15.75" customHeight="1" x14ac:dyDescent="0.25">
      <c r="A312" s="81" t="s">
        <v>14</v>
      </c>
      <c r="B312" s="64" t="str">
        <f ca="1">IFERROR(__xludf.DUMMYFUNCTION("""COMPUTED_VALUE"""),"Communication Cost")</f>
        <v>Communication Cost</v>
      </c>
      <c r="C312" s="64" t="str">
        <f ca="1">IFERROR(__xludf.DUMMYFUNCTION("""COMPUTED_VALUE"""),"Postage &amp; Courier Expenses")</f>
        <v>Postage &amp; Courier Expenses</v>
      </c>
      <c r="D312" s="293">
        <f ca="1">IFERROR(__xludf.DUMMYFUNCTION("""COMPUTED_VALUE"""),93302)</f>
        <v>93302</v>
      </c>
      <c r="E312" s="143">
        <f ca="1">IFERROR(__xludf.DUMMYFUNCTION("""COMPUTED_VALUE"""),0)</f>
        <v>0</v>
      </c>
      <c r="F312" s="143">
        <f ca="1">IFERROR(__xludf.DUMMYFUNCTION("""COMPUTED_VALUE"""),0)</f>
        <v>0</v>
      </c>
      <c r="G312" s="143">
        <f ca="1">IFERROR(__xludf.DUMMYFUNCTION("""COMPUTED_VALUE"""),0)</f>
        <v>0</v>
      </c>
      <c r="H312" s="143">
        <f ca="1">IFERROR(__xludf.DUMMYFUNCTION("""COMPUTED_VALUE"""),0)</f>
        <v>0</v>
      </c>
      <c r="I312" s="143">
        <f ca="1">IFERROR(__xludf.DUMMYFUNCTION("""COMPUTED_VALUE"""),0)</f>
        <v>0</v>
      </c>
      <c r="J312" s="143">
        <f ca="1">IFERROR(__xludf.DUMMYFUNCTION("""COMPUTED_VALUE"""),0)</f>
        <v>0</v>
      </c>
      <c r="K312" s="143">
        <f ca="1">IFERROR(__xludf.DUMMYFUNCTION("""COMPUTED_VALUE"""),0)</f>
        <v>0</v>
      </c>
      <c r="L312" s="143">
        <f ca="1">IFERROR(__xludf.DUMMYFUNCTION("""COMPUTED_VALUE"""),0)</f>
        <v>0</v>
      </c>
      <c r="M312" s="143">
        <f ca="1">IFERROR(__xludf.DUMMYFUNCTION("""COMPUTED_VALUE"""),0)</f>
        <v>0</v>
      </c>
      <c r="N312" s="143">
        <f ca="1">IFERROR(__xludf.DUMMYFUNCTION("""COMPUTED_VALUE"""),0)</f>
        <v>0</v>
      </c>
      <c r="O312" s="143">
        <f ca="1">IFERROR(__xludf.DUMMYFUNCTION("""COMPUTED_VALUE"""),0)</f>
        <v>0</v>
      </c>
      <c r="P312" s="143">
        <f ca="1">IFERROR(__xludf.DUMMYFUNCTION("""COMPUTED_VALUE"""),0)</f>
        <v>0</v>
      </c>
      <c r="Q312" s="143">
        <f ca="1">IFERROR(__xludf.DUMMYFUNCTION("""COMPUTED_VALUE"""),0)</f>
        <v>0</v>
      </c>
      <c r="R312" s="287"/>
      <c r="S312" s="291" t="e">
        <f ca="1">_xludf.ifs(A312="INDIA",E312/'Shared Summary by Dept_US$'!$B$31,A312="INDO",E312/'Shared Summary by Dept_US$'!$B$32,A312="BD",E312/'Shared Summary by Dept_US$'!$B$33,A312="Nepal",E312/'Shared Summary by Dept_US$'!$B$34,A312="US",E312/'Shared Summary by Dept_US$'!$B$35)</f>
        <v>#NAME?</v>
      </c>
      <c r="T312" s="292" t="s">
        <v>203</v>
      </c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spans="1:34" ht="15.75" customHeight="1" x14ac:dyDescent="0.25">
      <c r="A313" s="81" t="s">
        <v>14</v>
      </c>
      <c r="B313" s="64" t="str">
        <f ca="1">IFERROR(__xludf.DUMMYFUNCTION("""COMPUTED_VALUE"""),"Communication Cost")</f>
        <v>Communication Cost</v>
      </c>
      <c r="C313" s="64" t="str">
        <f ca="1">IFERROR(__xludf.DUMMYFUNCTION("""COMPUTED_VALUE"""),"Telecommunication expenses")</f>
        <v>Telecommunication expenses</v>
      </c>
      <c r="D313" s="293">
        <f ca="1">IFERROR(__xludf.DUMMYFUNCTION("""COMPUTED_VALUE"""),93303)</f>
        <v>93303</v>
      </c>
      <c r="E313" s="143">
        <f ca="1">IFERROR(__xludf.DUMMYFUNCTION("""COMPUTED_VALUE"""),0)</f>
        <v>0</v>
      </c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287"/>
      <c r="S313" s="291" t="e">
        <f ca="1">_xludf.ifs(A313="INDIA",E313/'Shared Summary by Dept_US$'!$B$31,A313="INDO",E313/'Shared Summary by Dept_US$'!$B$32,A313="BD",E313/'Shared Summary by Dept_US$'!$B$33,A313="Nepal",E313/'Shared Summary by Dept_US$'!$B$34,A313="US",E313/'Shared Summary by Dept_US$'!$B$35)</f>
        <v>#NAME?</v>
      </c>
      <c r="T313" s="292" t="s">
        <v>203</v>
      </c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spans="1:34" ht="15.75" customHeight="1" x14ac:dyDescent="0.25">
      <c r="A314" s="81" t="s">
        <v>14</v>
      </c>
      <c r="B314" s="64" t="str">
        <f ca="1">IFERROR(__xludf.DUMMYFUNCTION("""COMPUTED_VALUE"""),"Office Expenses")</f>
        <v>Office Expenses</v>
      </c>
      <c r="C314" s="64" t="str">
        <f ca="1">IFERROR(__xludf.DUMMYFUNCTION("""COMPUTED_VALUE"""),"Software and Subscriptions")</f>
        <v>Software and Subscriptions</v>
      </c>
      <c r="D314" s="293">
        <f ca="1">IFERROR(__xludf.DUMMYFUNCTION("""COMPUTED_VALUE"""),93401)</f>
        <v>93401</v>
      </c>
      <c r="E314" s="143">
        <f ca="1">IFERROR(__xludf.DUMMYFUNCTION("""COMPUTED_VALUE"""),252000)</f>
        <v>252000</v>
      </c>
      <c r="F314" s="143">
        <f ca="1">IFERROR(__xludf.DUMMYFUNCTION("""COMPUTED_VALUE"""),21000)</f>
        <v>21000</v>
      </c>
      <c r="G314" s="143">
        <f ca="1">IFERROR(__xludf.DUMMYFUNCTION("""COMPUTED_VALUE"""),21000)</f>
        <v>21000</v>
      </c>
      <c r="H314" s="143">
        <f ca="1">IFERROR(__xludf.DUMMYFUNCTION("""COMPUTED_VALUE"""),21000)</f>
        <v>21000</v>
      </c>
      <c r="I314" s="143">
        <f ca="1">IFERROR(__xludf.DUMMYFUNCTION("""COMPUTED_VALUE"""),21000)</f>
        <v>21000</v>
      </c>
      <c r="J314" s="143">
        <f ca="1">IFERROR(__xludf.DUMMYFUNCTION("""COMPUTED_VALUE"""),21000)</f>
        <v>21000</v>
      </c>
      <c r="K314" s="143">
        <f ca="1">IFERROR(__xludf.DUMMYFUNCTION("""COMPUTED_VALUE"""),21000)</f>
        <v>21000</v>
      </c>
      <c r="L314" s="143">
        <f ca="1">IFERROR(__xludf.DUMMYFUNCTION("""COMPUTED_VALUE"""),21000)</f>
        <v>21000</v>
      </c>
      <c r="M314" s="143">
        <f ca="1">IFERROR(__xludf.DUMMYFUNCTION("""COMPUTED_VALUE"""),21000)</f>
        <v>21000</v>
      </c>
      <c r="N314" s="143">
        <f ca="1">IFERROR(__xludf.DUMMYFUNCTION("""COMPUTED_VALUE"""),21000)</f>
        <v>21000</v>
      </c>
      <c r="O314" s="143">
        <f ca="1">IFERROR(__xludf.DUMMYFUNCTION("""COMPUTED_VALUE"""),21000)</f>
        <v>21000</v>
      </c>
      <c r="P314" s="143">
        <f ca="1">IFERROR(__xludf.DUMMYFUNCTION("""COMPUTED_VALUE"""),21000)</f>
        <v>21000</v>
      </c>
      <c r="Q314" s="143">
        <f ca="1">IFERROR(__xludf.DUMMYFUNCTION("""COMPUTED_VALUE"""),21000)</f>
        <v>21000</v>
      </c>
      <c r="R314" s="287"/>
      <c r="S314" s="291" t="e">
        <f ca="1">_xludf.ifs(A314="INDIA",E314/'Shared Summary by Dept_US$'!$B$31,A314="INDO",E314/'Shared Summary by Dept_US$'!$B$32,A314="BD",E314/'Shared Summary by Dept_US$'!$B$33,A314="Nepal",E314/'Shared Summary by Dept_US$'!$B$34,A314="US",E314/'Shared Summary by Dept_US$'!$B$35)</f>
        <v>#NAME?</v>
      </c>
      <c r="T314" s="292" t="s">
        <v>203</v>
      </c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spans="1:34" ht="15.75" customHeight="1" x14ac:dyDescent="0.25">
      <c r="A315" s="81" t="s">
        <v>14</v>
      </c>
      <c r="B315" s="64" t="str">
        <f ca="1">IFERROR(__xludf.DUMMYFUNCTION("""COMPUTED_VALUE"""),"Office Expenses")</f>
        <v>Office Expenses</v>
      </c>
      <c r="C315" s="64" t="str">
        <f ca="1">IFERROR(__xludf.DUMMYFUNCTION("""COMPUTED_VALUE"""),"Stationery &amp; Consumables")</f>
        <v>Stationery &amp; Consumables</v>
      </c>
      <c r="D315" s="293">
        <f ca="1">IFERROR(__xludf.DUMMYFUNCTION("""COMPUTED_VALUE"""),93404)</f>
        <v>93404</v>
      </c>
      <c r="E315" s="143">
        <f ca="1">IFERROR(__xludf.DUMMYFUNCTION("""COMPUTED_VALUE"""),0)</f>
        <v>0</v>
      </c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287"/>
      <c r="S315" s="291" t="e">
        <f ca="1">_xludf.ifs(A315="INDIA",E315/'Shared Summary by Dept_US$'!$B$31,A315="INDO",E315/'Shared Summary by Dept_US$'!$B$32,A315="BD",E315/'Shared Summary by Dept_US$'!$B$33,A315="Nepal",E315/'Shared Summary by Dept_US$'!$B$34,A315="US",E315/'Shared Summary by Dept_US$'!$B$35)</f>
        <v>#NAME?</v>
      </c>
      <c r="T315" s="292" t="s">
        <v>203</v>
      </c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spans="1:34" ht="15.75" customHeight="1" x14ac:dyDescent="0.25">
      <c r="A316" s="81" t="s">
        <v>14</v>
      </c>
      <c r="B316" s="64" t="str">
        <f ca="1">IFERROR(__xludf.DUMMYFUNCTION("""COMPUTED_VALUE"""),"Office Expenses")</f>
        <v>Office Expenses</v>
      </c>
      <c r="C316" s="64" t="str">
        <f ca="1">IFERROR(__xludf.DUMMYFUNCTION("""COMPUTED_VALUE"""),"Office Equipment Expense")</f>
        <v>Office Equipment Expense</v>
      </c>
      <c r="D316" s="293">
        <f ca="1">IFERROR(__xludf.DUMMYFUNCTION("""COMPUTED_VALUE"""),93405)</f>
        <v>93405</v>
      </c>
      <c r="E316" s="143">
        <f ca="1">IFERROR(__xludf.DUMMYFUNCTION("""COMPUTED_VALUE"""),0)</f>
        <v>0</v>
      </c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287"/>
      <c r="S316" s="291" t="e">
        <f ca="1">_xludf.ifs(A316="INDIA",E316/'Shared Summary by Dept_US$'!$B$31,A316="INDO",E316/'Shared Summary by Dept_US$'!$B$32,A316="BD",E316/'Shared Summary by Dept_US$'!$B$33,A316="Nepal",E316/'Shared Summary by Dept_US$'!$B$34,A316="US",E316/'Shared Summary by Dept_US$'!$B$35)</f>
        <v>#NAME?</v>
      </c>
      <c r="T316" s="292" t="s">
        <v>203</v>
      </c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spans="1:34" ht="15.75" customHeight="1" x14ac:dyDescent="0.25">
      <c r="A317" s="81" t="s">
        <v>14</v>
      </c>
      <c r="B317" s="64" t="str">
        <f ca="1">IFERROR(__xludf.DUMMYFUNCTION("""COMPUTED_VALUE"""),"Professional &amp; Consultancy Charges")</f>
        <v>Professional &amp; Consultancy Charges</v>
      </c>
      <c r="C317" s="64" t="str">
        <f ca="1">IFERROR(__xludf.DUMMYFUNCTION("""COMPUTED_VALUE"""),"Admin Consultants")</f>
        <v>Admin Consultants</v>
      </c>
      <c r="D317" s="293">
        <f ca="1">IFERROR(__xludf.DUMMYFUNCTION("""COMPUTED_VALUE"""),93703)</f>
        <v>93703</v>
      </c>
      <c r="E317" s="143">
        <f ca="1">IFERROR(__xludf.DUMMYFUNCTION("""COMPUTED_VALUE"""),2400000)</f>
        <v>2400000</v>
      </c>
      <c r="F317" s="143">
        <f ca="1">IFERROR(__xludf.DUMMYFUNCTION("""COMPUTED_VALUE"""),200000)</f>
        <v>200000</v>
      </c>
      <c r="G317" s="143">
        <f ca="1">IFERROR(__xludf.DUMMYFUNCTION("""COMPUTED_VALUE"""),200000)</f>
        <v>200000</v>
      </c>
      <c r="H317" s="143">
        <f ca="1">IFERROR(__xludf.DUMMYFUNCTION("""COMPUTED_VALUE"""),200000)</f>
        <v>200000</v>
      </c>
      <c r="I317" s="143">
        <f ca="1">IFERROR(__xludf.DUMMYFUNCTION("""COMPUTED_VALUE"""),200000)</f>
        <v>200000</v>
      </c>
      <c r="J317" s="143">
        <f ca="1">IFERROR(__xludf.DUMMYFUNCTION("""COMPUTED_VALUE"""),200000)</f>
        <v>200000</v>
      </c>
      <c r="K317" s="143">
        <f ca="1">IFERROR(__xludf.DUMMYFUNCTION("""COMPUTED_VALUE"""),200000)</f>
        <v>200000</v>
      </c>
      <c r="L317" s="143">
        <f ca="1">IFERROR(__xludf.DUMMYFUNCTION("""COMPUTED_VALUE"""),200000)</f>
        <v>200000</v>
      </c>
      <c r="M317" s="143">
        <f ca="1">IFERROR(__xludf.DUMMYFUNCTION("""COMPUTED_VALUE"""),200000)</f>
        <v>200000</v>
      </c>
      <c r="N317" s="143">
        <f ca="1">IFERROR(__xludf.DUMMYFUNCTION("""COMPUTED_VALUE"""),200000)</f>
        <v>200000</v>
      </c>
      <c r="O317" s="143">
        <f ca="1">IFERROR(__xludf.DUMMYFUNCTION("""COMPUTED_VALUE"""),200000)</f>
        <v>200000</v>
      </c>
      <c r="P317" s="143">
        <f ca="1">IFERROR(__xludf.DUMMYFUNCTION("""COMPUTED_VALUE"""),200000)</f>
        <v>200000</v>
      </c>
      <c r="Q317" s="143">
        <f ca="1">IFERROR(__xludf.DUMMYFUNCTION("""COMPUTED_VALUE"""),200000)</f>
        <v>200000</v>
      </c>
      <c r="R317" s="287"/>
      <c r="S317" s="291" t="e">
        <f ca="1">_xludf.ifs(A317="INDIA",E317/'Shared Summary by Dept_US$'!$B$31,A317="INDO",E317/'Shared Summary by Dept_US$'!$B$32,A317="BD",E317/'Shared Summary by Dept_US$'!$B$33,A317="Nepal",E317/'Shared Summary by Dept_US$'!$B$34,A317="US",E317/'Shared Summary by Dept_US$'!$B$35)</f>
        <v>#NAME?</v>
      </c>
      <c r="T317" s="292" t="s">
        <v>203</v>
      </c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spans="1:34" ht="15.75" customHeight="1" x14ac:dyDescent="0.25">
      <c r="A318" s="81" t="s">
        <v>14</v>
      </c>
      <c r="B318" s="64" t="str">
        <f ca="1">IFERROR(__xludf.DUMMYFUNCTION("""COMPUTED_VALUE"""),"Fixed Assets")</f>
        <v>Fixed Assets</v>
      </c>
      <c r="C318" s="64" t="str">
        <f ca="1">IFERROR(__xludf.DUMMYFUNCTION("""COMPUTED_VALUE"""),"Laptop/ Printer")</f>
        <v>Laptop/ Printer</v>
      </c>
      <c r="D318" s="293">
        <f ca="1">IFERROR(__xludf.DUMMYFUNCTION("""COMPUTED_VALUE"""),11301)</f>
        <v>11301</v>
      </c>
      <c r="E318" s="143">
        <f ca="1">IFERROR(__xludf.DUMMYFUNCTION("""COMPUTED_VALUE"""),1225000)</f>
        <v>1225000</v>
      </c>
      <c r="F318" s="143">
        <f ca="1">IFERROR(__xludf.DUMMYFUNCTION("""COMPUTED_VALUE"""),0)</f>
        <v>0</v>
      </c>
      <c r="G318" s="143">
        <f ca="1">IFERROR(__xludf.DUMMYFUNCTION("""COMPUTED_VALUE"""),0)</f>
        <v>0</v>
      </c>
      <c r="H318" s="143">
        <f ca="1">IFERROR(__xludf.DUMMYFUNCTION("""COMPUTED_VALUE"""),1225000)</f>
        <v>1225000</v>
      </c>
      <c r="I318" s="143">
        <f ca="1">IFERROR(__xludf.DUMMYFUNCTION("""COMPUTED_VALUE"""),0)</f>
        <v>0</v>
      </c>
      <c r="J318" s="143">
        <f ca="1">IFERROR(__xludf.DUMMYFUNCTION("""COMPUTED_VALUE"""),0)</f>
        <v>0</v>
      </c>
      <c r="K318" s="143">
        <f ca="1">IFERROR(__xludf.DUMMYFUNCTION("""COMPUTED_VALUE"""),0)</f>
        <v>0</v>
      </c>
      <c r="L318" s="143">
        <f ca="1">IFERROR(__xludf.DUMMYFUNCTION("""COMPUTED_VALUE"""),0)</f>
        <v>0</v>
      </c>
      <c r="M318" s="143">
        <f ca="1">IFERROR(__xludf.DUMMYFUNCTION("""COMPUTED_VALUE"""),0)</f>
        <v>0</v>
      </c>
      <c r="N318" s="143">
        <f ca="1">IFERROR(__xludf.DUMMYFUNCTION("""COMPUTED_VALUE"""),0)</f>
        <v>0</v>
      </c>
      <c r="O318" s="143">
        <f ca="1">IFERROR(__xludf.DUMMYFUNCTION("""COMPUTED_VALUE"""),0)</f>
        <v>0</v>
      </c>
      <c r="P318" s="143">
        <f ca="1">IFERROR(__xludf.DUMMYFUNCTION("""COMPUTED_VALUE"""),0)</f>
        <v>0</v>
      </c>
      <c r="Q318" s="143">
        <f ca="1">IFERROR(__xludf.DUMMYFUNCTION("""COMPUTED_VALUE"""),0)</f>
        <v>0</v>
      </c>
      <c r="R318" s="287"/>
      <c r="S318" s="291" t="e">
        <f ca="1">_xludf.ifs(A318="INDIA",E318/'Shared Summary by Dept_US$'!$B$31,A318="INDO",E318/'Shared Summary by Dept_US$'!$B$32,A318="BD",E318/'Shared Summary by Dept_US$'!$B$33,A318="Nepal",E318/'Shared Summary by Dept_US$'!$B$34,A318="US",E318/'Shared Summary by Dept_US$'!$B$35)</f>
        <v>#NAME?</v>
      </c>
      <c r="T318" s="292" t="s">
        <v>203</v>
      </c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spans="1:34" ht="15.75" customHeight="1" x14ac:dyDescent="0.25">
      <c r="A319" s="15"/>
      <c r="B319" s="15"/>
      <c r="C319" s="15"/>
      <c r="D319" s="29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287"/>
      <c r="S319" s="295"/>
      <c r="T319" s="287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spans="1:34" ht="15.75" customHeight="1" x14ac:dyDescent="0.25">
      <c r="A320" s="15"/>
      <c r="B320" s="15"/>
      <c r="C320" s="15"/>
      <c r="D320" s="29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287"/>
      <c r="S320" s="295"/>
      <c r="T320" s="287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spans="1:34" ht="15.75" customHeight="1" x14ac:dyDescent="0.25">
      <c r="A321" s="15"/>
      <c r="B321" s="15"/>
      <c r="C321" s="15"/>
      <c r="D321" s="29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287"/>
      <c r="S321" s="295"/>
      <c r="T321" s="287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spans="1:34" ht="15.75" customHeight="1" x14ac:dyDescent="0.25">
      <c r="A322" s="15"/>
      <c r="B322" s="15"/>
      <c r="C322" s="15"/>
      <c r="D322" s="29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287"/>
      <c r="S322" s="295"/>
      <c r="T322" s="287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spans="1:34" ht="15.75" customHeight="1" x14ac:dyDescent="0.25">
      <c r="A323" s="296"/>
      <c r="B323" s="296"/>
      <c r="C323" s="296"/>
      <c r="D323" s="297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9"/>
      <c r="S323" s="300" t="e">
        <f ca="1">SUM(S53:S318)</f>
        <v>#NAME?</v>
      </c>
      <c r="T323" s="287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spans="1:34" ht="15.75" customHeight="1" x14ac:dyDescent="0.25">
      <c r="A324" s="296" t="s">
        <v>214</v>
      </c>
      <c r="B324" s="15"/>
      <c r="C324" s="15"/>
      <c r="D324" s="301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299"/>
      <c r="S324" s="300">
        <f ca="1">SUM('India- Tech Build Out'!I3:I23,'India- Tech Build Out'!I26:I46,'India- Tech Build Out'!I49:I69,'India- Tech Build Out'!I72:I91,'India- Tech Build Out'!I95:I114,'India- Tech Build Out'!I117:I118,'India- Tech Build Out'!I122:I141)/'Shared Summary by Dept_US$'!B31</f>
        <v>1428640.8687911828</v>
      </c>
      <c r="T324" s="287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spans="1:34" ht="15.75" customHeight="1" x14ac:dyDescent="0.25">
      <c r="A325" s="296" t="s">
        <v>24</v>
      </c>
      <c r="B325" s="15"/>
      <c r="C325" s="15"/>
      <c r="D325" s="301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299"/>
      <c r="S325" s="300">
        <f ca="1">SUM('INDO- Tech Build-Out'!I3:I22,'INDO- Tech Build-Out'!I26:I45)/'Shared Summary by Dept_US$'!B32</f>
        <v>242826.6244375</v>
      </c>
      <c r="T325" s="287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spans="1:34" ht="15.75" customHeight="1" x14ac:dyDescent="0.25">
      <c r="A326" s="296" t="s">
        <v>30</v>
      </c>
      <c r="B326" s="15"/>
      <c r="C326" s="100"/>
      <c r="D326" s="301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299"/>
      <c r="S326" s="300">
        <f ca="1">SUM('BD- Tech Build-Out'!I3:I22,'BD- Tech Build-Out'!I26:I45)/'Shared Summary by Dept_US$'!B33</f>
        <v>200751.22924999997</v>
      </c>
      <c r="T326" s="287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spans="1:34" ht="15.75" customHeight="1" x14ac:dyDescent="0.25">
      <c r="A327" s="303" t="s">
        <v>42</v>
      </c>
      <c r="B327" s="15"/>
      <c r="C327" s="100"/>
      <c r="D327" s="301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299"/>
      <c r="S327" s="300">
        <f>SUM('Nepal- Tech Build Out'!$I$3:$I$22)/'Shared Summary by Dept_US$'!$B$34</f>
        <v>21193.777777777777</v>
      </c>
      <c r="T327" s="287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spans="1:34" ht="15.75" customHeight="1" x14ac:dyDescent="0.25">
      <c r="A328" s="303" t="s">
        <v>44</v>
      </c>
      <c r="B328" s="15"/>
      <c r="C328" s="100"/>
      <c r="D328" s="301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299"/>
      <c r="S328" s="300">
        <f ca="1">SUM('US- Tech Build Out'!I3:I22,'US- Tech Build Out'!I26:I45)</f>
        <v>288853.99999999901</v>
      </c>
      <c r="T328" s="287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spans="1:34" ht="15.75" customHeight="1" x14ac:dyDescent="0.25">
      <c r="A329" s="304" t="s">
        <v>102</v>
      </c>
      <c r="B329" s="15"/>
      <c r="C329" s="100"/>
      <c r="D329" s="301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299"/>
      <c r="S329" s="300" t="e">
        <f ca="1">SUM(S324:S328)-S323</f>
        <v>#NAME?</v>
      </c>
      <c r="T329" s="287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spans="1:34" ht="15.75" customHeight="1" x14ac:dyDescent="0.25">
      <c r="A330" s="100"/>
      <c r="B330" s="15"/>
      <c r="C330" s="100"/>
      <c r="D330" s="301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299"/>
      <c r="S330" s="289"/>
      <c r="T330" s="287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spans="1:34" ht="15.75" customHeight="1" x14ac:dyDescent="0.25">
      <c r="A331" s="100"/>
      <c r="B331" s="15"/>
      <c r="C331" s="100"/>
      <c r="D331" s="301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299"/>
      <c r="S331" s="289"/>
      <c r="T331" s="287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spans="1:34" ht="15.75" customHeight="1" x14ac:dyDescent="0.25">
      <c r="A332" s="100"/>
      <c r="B332" s="15"/>
      <c r="C332" s="100"/>
      <c r="D332" s="301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299"/>
      <c r="S332" s="289"/>
      <c r="T332" s="287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spans="1:34" ht="15.75" customHeight="1" x14ac:dyDescent="0.25">
      <c r="A333" s="100"/>
      <c r="B333" s="15"/>
      <c r="C333" s="100"/>
      <c r="D333" s="301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299"/>
      <c r="S333" s="289"/>
      <c r="T333" s="287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spans="1:34" ht="15.75" customHeight="1" x14ac:dyDescent="0.25">
      <c r="A334" s="100"/>
      <c r="B334" s="15"/>
      <c r="C334" s="100"/>
      <c r="D334" s="301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299"/>
      <c r="S334" s="289"/>
      <c r="T334" s="287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spans="1:34" ht="15.75" customHeight="1" x14ac:dyDescent="0.25">
      <c r="A335" s="100"/>
      <c r="B335" s="15"/>
      <c r="C335" s="100"/>
      <c r="D335" s="301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299"/>
      <c r="S335" s="289"/>
      <c r="T335" s="287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spans="1:34" ht="15.75" customHeight="1" x14ac:dyDescent="0.25">
      <c r="A336" s="100"/>
      <c r="B336" s="15"/>
      <c r="C336" s="100"/>
      <c r="D336" s="301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299"/>
      <c r="S336" s="289"/>
      <c r="T336" s="287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spans="1:34" ht="15.75" customHeight="1" x14ac:dyDescent="0.25">
      <c r="A337" s="100"/>
      <c r="B337" s="15"/>
      <c r="C337" s="100"/>
      <c r="D337" s="301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299"/>
      <c r="S337" s="289"/>
      <c r="T337" s="287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spans="1:34" ht="15.75" customHeight="1" x14ac:dyDescent="0.25">
      <c r="A338" s="100"/>
      <c r="B338" s="15"/>
      <c r="C338" s="100"/>
      <c r="D338" s="301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299"/>
      <c r="S338" s="289"/>
      <c r="T338" s="287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spans="1:34" ht="15.75" customHeight="1" x14ac:dyDescent="0.25">
      <c r="A339" s="100"/>
      <c r="B339" s="15"/>
      <c r="C339" s="100"/>
      <c r="D339" s="301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299"/>
      <c r="S339" s="289"/>
      <c r="T339" s="287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spans="1:34" ht="15.75" customHeight="1" x14ac:dyDescent="0.25">
      <c r="A340" s="100"/>
      <c r="B340" s="15"/>
      <c r="C340" s="100"/>
      <c r="D340" s="301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15"/>
      <c r="S340" s="282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spans="1:34" ht="15.75" customHeight="1" x14ac:dyDescent="0.25">
      <c r="A341" s="100"/>
      <c r="B341" s="15"/>
      <c r="C341" s="100"/>
      <c r="D341" s="301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15"/>
      <c r="S341" s="282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spans="1:34" ht="15.75" customHeight="1" x14ac:dyDescent="0.25">
      <c r="A342" s="100"/>
      <c r="B342" s="15"/>
      <c r="C342" s="100"/>
      <c r="D342" s="301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15"/>
      <c r="S342" s="282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spans="1:34" ht="15.75" customHeight="1" x14ac:dyDescent="0.25">
      <c r="A343" s="100"/>
      <c r="B343" s="15"/>
      <c r="C343" s="100"/>
      <c r="D343" s="301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15"/>
      <c r="S343" s="282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</sheetData>
  <autoFilter ref="A53:R32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33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" customHeight="1" x14ac:dyDescent="0.25"/>
  <cols>
    <col min="1" max="1" width="9.7265625" customWidth="1"/>
    <col min="2" max="2" width="8.36328125" customWidth="1"/>
    <col min="3" max="3" width="18.36328125" customWidth="1"/>
    <col min="4" max="4" width="31.453125" customWidth="1"/>
    <col min="5" max="5" width="14.6328125" customWidth="1"/>
    <col min="6" max="6" width="28.08984375" customWidth="1"/>
    <col min="7" max="7" width="33.36328125" customWidth="1"/>
    <col min="8" max="8" width="11.6328125" customWidth="1"/>
    <col min="22" max="22" width="4.7265625" customWidth="1"/>
    <col min="23" max="24" width="12.36328125" customWidth="1"/>
    <col min="25" max="25" width="10" customWidth="1"/>
  </cols>
  <sheetData>
    <row r="1" spans="1:26" ht="28.5" customHeight="1" x14ac:dyDescent="0.85">
      <c r="A1" s="124" t="s">
        <v>4</v>
      </c>
      <c r="B1" s="23" t="s">
        <v>130</v>
      </c>
      <c r="C1" s="23" t="s">
        <v>131</v>
      </c>
      <c r="D1" s="19" t="s">
        <v>132</v>
      </c>
      <c r="E1" s="23" t="s">
        <v>133</v>
      </c>
      <c r="F1" s="19" t="s">
        <v>8</v>
      </c>
      <c r="G1" s="23" t="s">
        <v>10</v>
      </c>
      <c r="H1" s="23" t="s">
        <v>12</v>
      </c>
      <c r="I1" s="7" t="s">
        <v>2</v>
      </c>
      <c r="J1" s="8">
        <v>46023</v>
      </c>
      <c r="K1" s="8">
        <v>46054</v>
      </c>
      <c r="L1" s="8">
        <v>46082</v>
      </c>
      <c r="M1" s="8">
        <v>46113</v>
      </c>
      <c r="N1" s="8">
        <v>46143</v>
      </c>
      <c r="O1" s="8">
        <v>46174</v>
      </c>
      <c r="P1" s="8">
        <v>46204</v>
      </c>
      <c r="Q1" s="8">
        <v>46235</v>
      </c>
      <c r="R1" s="8">
        <v>46266</v>
      </c>
      <c r="S1" s="8">
        <v>46296</v>
      </c>
      <c r="T1" s="8">
        <v>46327</v>
      </c>
      <c r="U1" s="8">
        <v>46357</v>
      </c>
      <c r="V1" s="125"/>
      <c r="W1" s="126" t="s">
        <v>136</v>
      </c>
      <c r="X1" s="127" t="s">
        <v>137</v>
      </c>
      <c r="Y1" s="128"/>
      <c r="Z1" s="128"/>
    </row>
    <row r="2" spans="1:26" ht="15.75" customHeight="1" x14ac:dyDescent="0.85">
      <c r="A2" s="130"/>
      <c r="B2" s="131"/>
      <c r="C2" s="131"/>
      <c r="D2" s="131"/>
      <c r="E2" s="131"/>
      <c r="F2" s="131"/>
      <c r="G2" s="131"/>
      <c r="H2" s="5"/>
      <c r="I2" s="20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22" t="s">
        <v>9</v>
      </c>
      <c r="S2" s="22" t="s">
        <v>9</v>
      </c>
      <c r="T2" s="22" t="s">
        <v>9</v>
      </c>
      <c r="U2" s="22" t="s">
        <v>9</v>
      </c>
      <c r="V2" s="100"/>
      <c r="W2" s="133" t="s">
        <v>9</v>
      </c>
      <c r="X2" s="133" t="s">
        <v>9</v>
      </c>
    </row>
    <row r="3" spans="1:26" ht="15.75" customHeight="1" x14ac:dyDescent="0.25">
      <c r="A3" s="136" t="str">
        <f ca="1">IFERROR(__xludf.DUMMYFUNCTION("Importrange(""https://docs.google.com/spreadsheets/d/1f-ozA68iuAwzCgSBU98lEKSRPrdkEb1j8hwvWadc1Mk/edit?gid=754950581#"",""Summary!A3:X24"")"),"India ")</f>
        <v xml:space="preserve">India </v>
      </c>
      <c r="B3" s="81" t="str">
        <f ca="1">IFERROR(__xludf.DUMMYFUNCTION("""COMPUTED_VALUE"""),"ASSRA")</f>
        <v>ASSRA</v>
      </c>
      <c r="C3" s="139" t="str">
        <f ca="1">IFERROR(__xludf.DUMMYFUNCTION("""COMPUTED_VALUE"""),"Country Digital Product")</f>
        <v>Country Digital Product</v>
      </c>
      <c r="D3" s="140" t="str">
        <f ca="1">IFERROR(__xludf.DUMMYFUNCTION("""COMPUTED_VALUE""")," Product Management  ")</f>
        <v xml:space="preserve"> Product Management  </v>
      </c>
      <c r="E3" s="139" t="str">
        <f ca="1">IFERROR(__xludf.DUMMYFUNCTION("""COMPUTED_VALUE"""),"Payroll Cost")</f>
        <v>Payroll Cost</v>
      </c>
      <c r="F3" s="139" t="str">
        <f ca="1">IFERROR(__xludf.DUMMYFUNCTION("""COMPUTED_VALUE"""),"Salaries and Wages")</f>
        <v>Salaries and Wages</v>
      </c>
      <c r="G3" s="139" t="str">
        <f ca="1">IFERROR(__xludf.DUMMYFUNCTION("""COMPUTED_VALUE"""),"Salaries and Wages")</f>
        <v>Salaries and Wages</v>
      </c>
      <c r="H3" s="141" t="str">
        <f ca="1">IFERROR(__xludf.DUMMYFUNCTION("""COMPUTED_VALUE"""),"91101-91107")</f>
        <v>91101-91107</v>
      </c>
      <c r="I3" s="140">
        <f ca="1">IFERROR(__xludf.DUMMYFUNCTION("""COMPUTED_VALUE"""),451493.679)</f>
        <v>451493.679</v>
      </c>
      <c r="J3" s="140">
        <f ca="1">IFERROR(__xludf.DUMMYFUNCTION("""COMPUTED_VALUE"""),150497.893)</f>
        <v>150497.89300000001</v>
      </c>
      <c r="K3" s="140">
        <f ca="1">IFERROR(__xludf.DUMMYFUNCTION("""COMPUTED_VALUE"""),150497.893)</f>
        <v>150497.89300000001</v>
      </c>
      <c r="L3" s="140">
        <f ca="1">IFERROR(__xludf.DUMMYFUNCTION("""COMPUTED_VALUE"""),150497.893)</f>
        <v>150497.89300000001</v>
      </c>
      <c r="M3" s="143">
        <f ca="1">IFERROR(__xludf.DUMMYFUNCTION("""COMPUTED_VALUE"""),0)</f>
        <v>0</v>
      </c>
      <c r="N3" s="140">
        <f ca="1">IFERROR(__xludf.DUMMYFUNCTION("""COMPUTED_VALUE"""),0)</f>
        <v>0</v>
      </c>
      <c r="O3" s="140">
        <f ca="1">IFERROR(__xludf.DUMMYFUNCTION("""COMPUTED_VALUE"""),0)</f>
        <v>0</v>
      </c>
      <c r="P3" s="140">
        <f ca="1">IFERROR(__xludf.DUMMYFUNCTION("""COMPUTED_VALUE"""),0)</f>
        <v>0</v>
      </c>
      <c r="Q3" s="140">
        <f ca="1">IFERROR(__xludf.DUMMYFUNCTION("""COMPUTED_VALUE"""),0)</f>
        <v>0</v>
      </c>
      <c r="R3" s="140">
        <f ca="1">IFERROR(__xludf.DUMMYFUNCTION("""COMPUTED_VALUE"""),0)</f>
        <v>0</v>
      </c>
      <c r="S3" s="140">
        <f ca="1">IFERROR(__xludf.DUMMYFUNCTION("""COMPUTED_VALUE"""),0)</f>
        <v>0</v>
      </c>
      <c r="T3" s="140">
        <f ca="1">IFERROR(__xludf.DUMMYFUNCTION("""COMPUTED_VALUE"""),0)</f>
        <v>0</v>
      </c>
      <c r="U3" s="140">
        <f ca="1">IFERROR(__xludf.DUMMYFUNCTION("""COMPUTED_VALUE"""),0)</f>
        <v>0</v>
      </c>
      <c r="V3" s="100"/>
      <c r="W3" s="140">
        <f ca="1">IFERROR(__xludf.DUMMYFUNCTION("""COMPUTED_VALUE"""),451493.679)</f>
        <v>451493.679</v>
      </c>
      <c r="X3" s="140">
        <f ca="1">IFERROR(__xludf.DUMMYFUNCTION("""COMPUTED_VALUE"""),0)</f>
        <v>0</v>
      </c>
      <c r="Y3" s="147">
        <f t="shared" ref="Y3:Y23" ca="1" si="0">W3-I3</f>
        <v>0</v>
      </c>
    </row>
    <row r="4" spans="1:26" ht="15.75" customHeight="1" x14ac:dyDescent="0.25">
      <c r="A4" s="148" t="str">
        <f ca="1">IFERROR(__xludf.DUMMYFUNCTION("""COMPUTED_VALUE"""),"India ")</f>
        <v xml:space="preserve">India </v>
      </c>
      <c r="B4" s="81" t="str">
        <f ca="1">IFERROR(__xludf.DUMMYFUNCTION("""COMPUTED_VALUE"""),"ASSRA")</f>
        <v>ASSRA</v>
      </c>
      <c r="C4" s="139" t="str">
        <f ca="1">IFERROR(__xludf.DUMMYFUNCTION("""COMPUTED_VALUE"""),"Country Digital Product")</f>
        <v>Country Digital Product</v>
      </c>
      <c r="D4" s="140" t="str">
        <f ca="1">IFERROR(__xludf.DUMMYFUNCTION("""COMPUTED_VALUE""")," Product Management  ")</f>
        <v xml:space="preserve"> Product Management  </v>
      </c>
      <c r="E4" s="139" t="str">
        <f ca="1">IFERROR(__xludf.DUMMYFUNCTION("""COMPUTED_VALUE"""),"Payroll Cost")</f>
        <v>Payroll Cost</v>
      </c>
      <c r="F4" s="139" t="str">
        <f ca="1">IFERROR(__xludf.DUMMYFUNCTION("""COMPUTED_VALUE"""),"Health and Retirement Benefits")</f>
        <v>Health and Retirement Benefits</v>
      </c>
      <c r="G4" s="139" t="str">
        <f ca="1">IFERROR(__xludf.DUMMYFUNCTION("""COMPUTED_VALUE"""),"Gratuity &amp; Bonus")</f>
        <v>Gratuity &amp; Bonus</v>
      </c>
      <c r="H4" s="141" t="str">
        <f ca="1">IFERROR(__xludf.DUMMYFUNCTION("""COMPUTED_VALUE"""),"91201-91207")</f>
        <v>91201-91207</v>
      </c>
      <c r="I4" s="140">
        <f ca="1">IFERROR(__xludf.DUMMYFUNCTION("""COMPUTED_VALUE"""),0)</f>
        <v>0</v>
      </c>
      <c r="J4" s="140">
        <f ca="1">IFERROR(__xludf.DUMMYFUNCTION("""COMPUTED_VALUE"""),0)</f>
        <v>0</v>
      </c>
      <c r="K4" s="140">
        <f ca="1">IFERROR(__xludf.DUMMYFUNCTION("""COMPUTED_VALUE"""),0)</f>
        <v>0</v>
      </c>
      <c r="L4" s="140">
        <f ca="1">IFERROR(__xludf.DUMMYFUNCTION("""COMPUTED_VALUE"""),0)</f>
        <v>0</v>
      </c>
      <c r="M4" s="143">
        <f ca="1">IFERROR(__xludf.DUMMYFUNCTION("""COMPUTED_VALUE"""),0)</f>
        <v>0</v>
      </c>
      <c r="N4" s="140">
        <f ca="1">IFERROR(__xludf.DUMMYFUNCTION("""COMPUTED_VALUE"""),0)</f>
        <v>0</v>
      </c>
      <c r="O4" s="140">
        <f ca="1">IFERROR(__xludf.DUMMYFUNCTION("""COMPUTED_VALUE"""),0)</f>
        <v>0</v>
      </c>
      <c r="P4" s="140">
        <f ca="1">IFERROR(__xludf.DUMMYFUNCTION("""COMPUTED_VALUE"""),0)</f>
        <v>0</v>
      </c>
      <c r="Q4" s="140">
        <f ca="1">IFERROR(__xludf.DUMMYFUNCTION("""COMPUTED_VALUE"""),0)</f>
        <v>0</v>
      </c>
      <c r="R4" s="140">
        <f ca="1">IFERROR(__xludf.DUMMYFUNCTION("""COMPUTED_VALUE"""),0)</f>
        <v>0</v>
      </c>
      <c r="S4" s="140">
        <f ca="1">IFERROR(__xludf.DUMMYFUNCTION("""COMPUTED_VALUE"""),0)</f>
        <v>0</v>
      </c>
      <c r="T4" s="140">
        <f ca="1">IFERROR(__xludf.DUMMYFUNCTION("""COMPUTED_VALUE"""),0)</f>
        <v>0</v>
      </c>
      <c r="U4" s="140">
        <f ca="1">IFERROR(__xludf.DUMMYFUNCTION("""COMPUTED_VALUE"""),0)</f>
        <v>0</v>
      </c>
      <c r="V4" s="100"/>
      <c r="W4" s="140">
        <f ca="1">IFERROR(__xludf.DUMMYFUNCTION("""COMPUTED_VALUE"""),0)</f>
        <v>0</v>
      </c>
      <c r="X4" s="140">
        <f ca="1">IFERROR(__xludf.DUMMYFUNCTION("""COMPUTED_VALUE"""),0)</f>
        <v>0</v>
      </c>
      <c r="Y4" s="147">
        <f t="shared" ca="1" si="0"/>
        <v>0</v>
      </c>
    </row>
    <row r="5" spans="1:26" ht="15.75" customHeight="1" x14ac:dyDescent="0.25">
      <c r="A5" s="148" t="str">
        <f ca="1">IFERROR(__xludf.DUMMYFUNCTION("""COMPUTED_VALUE"""),"India ")</f>
        <v xml:space="preserve">India </v>
      </c>
      <c r="B5" s="81" t="str">
        <f ca="1">IFERROR(__xludf.DUMMYFUNCTION("""COMPUTED_VALUE"""),"ASSRA")</f>
        <v>ASSRA</v>
      </c>
      <c r="C5" s="139" t="str">
        <f ca="1">IFERROR(__xludf.DUMMYFUNCTION("""COMPUTED_VALUE"""),"Country Digital Product")</f>
        <v>Country Digital Product</v>
      </c>
      <c r="D5" s="140" t="str">
        <f ca="1">IFERROR(__xludf.DUMMYFUNCTION("""COMPUTED_VALUE""")," Product Management  ")</f>
        <v xml:space="preserve"> Product Management  </v>
      </c>
      <c r="E5" s="139" t="str">
        <f ca="1">IFERROR(__xludf.DUMMYFUNCTION("""COMPUTED_VALUE"""),"Payroll Cost")</f>
        <v>Payroll Cost</v>
      </c>
      <c r="F5" s="139" t="str">
        <f ca="1">IFERROR(__xludf.DUMMYFUNCTION("""COMPUTED_VALUE"""),"Other Staff Expenses")</f>
        <v>Other Staff Expenses</v>
      </c>
      <c r="G5" s="139" t="str">
        <f ca="1">IFERROR(__xludf.DUMMYFUNCTION("""COMPUTED_VALUE"""),"Staff Training, Learning &amp; Development Exp")</f>
        <v>Staff Training, Learning &amp; Development Exp</v>
      </c>
      <c r="H5" s="141">
        <f ca="1">IFERROR(__xludf.DUMMYFUNCTION("""COMPUTED_VALUE"""),91302)</f>
        <v>91302</v>
      </c>
      <c r="I5" s="140">
        <f ca="1">IFERROR(__xludf.DUMMYFUNCTION("""COMPUTED_VALUE"""),0)</f>
        <v>0</v>
      </c>
      <c r="J5" s="140">
        <f ca="1">IFERROR(__xludf.DUMMYFUNCTION("""COMPUTED_VALUE"""),0)</f>
        <v>0</v>
      </c>
      <c r="K5" s="140">
        <f ca="1">IFERROR(__xludf.DUMMYFUNCTION("""COMPUTED_VALUE"""),0)</f>
        <v>0</v>
      </c>
      <c r="L5" s="140">
        <f ca="1">IFERROR(__xludf.DUMMYFUNCTION("""COMPUTED_VALUE"""),0)</f>
        <v>0</v>
      </c>
      <c r="M5" s="143">
        <f ca="1">IFERROR(__xludf.DUMMYFUNCTION("""COMPUTED_VALUE"""),0)</f>
        <v>0</v>
      </c>
      <c r="N5" s="140">
        <f ca="1">IFERROR(__xludf.DUMMYFUNCTION("""COMPUTED_VALUE"""),0)</f>
        <v>0</v>
      </c>
      <c r="O5" s="140">
        <f ca="1">IFERROR(__xludf.DUMMYFUNCTION("""COMPUTED_VALUE"""),0)</f>
        <v>0</v>
      </c>
      <c r="P5" s="140">
        <f ca="1">IFERROR(__xludf.DUMMYFUNCTION("""COMPUTED_VALUE"""),0)</f>
        <v>0</v>
      </c>
      <c r="Q5" s="140">
        <f ca="1">IFERROR(__xludf.DUMMYFUNCTION("""COMPUTED_VALUE"""),0)</f>
        <v>0</v>
      </c>
      <c r="R5" s="140">
        <f ca="1">IFERROR(__xludf.DUMMYFUNCTION("""COMPUTED_VALUE"""),0)</f>
        <v>0</v>
      </c>
      <c r="S5" s="140">
        <f ca="1">IFERROR(__xludf.DUMMYFUNCTION("""COMPUTED_VALUE"""),0)</f>
        <v>0</v>
      </c>
      <c r="T5" s="140">
        <f ca="1">IFERROR(__xludf.DUMMYFUNCTION("""COMPUTED_VALUE"""),0)</f>
        <v>0</v>
      </c>
      <c r="U5" s="140">
        <f ca="1">IFERROR(__xludf.DUMMYFUNCTION("""COMPUTED_VALUE"""),0)</f>
        <v>0</v>
      </c>
      <c r="V5" s="100"/>
      <c r="W5" s="140">
        <f ca="1">IFERROR(__xludf.DUMMYFUNCTION("""COMPUTED_VALUE"""),0)</f>
        <v>0</v>
      </c>
      <c r="X5" s="140">
        <f ca="1">IFERROR(__xludf.DUMMYFUNCTION("""COMPUTED_VALUE"""),0)</f>
        <v>0</v>
      </c>
      <c r="Y5" s="147">
        <f t="shared" ca="1" si="0"/>
        <v>0</v>
      </c>
    </row>
    <row r="6" spans="1:26" ht="15.75" customHeight="1" x14ac:dyDescent="0.25">
      <c r="A6" s="148" t="str">
        <f ca="1">IFERROR(__xludf.DUMMYFUNCTION("""COMPUTED_VALUE"""),"India ")</f>
        <v xml:space="preserve">India </v>
      </c>
      <c r="B6" s="81" t="str">
        <f ca="1">IFERROR(__xludf.DUMMYFUNCTION("""COMPUTED_VALUE"""),"ASSRA")</f>
        <v>ASSRA</v>
      </c>
      <c r="C6" s="81" t="str">
        <f ca="1">IFERROR(__xludf.DUMMYFUNCTION("""COMPUTED_VALUE"""),"Country Digital Product")</f>
        <v>Country Digital Product</v>
      </c>
      <c r="D6" s="140" t="str">
        <f ca="1">IFERROR(__xludf.DUMMYFUNCTION("""COMPUTED_VALUE""")," Product Management  ")</f>
        <v xml:space="preserve"> Product Management  </v>
      </c>
      <c r="E6" s="81" t="str">
        <f ca="1">IFERROR(__xludf.DUMMYFUNCTION("""COMPUTED_VALUE"""),"Direct Consultants")</f>
        <v>Direct Consultants</v>
      </c>
      <c r="F6" s="81" t="str">
        <f ca="1">IFERROR(__xludf.DUMMYFUNCTION("""COMPUTED_VALUE"""),"Resource Persons")</f>
        <v>Resource Persons</v>
      </c>
      <c r="G6" s="81" t="str">
        <f ca="1">IFERROR(__xludf.DUMMYFUNCTION("""COMPUTED_VALUE"""),"Program Resource Consultant (EHA)")</f>
        <v>Program Resource Consultant (EHA)</v>
      </c>
      <c r="H6" s="35">
        <f ca="1">IFERROR(__xludf.DUMMYFUNCTION("""COMPUTED_VALUE"""),92101)</f>
        <v>92101</v>
      </c>
      <c r="I6" s="140">
        <f ca="1">IFERROR(__xludf.DUMMYFUNCTION("""COMPUTED_VALUE"""),0)</f>
        <v>0</v>
      </c>
      <c r="J6" s="140">
        <f ca="1">IFERROR(__xludf.DUMMYFUNCTION("""COMPUTED_VALUE"""),0)</f>
        <v>0</v>
      </c>
      <c r="K6" s="140">
        <f ca="1">IFERROR(__xludf.DUMMYFUNCTION("""COMPUTED_VALUE"""),0)</f>
        <v>0</v>
      </c>
      <c r="L6" s="140">
        <f ca="1">IFERROR(__xludf.DUMMYFUNCTION("""COMPUTED_VALUE"""),0)</f>
        <v>0</v>
      </c>
      <c r="M6" s="143">
        <f ca="1">IFERROR(__xludf.DUMMYFUNCTION("""COMPUTED_VALUE"""),0)</f>
        <v>0</v>
      </c>
      <c r="N6" s="140">
        <f ca="1">IFERROR(__xludf.DUMMYFUNCTION("""COMPUTED_VALUE"""),0)</f>
        <v>0</v>
      </c>
      <c r="O6" s="140">
        <f ca="1">IFERROR(__xludf.DUMMYFUNCTION("""COMPUTED_VALUE"""),0)</f>
        <v>0</v>
      </c>
      <c r="P6" s="140">
        <f ca="1">IFERROR(__xludf.DUMMYFUNCTION("""COMPUTED_VALUE"""),0)</f>
        <v>0</v>
      </c>
      <c r="Q6" s="140">
        <f ca="1">IFERROR(__xludf.DUMMYFUNCTION("""COMPUTED_VALUE"""),0)</f>
        <v>0</v>
      </c>
      <c r="R6" s="140">
        <f ca="1">IFERROR(__xludf.DUMMYFUNCTION("""COMPUTED_VALUE"""),0)</f>
        <v>0</v>
      </c>
      <c r="S6" s="140">
        <f ca="1">IFERROR(__xludf.DUMMYFUNCTION("""COMPUTED_VALUE"""),0)</f>
        <v>0</v>
      </c>
      <c r="T6" s="140">
        <f ca="1">IFERROR(__xludf.DUMMYFUNCTION("""COMPUTED_VALUE"""),0)</f>
        <v>0</v>
      </c>
      <c r="U6" s="140">
        <f ca="1">IFERROR(__xludf.DUMMYFUNCTION("""COMPUTED_VALUE"""),0)</f>
        <v>0</v>
      </c>
      <c r="V6" s="100"/>
      <c r="W6" s="140">
        <f ca="1">IFERROR(__xludf.DUMMYFUNCTION("""COMPUTED_VALUE"""),0)</f>
        <v>0</v>
      </c>
      <c r="X6" s="140">
        <f ca="1">IFERROR(__xludf.DUMMYFUNCTION("""COMPUTED_VALUE"""),0)</f>
        <v>0</v>
      </c>
      <c r="Y6" s="147">
        <f t="shared" ca="1" si="0"/>
        <v>0</v>
      </c>
    </row>
    <row r="7" spans="1:26" ht="15.75" customHeight="1" x14ac:dyDescent="0.25">
      <c r="A7" s="148" t="str">
        <f ca="1">IFERROR(__xludf.DUMMYFUNCTION("""COMPUTED_VALUE"""),"India ")</f>
        <v xml:space="preserve">India </v>
      </c>
      <c r="B7" s="81" t="str">
        <f ca="1">IFERROR(__xludf.DUMMYFUNCTION("""COMPUTED_VALUE"""),"ASSRA")</f>
        <v>ASSRA</v>
      </c>
      <c r="C7" s="81" t="str">
        <f ca="1">IFERROR(__xludf.DUMMYFUNCTION("""COMPUTED_VALUE"""),"Country Digital Product")</f>
        <v>Country Digital Product</v>
      </c>
      <c r="D7" s="140" t="str">
        <f ca="1">IFERROR(__xludf.DUMMYFUNCTION("""COMPUTED_VALUE""")," Product Management  ")</f>
        <v xml:space="preserve"> Product Management  </v>
      </c>
      <c r="E7" s="81" t="str">
        <f ca="1">IFERROR(__xludf.DUMMYFUNCTION("""COMPUTED_VALUE"""),"Direct Cost")</f>
        <v>Direct Cost</v>
      </c>
      <c r="F7" s="81" t="str">
        <f ca="1">IFERROR(__xludf.DUMMYFUNCTION("""COMPUTED_VALUE"""),"Travel &amp; Lodging Expenses")</f>
        <v>Travel &amp; Lodging Expenses</v>
      </c>
      <c r="G7" s="81" t="str">
        <f ca="1">IFERROR(__xludf.DUMMYFUNCTION("""COMPUTED_VALUE"""),"Hotel Accomodation")</f>
        <v>Hotel Accomodation</v>
      </c>
      <c r="H7" s="35">
        <f ca="1">IFERROR(__xludf.DUMMYFUNCTION("""COMPUTED_VALUE"""),93101)</f>
        <v>93101</v>
      </c>
      <c r="I7" s="140">
        <f ca="1">IFERROR(__xludf.DUMMYFUNCTION("""COMPUTED_VALUE"""),0)</f>
        <v>0</v>
      </c>
      <c r="J7" s="140">
        <f ca="1">IFERROR(__xludf.DUMMYFUNCTION("""COMPUTED_VALUE"""),0)</f>
        <v>0</v>
      </c>
      <c r="K7" s="140">
        <f ca="1">IFERROR(__xludf.DUMMYFUNCTION("""COMPUTED_VALUE"""),0)</f>
        <v>0</v>
      </c>
      <c r="L7" s="140">
        <f ca="1">IFERROR(__xludf.DUMMYFUNCTION("""COMPUTED_VALUE"""),0)</f>
        <v>0</v>
      </c>
      <c r="M7" s="143">
        <f ca="1">IFERROR(__xludf.DUMMYFUNCTION("""COMPUTED_VALUE"""),0)</f>
        <v>0</v>
      </c>
      <c r="N7" s="140">
        <f ca="1">IFERROR(__xludf.DUMMYFUNCTION("""COMPUTED_VALUE"""),0)</f>
        <v>0</v>
      </c>
      <c r="O7" s="140">
        <f ca="1">IFERROR(__xludf.DUMMYFUNCTION("""COMPUTED_VALUE"""),0)</f>
        <v>0</v>
      </c>
      <c r="P7" s="140">
        <f ca="1">IFERROR(__xludf.DUMMYFUNCTION("""COMPUTED_VALUE"""),0)</f>
        <v>0</v>
      </c>
      <c r="Q7" s="140">
        <f ca="1">IFERROR(__xludf.DUMMYFUNCTION("""COMPUTED_VALUE"""),0)</f>
        <v>0</v>
      </c>
      <c r="R7" s="140">
        <f ca="1">IFERROR(__xludf.DUMMYFUNCTION("""COMPUTED_VALUE"""),0)</f>
        <v>0</v>
      </c>
      <c r="S7" s="140">
        <f ca="1">IFERROR(__xludf.DUMMYFUNCTION("""COMPUTED_VALUE"""),0)</f>
        <v>0</v>
      </c>
      <c r="T7" s="140">
        <f ca="1">IFERROR(__xludf.DUMMYFUNCTION("""COMPUTED_VALUE"""),0)</f>
        <v>0</v>
      </c>
      <c r="U7" s="140">
        <f ca="1">IFERROR(__xludf.DUMMYFUNCTION("""COMPUTED_VALUE"""),0)</f>
        <v>0</v>
      </c>
      <c r="V7" s="100"/>
      <c r="W7" s="140">
        <f ca="1">IFERROR(__xludf.DUMMYFUNCTION("""COMPUTED_VALUE"""),0)</f>
        <v>0</v>
      </c>
      <c r="X7" s="140">
        <f ca="1">IFERROR(__xludf.DUMMYFUNCTION("""COMPUTED_VALUE"""),0)</f>
        <v>0</v>
      </c>
      <c r="Y7" s="147">
        <f t="shared" ca="1" si="0"/>
        <v>0</v>
      </c>
    </row>
    <row r="8" spans="1:26" ht="15.75" customHeight="1" x14ac:dyDescent="0.25">
      <c r="A8" s="148" t="str">
        <f ca="1">IFERROR(__xludf.DUMMYFUNCTION("""COMPUTED_VALUE"""),"India ")</f>
        <v xml:space="preserve">India </v>
      </c>
      <c r="B8" s="81" t="str">
        <f ca="1">IFERROR(__xludf.DUMMYFUNCTION("""COMPUTED_VALUE"""),"ASSRA")</f>
        <v>ASSRA</v>
      </c>
      <c r="C8" s="81" t="str">
        <f ca="1">IFERROR(__xludf.DUMMYFUNCTION("""COMPUTED_VALUE"""),"Country Digital Product")</f>
        <v>Country Digital Product</v>
      </c>
      <c r="D8" s="140" t="str">
        <f ca="1">IFERROR(__xludf.DUMMYFUNCTION("""COMPUTED_VALUE""")," Product Management  ")</f>
        <v xml:space="preserve"> Product Management  </v>
      </c>
      <c r="E8" s="81" t="str">
        <f ca="1">IFERROR(__xludf.DUMMYFUNCTION("""COMPUTED_VALUE"""),"Direct Cost")</f>
        <v>Direct Cost</v>
      </c>
      <c r="F8" s="81" t="str">
        <f ca="1">IFERROR(__xludf.DUMMYFUNCTION("""COMPUTED_VALUE"""),"Travel &amp; Lodging Expenses")</f>
        <v>Travel &amp; Lodging Expenses</v>
      </c>
      <c r="G8" s="81" t="str">
        <f ca="1">IFERROR(__xludf.DUMMYFUNCTION("""COMPUTED_VALUE"""),"Food Expenses")</f>
        <v>Food Expenses</v>
      </c>
      <c r="H8" s="35">
        <f ca="1">IFERROR(__xludf.DUMMYFUNCTION("""COMPUTED_VALUE"""),93102)</f>
        <v>93102</v>
      </c>
      <c r="I8" s="140">
        <f ca="1">IFERROR(__xludf.DUMMYFUNCTION("""COMPUTED_VALUE"""),0)</f>
        <v>0</v>
      </c>
      <c r="J8" s="140">
        <f ca="1">IFERROR(__xludf.DUMMYFUNCTION("""COMPUTED_VALUE"""),0)</f>
        <v>0</v>
      </c>
      <c r="K8" s="140">
        <f ca="1">IFERROR(__xludf.DUMMYFUNCTION("""COMPUTED_VALUE"""),0)</f>
        <v>0</v>
      </c>
      <c r="L8" s="140">
        <f ca="1">IFERROR(__xludf.DUMMYFUNCTION("""COMPUTED_VALUE"""),0)</f>
        <v>0</v>
      </c>
      <c r="M8" s="143">
        <f ca="1">IFERROR(__xludf.DUMMYFUNCTION("""COMPUTED_VALUE"""),0)</f>
        <v>0</v>
      </c>
      <c r="N8" s="140">
        <f ca="1">IFERROR(__xludf.DUMMYFUNCTION("""COMPUTED_VALUE"""),0)</f>
        <v>0</v>
      </c>
      <c r="O8" s="140">
        <f ca="1">IFERROR(__xludf.DUMMYFUNCTION("""COMPUTED_VALUE"""),0)</f>
        <v>0</v>
      </c>
      <c r="P8" s="140">
        <f ca="1">IFERROR(__xludf.DUMMYFUNCTION("""COMPUTED_VALUE"""),0)</f>
        <v>0</v>
      </c>
      <c r="Q8" s="140">
        <f ca="1">IFERROR(__xludf.DUMMYFUNCTION("""COMPUTED_VALUE"""),0)</f>
        <v>0</v>
      </c>
      <c r="R8" s="140">
        <f ca="1">IFERROR(__xludf.DUMMYFUNCTION("""COMPUTED_VALUE"""),0)</f>
        <v>0</v>
      </c>
      <c r="S8" s="140">
        <f ca="1">IFERROR(__xludf.DUMMYFUNCTION("""COMPUTED_VALUE"""),0)</f>
        <v>0</v>
      </c>
      <c r="T8" s="140">
        <f ca="1">IFERROR(__xludf.DUMMYFUNCTION("""COMPUTED_VALUE"""),0)</f>
        <v>0</v>
      </c>
      <c r="U8" s="140">
        <f ca="1">IFERROR(__xludf.DUMMYFUNCTION("""COMPUTED_VALUE"""),0)</f>
        <v>0</v>
      </c>
      <c r="V8" s="100"/>
      <c r="W8" s="140">
        <f ca="1">IFERROR(__xludf.DUMMYFUNCTION("""COMPUTED_VALUE"""),0)</f>
        <v>0</v>
      </c>
      <c r="X8" s="140">
        <f ca="1">IFERROR(__xludf.DUMMYFUNCTION("""COMPUTED_VALUE"""),0)</f>
        <v>0</v>
      </c>
      <c r="Y8" s="147">
        <f t="shared" ca="1" si="0"/>
        <v>0</v>
      </c>
    </row>
    <row r="9" spans="1:26" ht="15.75" customHeight="1" x14ac:dyDescent="0.25">
      <c r="A9" s="148" t="str">
        <f ca="1">IFERROR(__xludf.DUMMYFUNCTION("""COMPUTED_VALUE"""),"India ")</f>
        <v xml:space="preserve">India </v>
      </c>
      <c r="B9" s="81" t="str">
        <f ca="1">IFERROR(__xludf.DUMMYFUNCTION("""COMPUTED_VALUE"""),"ASSRA")</f>
        <v>ASSRA</v>
      </c>
      <c r="C9" s="81" t="str">
        <f ca="1">IFERROR(__xludf.DUMMYFUNCTION("""COMPUTED_VALUE"""),"Country Digital Product")</f>
        <v>Country Digital Product</v>
      </c>
      <c r="D9" s="140" t="str">
        <f ca="1">IFERROR(__xludf.DUMMYFUNCTION("""COMPUTED_VALUE""")," Product Management  ")</f>
        <v xml:space="preserve"> Product Management  </v>
      </c>
      <c r="E9" s="81" t="str">
        <f ca="1">IFERROR(__xludf.DUMMYFUNCTION("""COMPUTED_VALUE"""),"Direct Cost")</f>
        <v>Direct Cost</v>
      </c>
      <c r="F9" s="81" t="str">
        <f ca="1">IFERROR(__xludf.DUMMYFUNCTION("""COMPUTED_VALUE"""),"Travel &amp; Lodging Expenses")</f>
        <v>Travel &amp; Lodging Expenses</v>
      </c>
      <c r="G9" s="81" t="str">
        <f ca="1">IFERROR(__xludf.DUMMYFUNCTION("""COMPUTED_VALUE"""),"Air fare")</f>
        <v>Air fare</v>
      </c>
      <c r="H9" s="35">
        <f ca="1">IFERROR(__xludf.DUMMYFUNCTION("""COMPUTED_VALUE"""),93103)</f>
        <v>93103</v>
      </c>
      <c r="I9" s="140">
        <f ca="1">IFERROR(__xludf.DUMMYFUNCTION("""COMPUTED_VALUE"""),0)</f>
        <v>0</v>
      </c>
      <c r="J9" s="140">
        <f ca="1">IFERROR(__xludf.DUMMYFUNCTION("""COMPUTED_VALUE"""),0)</f>
        <v>0</v>
      </c>
      <c r="K9" s="140">
        <f ca="1">IFERROR(__xludf.DUMMYFUNCTION("""COMPUTED_VALUE"""),0)</f>
        <v>0</v>
      </c>
      <c r="L9" s="140">
        <f ca="1">IFERROR(__xludf.DUMMYFUNCTION("""COMPUTED_VALUE"""),0)</f>
        <v>0</v>
      </c>
      <c r="M9" s="143">
        <f ca="1">IFERROR(__xludf.DUMMYFUNCTION("""COMPUTED_VALUE"""),0)</f>
        <v>0</v>
      </c>
      <c r="N9" s="140">
        <f ca="1">IFERROR(__xludf.DUMMYFUNCTION("""COMPUTED_VALUE"""),0)</f>
        <v>0</v>
      </c>
      <c r="O9" s="140">
        <f ca="1">IFERROR(__xludf.DUMMYFUNCTION("""COMPUTED_VALUE"""),0)</f>
        <v>0</v>
      </c>
      <c r="P9" s="140">
        <f ca="1">IFERROR(__xludf.DUMMYFUNCTION("""COMPUTED_VALUE"""),0)</f>
        <v>0</v>
      </c>
      <c r="Q9" s="140">
        <f ca="1">IFERROR(__xludf.DUMMYFUNCTION("""COMPUTED_VALUE"""),0)</f>
        <v>0</v>
      </c>
      <c r="R9" s="140">
        <f ca="1">IFERROR(__xludf.DUMMYFUNCTION("""COMPUTED_VALUE"""),0)</f>
        <v>0</v>
      </c>
      <c r="S9" s="140">
        <f ca="1">IFERROR(__xludf.DUMMYFUNCTION("""COMPUTED_VALUE"""),0)</f>
        <v>0</v>
      </c>
      <c r="T9" s="140">
        <f ca="1">IFERROR(__xludf.DUMMYFUNCTION("""COMPUTED_VALUE"""),0)</f>
        <v>0</v>
      </c>
      <c r="U9" s="140">
        <f ca="1">IFERROR(__xludf.DUMMYFUNCTION("""COMPUTED_VALUE"""),0)</f>
        <v>0</v>
      </c>
      <c r="V9" s="100"/>
      <c r="W9" s="140">
        <f ca="1">IFERROR(__xludf.DUMMYFUNCTION("""COMPUTED_VALUE"""),0)</f>
        <v>0</v>
      </c>
      <c r="X9" s="140">
        <f ca="1">IFERROR(__xludf.DUMMYFUNCTION("""COMPUTED_VALUE"""),0)</f>
        <v>0</v>
      </c>
      <c r="Y9" s="147">
        <f t="shared" ca="1" si="0"/>
        <v>0</v>
      </c>
    </row>
    <row r="10" spans="1:26" ht="15.75" customHeight="1" x14ac:dyDescent="0.25">
      <c r="A10" s="148" t="str">
        <f ca="1">IFERROR(__xludf.DUMMYFUNCTION("""COMPUTED_VALUE"""),"India ")</f>
        <v xml:space="preserve">India </v>
      </c>
      <c r="B10" s="81" t="str">
        <f ca="1">IFERROR(__xludf.DUMMYFUNCTION("""COMPUTED_VALUE"""),"ASSRA")</f>
        <v>ASSRA</v>
      </c>
      <c r="C10" s="81" t="str">
        <f ca="1">IFERROR(__xludf.DUMMYFUNCTION("""COMPUTED_VALUE"""),"Country Digital Product")</f>
        <v>Country Digital Product</v>
      </c>
      <c r="D10" s="140" t="str">
        <f ca="1">IFERROR(__xludf.DUMMYFUNCTION("""COMPUTED_VALUE""")," Product Management  ")</f>
        <v xml:space="preserve"> Product Management  </v>
      </c>
      <c r="E10" s="81" t="str">
        <f ca="1">IFERROR(__xludf.DUMMYFUNCTION("""COMPUTED_VALUE"""),"Direct Cost")</f>
        <v>Direct Cost</v>
      </c>
      <c r="F10" s="81" t="str">
        <f ca="1">IFERROR(__xludf.DUMMYFUNCTION("""COMPUTED_VALUE"""),"Travel &amp; Lodging Expenses")</f>
        <v>Travel &amp; Lodging Expenses</v>
      </c>
      <c r="G10" s="81" t="str">
        <f ca="1">IFERROR(__xludf.DUMMYFUNCTION("""COMPUTED_VALUE"""),"Cab/Auto")</f>
        <v>Cab/Auto</v>
      </c>
      <c r="H10" s="35">
        <f ca="1">IFERROR(__xludf.DUMMYFUNCTION("""COMPUTED_VALUE"""),93104)</f>
        <v>93104</v>
      </c>
      <c r="I10" s="140">
        <f ca="1">IFERROR(__xludf.DUMMYFUNCTION("""COMPUTED_VALUE"""),0)</f>
        <v>0</v>
      </c>
      <c r="J10" s="140">
        <f ca="1">IFERROR(__xludf.DUMMYFUNCTION("""COMPUTED_VALUE"""),0)</f>
        <v>0</v>
      </c>
      <c r="K10" s="140">
        <f ca="1">IFERROR(__xludf.DUMMYFUNCTION("""COMPUTED_VALUE"""),0)</f>
        <v>0</v>
      </c>
      <c r="L10" s="140">
        <f ca="1">IFERROR(__xludf.DUMMYFUNCTION("""COMPUTED_VALUE"""),0)</f>
        <v>0</v>
      </c>
      <c r="M10" s="143">
        <f ca="1">IFERROR(__xludf.DUMMYFUNCTION("""COMPUTED_VALUE"""),0)</f>
        <v>0</v>
      </c>
      <c r="N10" s="140">
        <f ca="1">IFERROR(__xludf.DUMMYFUNCTION("""COMPUTED_VALUE"""),0)</f>
        <v>0</v>
      </c>
      <c r="O10" s="140">
        <f ca="1">IFERROR(__xludf.DUMMYFUNCTION("""COMPUTED_VALUE"""),0)</f>
        <v>0</v>
      </c>
      <c r="P10" s="140">
        <f ca="1">IFERROR(__xludf.DUMMYFUNCTION("""COMPUTED_VALUE"""),0)</f>
        <v>0</v>
      </c>
      <c r="Q10" s="140">
        <f ca="1">IFERROR(__xludf.DUMMYFUNCTION("""COMPUTED_VALUE"""),0)</f>
        <v>0</v>
      </c>
      <c r="R10" s="140">
        <f ca="1">IFERROR(__xludf.DUMMYFUNCTION("""COMPUTED_VALUE"""),0)</f>
        <v>0</v>
      </c>
      <c r="S10" s="140">
        <f ca="1">IFERROR(__xludf.DUMMYFUNCTION("""COMPUTED_VALUE"""),0)</f>
        <v>0</v>
      </c>
      <c r="T10" s="140">
        <f ca="1">IFERROR(__xludf.DUMMYFUNCTION("""COMPUTED_VALUE"""),0)</f>
        <v>0</v>
      </c>
      <c r="U10" s="140">
        <f ca="1">IFERROR(__xludf.DUMMYFUNCTION("""COMPUTED_VALUE"""),0)</f>
        <v>0</v>
      </c>
      <c r="V10" s="100"/>
      <c r="W10" s="140">
        <f ca="1">IFERROR(__xludf.DUMMYFUNCTION("""COMPUTED_VALUE"""),0)</f>
        <v>0</v>
      </c>
      <c r="X10" s="140">
        <f ca="1">IFERROR(__xludf.DUMMYFUNCTION("""COMPUTED_VALUE"""),0)</f>
        <v>0</v>
      </c>
      <c r="Y10" s="147">
        <f t="shared" ca="1" si="0"/>
        <v>0</v>
      </c>
    </row>
    <row r="11" spans="1:26" ht="15.75" customHeight="1" x14ac:dyDescent="0.25">
      <c r="A11" s="148" t="str">
        <f ca="1">IFERROR(__xludf.DUMMYFUNCTION("""COMPUTED_VALUE"""),"India ")</f>
        <v xml:space="preserve">India </v>
      </c>
      <c r="B11" s="81" t="str">
        <f ca="1">IFERROR(__xludf.DUMMYFUNCTION("""COMPUTED_VALUE"""),"ASSRA")</f>
        <v>ASSRA</v>
      </c>
      <c r="C11" s="81" t="str">
        <f ca="1">IFERROR(__xludf.DUMMYFUNCTION("""COMPUTED_VALUE"""),"Country Digital Product")</f>
        <v>Country Digital Product</v>
      </c>
      <c r="D11" s="140" t="str">
        <f ca="1">IFERROR(__xludf.DUMMYFUNCTION("""COMPUTED_VALUE""")," Product Management  ")</f>
        <v xml:space="preserve"> Product Management  </v>
      </c>
      <c r="E11" s="81" t="str">
        <f ca="1">IFERROR(__xludf.DUMMYFUNCTION("""COMPUTED_VALUE"""),"Direct Cost")</f>
        <v>Direct Cost</v>
      </c>
      <c r="F11" s="81" t="str">
        <f ca="1">IFERROR(__xludf.DUMMYFUNCTION("""COMPUTED_VALUE"""),"Travel &amp; Lodging Expenses")</f>
        <v>Travel &amp; Lodging Expenses</v>
      </c>
      <c r="G11" s="81" t="str">
        <f ca="1">IFERROR(__xludf.DUMMYFUNCTION("""COMPUTED_VALUE"""),"Bus/Train")</f>
        <v>Bus/Train</v>
      </c>
      <c r="H11" s="35">
        <f ca="1">IFERROR(__xludf.DUMMYFUNCTION("""COMPUTED_VALUE"""),93105)</f>
        <v>93105</v>
      </c>
      <c r="I11" s="140">
        <f ca="1">IFERROR(__xludf.DUMMYFUNCTION("""COMPUTED_VALUE"""),0)</f>
        <v>0</v>
      </c>
      <c r="J11" s="140">
        <f ca="1">IFERROR(__xludf.DUMMYFUNCTION("""COMPUTED_VALUE"""),0)</f>
        <v>0</v>
      </c>
      <c r="K11" s="140">
        <f ca="1">IFERROR(__xludf.DUMMYFUNCTION("""COMPUTED_VALUE"""),0)</f>
        <v>0</v>
      </c>
      <c r="L11" s="140">
        <f ca="1">IFERROR(__xludf.DUMMYFUNCTION("""COMPUTED_VALUE"""),0)</f>
        <v>0</v>
      </c>
      <c r="M11" s="143">
        <f ca="1">IFERROR(__xludf.DUMMYFUNCTION("""COMPUTED_VALUE"""),0)</f>
        <v>0</v>
      </c>
      <c r="N11" s="140">
        <f ca="1">IFERROR(__xludf.DUMMYFUNCTION("""COMPUTED_VALUE"""),0)</f>
        <v>0</v>
      </c>
      <c r="O11" s="140">
        <f ca="1">IFERROR(__xludf.DUMMYFUNCTION("""COMPUTED_VALUE"""),0)</f>
        <v>0</v>
      </c>
      <c r="P11" s="140">
        <f ca="1">IFERROR(__xludf.DUMMYFUNCTION("""COMPUTED_VALUE"""),0)</f>
        <v>0</v>
      </c>
      <c r="Q11" s="140">
        <f ca="1">IFERROR(__xludf.DUMMYFUNCTION("""COMPUTED_VALUE"""),0)</f>
        <v>0</v>
      </c>
      <c r="R11" s="140">
        <f ca="1">IFERROR(__xludf.DUMMYFUNCTION("""COMPUTED_VALUE"""),0)</f>
        <v>0</v>
      </c>
      <c r="S11" s="140">
        <f ca="1">IFERROR(__xludf.DUMMYFUNCTION("""COMPUTED_VALUE"""),0)</f>
        <v>0</v>
      </c>
      <c r="T11" s="140">
        <f ca="1">IFERROR(__xludf.DUMMYFUNCTION("""COMPUTED_VALUE"""),0)</f>
        <v>0</v>
      </c>
      <c r="U11" s="140">
        <f ca="1">IFERROR(__xludf.DUMMYFUNCTION("""COMPUTED_VALUE"""),0)</f>
        <v>0</v>
      </c>
      <c r="V11" s="100"/>
      <c r="W11" s="140">
        <f ca="1">IFERROR(__xludf.DUMMYFUNCTION("""COMPUTED_VALUE"""),0)</f>
        <v>0</v>
      </c>
      <c r="X11" s="140">
        <f ca="1">IFERROR(__xludf.DUMMYFUNCTION("""COMPUTED_VALUE"""),0)</f>
        <v>0</v>
      </c>
      <c r="Y11" s="147">
        <f t="shared" ca="1" si="0"/>
        <v>0</v>
      </c>
    </row>
    <row r="12" spans="1:26" ht="15.75" customHeight="1" x14ac:dyDescent="0.25">
      <c r="A12" s="148" t="str">
        <f ca="1">IFERROR(__xludf.DUMMYFUNCTION("""COMPUTED_VALUE"""),"India ")</f>
        <v xml:space="preserve">India </v>
      </c>
      <c r="B12" s="81" t="str">
        <f ca="1">IFERROR(__xludf.DUMMYFUNCTION("""COMPUTED_VALUE"""),"ASSRA")</f>
        <v>ASSRA</v>
      </c>
      <c r="C12" s="81" t="str">
        <f ca="1">IFERROR(__xludf.DUMMYFUNCTION("""COMPUTED_VALUE"""),"Country Digital Product")</f>
        <v>Country Digital Product</v>
      </c>
      <c r="D12" s="140" t="str">
        <f ca="1">IFERROR(__xludf.DUMMYFUNCTION("""COMPUTED_VALUE""")," Product Management  ")</f>
        <v xml:space="preserve"> Product Management  </v>
      </c>
      <c r="E12" s="81" t="str">
        <f ca="1">IFERROR(__xludf.DUMMYFUNCTION("""COMPUTED_VALUE"""),"Direct Cost")</f>
        <v>Direct Cost</v>
      </c>
      <c r="F12" s="81" t="str">
        <f ca="1">IFERROR(__xludf.DUMMYFUNCTION("""COMPUTED_VALUE"""),"Travel &amp; Lodging Expenses")</f>
        <v>Travel &amp; Lodging Expenses</v>
      </c>
      <c r="G12" s="81" t="str">
        <f ca="1">IFERROR(__xludf.DUMMYFUNCTION("""COMPUTED_VALUE"""),"Other incidental travel costs")</f>
        <v>Other incidental travel costs</v>
      </c>
      <c r="H12" s="35">
        <f ca="1">IFERROR(__xludf.DUMMYFUNCTION("""COMPUTED_VALUE"""),93106)</f>
        <v>93106</v>
      </c>
      <c r="I12" s="140">
        <f ca="1">IFERROR(__xludf.DUMMYFUNCTION("""COMPUTED_VALUE"""),0)</f>
        <v>0</v>
      </c>
      <c r="J12" s="140">
        <f ca="1">IFERROR(__xludf.DUMMYFUNCTION("""COMPUTED_VALUE"""),0)</f>
        <v>0</v>
      </c>
      <c r="K12" s="140">
        <f ca="1">IFERROR(__xludf.DUMMYFUNCTION("""COMPUTED_VALUE"""),0)</f>
        <v>0</v>
      </c>
      <c r="L12" s="140">
        <f ca="1">IFERROR(__xludf.DUMMYFUNCTION("""COMPUTED_VALUE"""),0)</f>
        <v>0</v>
      </c>
      <c r="M12" s="143">
        <f ca="1">IFERROR(__xludf.DUMMYFUNCTION("""COMPUTED_VALUE"""),0)</f>
        <v>0</v>
      </c>
      <c r="N12" s="140">
        <f ca="1">IFERROR(__xludf.DUMMYFUNCTION("""COMPUTED_VALUE"""),0)</f>
        <v>0</v>
      </c>
      <c r="O12" s="140">
        <f ca="1">IFERROR(__xludf.DUMMYFUNCTION("""COMPUTED_VALUE"""),0)</f>
        <v>0</v>
      </c>
      <c r="P12" s="140">
        <f ca="1">IFERROR(__xludf.DUMMYFUNCTION("""COMPUTED_VALUE"""),0)</f>
        <v>0</v>
      </c>
      <c r="Q12" s="140">
        <f ca="1">IFERROR(__xludf.DUMMYFUNCTION("""COMPUTED_VALUE"""),0)</f>
        <v>0</v>
      </c>
      <c r="R12" s="140">
        <f ca="1">IFERROR(__xludf.DUMMYFUNCTION("""COMPUTED_VALUE"""),0)</f>
        <v>0</v>
      </c>
      <c r="S12" s="140">
        <f ca="1">IFERROR(__xludf.DUMMYFUNCTION("""COMPUTED_VALUE"""),0)</f>
        <v>0</v>
      </c>
      <c r="T12" s="140">
        <f ca="1">IFERROR(__xludf.DUMMYFUNCTION("""COMPUTED_VALUE"""),0)</f>
        <v>0</v>
      </c>
      <c r="U12" s="140">
        <f ca="1">IFERROR(__xludf.DUMMYFUNCTION("""COMPUTED_VALUE"""),0)</f>
        <v>0</v>
      </c>
      <c r="V12" s="100"/>
      <c r="W12" s="140">
        <f ca="1">IFERROR(__xludf.DUMMYFUNCTION("""COMPUTED_VALUE"""),0)</f>
        <v>0</v>
      </c>
      <c r="X12" s="140">
        <f ca="1">IFERROR(__xludf.DUMMYFUNCTION("""COMPUTED_VALUE"""),0)</f>
        <v>0</v>
      </c>
      <c r="Y12" s="147">
        <f t="shared" ca="1" si="0"/>
        <v>0</v>
      </c>
    </row>
    <row r="13" spans="1:26" ht="15.75" customHeight="1" x14ac:dyDescent="0.25">
      <c r="A13" s="148" t="str">
        <f ca="1">IFERROR(__xludf.DUMMYFUNCTION("""COMPUTED_VALUE"""),"India ")</f>
        <v xml:space="preserve">India </v>
      </c>
      <c r="B13" s="81" t="str">
        <f ca="1">IFERROR(__xludf.DUMMYFUNCTION("""COMPUTED_VALUE"""),"ASSRA")</f>
        <v>ASSRA</v>
      </c>
      <c r="C13" s="81" t="str">
        <f ca="1">IFERROR(__xludf.DUMMYFUNCTION("""COMPUTED_VALUE"""),"Country Digital Product")</f>
        <v>Country Digital Product</v>
      </c>
      <c r="D13" s="140" t="str">
        <f ca="1">IFERROR(__xludf.DUMMYFUNCTION("""COMPUTED_VALUE""")," Product Management  ")</f>
        <v xml:space="preserve"> Product Management  </v>
      </c>
      <c r="E13" s="81" t="str">
        <f ca="1">IFERROR(__xludf.DUMMYFUNCTION("""COMPUTED_VALUE"""),"Direct Cost")</f>
        <v>Direct Cost</v>
      </c>
      <c r="F13" s="81" t="str">
        <f ca="1">IFERROR(__xludf.DUMMYFUNCTION("""COMPUTED_VALUE"""),"Supplies &amp; Printing Costs")</f>
        <v>Supplies &amp; Printing Costs</v>
      </c>
      <c r="G13" s="81" t="str">
        <f ca="1">IFERROR(__xludf.DUMMYFUNCTION("""COMPUTED_VALUE"""),"Other Direct Expenses")</f>
        <v>Other Direct Expenses</v>
      </c>
      <c r="H13" s="35">
        <f ca="1">IFERROR(__xludf.DUMMYFUNCTION("""COMPUTED_VALUE"""),93201)</f>
        <v>93201</v>
      </c>
      <c r="I13" s="167">
        <f ca="1">IFERROR(__xludf.DUMMYFUNCTION("""COMPUTED_VALUE"""),0)</f>
        <v>0</v>
      </c>
      <c r="J13" s="140"/>
      <c r="K13" s="140"/>
      <c r="L13" s="140"/>
      <c r="M13" s="143"/>
      <c r="N13" s="140"/>
      <c r="O13" s="140"/>
      <c r="P13" s="140"/>
      <c r="Q13" s="140"/>
      <c r="R13" s="140"/>
      <c r="S13" s="140"/>
      <c r="T13" s="140"/>
      <c r="U13" s="140"/>
      <c r="V13" s="100"/>
      <c r="W13" s="140">
        <f ca="1">IFERROR(__xludf.DUMMYFUNCTION("""COMPUTED_VALUE"""),0)</f>
        <v>0</v>
      </c>
      <c r="X13" s="140"/>
      <c r="Y13" s="147">
        <f t="shared" ca="1" si="0"/>
        <v>0</v>
      </c>
    </row>
    <row r="14" spans="1:26" ht="15.75" customHeight="1" x14ac:dyDescent="0.25">
      <c r="A14" s="148" t="str">
        <f ca="1">IFERROR(__xludf.DUMMYFUNCTION("""COMPUTED_VALUE"""),"India ")</f>
        <v xml:space="preserve">India </v>
      </c>
      <c r="B14" s="81" t="str">
        <f ca="1">IFERROR(__xludf.DUMMYFUNCTION("""COMPUTED_VALUE"""),"ASSRA")</f>
        <v>ASSRA</v>
      </c>
      <c r="C14" s="81" t="str">
        <f ca="1">IFERROR(__xludf.DUMMYFUNCTION("""COMPUTED_VALUE"""),"Country Digital Product")</f>
        <v>Country Digital Product</v>
      </c>
      <c r="D14" s="140" t="str">
        <f ca="1">IFERROR(__xludf.DUMMYFUNCTION("""COMPUTED_VALUE""")," Product Management  ")</f>
        <v xml:space="preserve"> Product Management  </v>
      </c>
      <c r="E14" s="81" t="str">
        <f ca="1">IFERROR(__xludf.DUMMYFUNCTION("""COMPUTED_VALUE"""),"Direct Cost")</f>
        <v>Direct Cost</v>
      </c>
      <c r="F14" s="81" t="str">
        <f ca="1">IFERROR(__xludf.DUMMYFUNCTION("""COMPUTED_VALUE"""),"Supplies &amp; Printing Costs")</f>
        <v>Supplies &amp; Printing Costs</v>
      </c>
      <c r="G14" s="81" t="str">
        <f ca="1">IFERROR(__xludf.DUMMYFUNCTION("""COMPUTED_VALUE"""),"Printing expenses")</f>
        <v>Printing expenses</v>
      </c>
      <c r="H14" s="35">
        <f ca="1">IFERROR(__xludf.DUMMYFUNCTION("""COMPUTED_VALUE"""),93204)</f>
        <v>93204</v>
      </c>
      <c r="I14" s="140">
        <f ca="1">IFERROR(__xludf.DUMMYFUNCTION("""COMPUTED_VALUE"""),0)</f>
        <v>0</v>
      </c>
      <c r="J14" s="140"/>
      <c r="K14" s="140"/>
      <c r="L14" s="140"/>
      <c r="M14" s="143"/>
      <c r="N14" s="140"/>
      <c r="O14" s="140"/>
      <c r="P14" s="140"/>
      <c r="Q14" s="140"/>
      <c r="R14" s="140"/>
      <c r="S14" s="140"/>
      <c r="T14" s="140"/>
      <c r="U14" s="140"/>
      <c r="V14" s="100"/>
      <c r="W14" s="140">
        <f ca="1">IFERROR(__xludf.DUMMYFUNCTION("""COMPUTED_VALUE"""),0)</f>
        <v>0</v>
      </c>
      <c r="X14" s="140"/>
      <c r="Y14" s="147">
        <f t="shared" ca="1" si="0"/>
        <v>0</v>
      </c>
    </row>
    <row r="15" spans="1:26" ht="15.75" customHeight="1" x14ac:dyDescent="0.25">
      <c r="A15" s="148" t="str">
        <f ca="1">IFERROR(__xludf.DUMMYFUNCTION("""COMPUTED_VALUE"""),"India ")</f>
        <v xml:space="preserve">India </v>
      </c>
      <c r="B15" s="81" t="str">
        <f ca="1">IFERROR(__xludf.DUMMYFUNCTION("""COMPUTED_VALUE"""),"ASSRA")</f>
        <v>ASSRA</v>
      </c>
      <c r="C15" s="81" t="str">
        <f ca="1">IFERROR(__xludf.DUMMYFUNCTION("""COMPUTED_VALUE"""),"Country Digital Product")</f>
        <v>Country Digital Product</v>
      </c>
      <c r="D15" s="140" t="str">
        <f ca="1">IFERROR(__xludf.DUMMYFUNCTION("""COMPUTED_VALUE""")," Product Management  ")</f>
        <v xml:space="preserve"> Product Management  </v>
      </c>
      <c r="E15" s="81" t="str">
        <f ca="1">IFERROR(__xludf.DUMMYFUNCTION("""COMPUTED_VALUE"""),"Direct Cost")</f>
        <v>Direct Cost</v>
      </c>
      <c r="F15" s="81" t="str">
        <f ca="1">IFERROR(__xludf.DUMMYFUNCTION("""COMPUTED_VALUE"""),"Communication Cost")</f>
        <v>Communication Cost</v>
      </c>
      <c r="G15" s="81" t="str">
        <f ca="1">IFERROR(__xludf.DUMMYFUNCTION("""COMPUTED_VALUE"""),"Internet Expenses")</f>
        <v>Internet Expenses</v>
      </c>
      <c r="H15" s="35">
        <f ca="1">IFERROR(__xludf.DUMMYFUNCTION("""COMPUTED_VALUE"""),93301)</f>
        <v>93301</v>
      </c>
      <c r="I15" s="140">
        <f ca="1">IFERROR(__xludf.DUMMYFUNCTION("""COMPUTED_VALUE"""),0)</f>
        <v>0</v>
      </c>
      <c r="J15" s="140"/>
      <c r="K15" s="140"/>
      <c r="L15" s="140"/>
      <c r="M15" s="143"/>
      <c r="N15" s="140"/>
      <c r="O15" s="140"/>
      <c r="P15" s="140"/>
      <c r="Q15" s="140"/>
      <c r="R15" s="140"/>
      <c r="S15" s="140"/>
      <c r="T15" s="140"/>
      <c r="U15" s="140"/>
      <c r="V15" s="100"/>
      <c r="W15" s="140">
        <f ca="1">IFERROR(__xludf.DUMMYFUNCTION("""COMPUTED_VALUE"""),0)</f>
        <v>0</v>
      </c>
      <c r="X15" s="140"/>
      <c r="Y15" s="147">
        <f t="shared" ca="1" si="0"/>
        <v>0</v>
      </c>
    </row>
    <row r="16" spans="1:26" ht="15.75" customHeight="1" x14ac:dyDescent="0.25">
      <c r="A16" s="148" t="str">
        <f ca="1">IFERROR(__xludf.DUMMYFUNCTION("""COMPUTED_VALUE"""),"India ")</f>
        <v xml:space="preserve">India </v>
      </c>
      <c r="B16" s="81" t="str">
        <f ca="1">IFERROR(__xludf.DUMMYFUNCTION("""COMPUTED_VALUE"""),"ASSRA")</f>
        <v>ASSRA</v>
      </c>
      <c r="C16" s="81" t="str">
        <f ca="1">IFERROR(__xludf.DUMMYFUNCTION("""COMPUTED_VALUE"""),"Country Digital Product")</f>
        <v>Country Digital Product</v>
      </c>
      <c r="D16" s="140" t="str">
        <f ca="1">IFERROR(__xludf.DUMMYFUNCTION("""COMPUTED_VALUE""")," Product Management  ")</f>
        <v xml:space="preserve"> Product Management  </v>
      </c>
      <c r="E16" s="81" t="str">
        <f ca="1">IFERROR(__xludf.DUMMYFUNCTION("""COMPUTED_VALUE"""),"Direct Cost")</f>
        <v>Direct Cost</v>
      </c>
      <c r="F16" s="81" t="str">
        <f ca="1">IFERROR(__xludf.DUMMYFUNCTION("""COMPUTED_VALUE"""),"Communication Cost")</f>
        <v>Communication Cost</v>
      </c>
      <c r="G16" s="81" t="str">
        <f ca="1">IFERROR(__xludf.DUMMYFUNCTION("""COMPUTED_VALUE"""),"Postage &amp; Courier Expenses")</f>
        <v>Postage &amp; Courier Expenses</v>
      </c>
      <c r="H16" s="35">
        <f ca="1">IFERROR(__xludf.DUMMYFUNCTION("""COMPUTED_VALUE"""),93302)</f>
        <v>93302</v>
      </c>
      <c r="I16" s="140">
        <f ca="1">IFERROR(__xludf.DUMMYFUNCTION("""COMPUTED_VALUE"""),0)</f>
        <v>0</v>
      </c>
      <c r="J16" s="140"/>
      <c r="K16" s="140"/>
      <c r="L16" s="140"/>
      <c r="M16" s="143"/>
      <c r="N16" s="140"/>
      <c r="O16" s="140"/>
      <c r="P16" s="140"/>
      <c r="Q16" s="140"/>
      <c r="R16" s="140"/>
      <c r="S16" s="140"/>
      <c r="T16" s="140"/>
      <c r="U16" s="140"/>
      <c r="V16" s="100"/>
      <c r="W16" s="140">
        <f ca="1">IFERROR(__xludf.DUMMYFUNCTION("""COMPUTED_VALUE"""),0)</f>
        <v>0</v>
      </c>
      <c r="X16" s="140"/>
      <c r="Y16" s="147">
        <f t="shared" ca="1" si="0"/>
        <v>0</v>
      </c>
    </row>
    <row r="17" spans="1:25" ht="15.75" customHeight="1" x14ac:dyDescent="0.25">
      <c r="A17" s="148" t="str">
        <f ca="1">IFERROR(__xludf.DUMMYFUNCTION("""COMPUTED_VALUE"""),"India ")</f>
        <v xml:space="preserve">India </v>
      </c>
      <c r="B17" s="81" t="str">
        <f ca="1">IFERROR(__xludf.DUMMYFUNCTION("""COMPUTED_VALUE"""),"ASSRA")</f>
        <v>ASSRA</v>
      </c>
      <c r="C17" s="81" t="str">
        <f ca="1">IFERROR(__xludf.DUMMYFUNCTION("""COMPUTED_VALUE"""),"Country Digital Product")</f>
        <v>Country Digital Product</v>
      </c>
      <c r="D17" s="140" t="str">
        <f ca="1">IFERROR(__xludf.DUMMYFUNCTION("""COMPUTED_VALUE""")," Product Management  ")</f>
        <v xml:space="preserve"> Product Management  </v>
      </c>
      <c r="E17" s="81" t="str">
        <f ca="1">IFERROR(__xludf.DUMMYFUNCTION("""COMPUTED_VALUE"""),"Direct Cost")</f>
        <v>Direct Cost</v>
      </c>
      <c r="F17" s="81" t="str">
        <f ca="1">IFERROR(__xludf.DUMMYFUNCTION("""COMPUTED_VALUE"""),"Communication Cost")</f>
        <v>Communication Cost</v>
      </c>
      <c r="G17" s="81" t="str">
        <f ca="1">IFERROR(__xludf.DUMMYFUNCTION("""COMPUTED_VALUE"""),"Telecommunication expenses")</f>
        <v>Telecommunication expenses</v>
      </c>
      <c r="H17" s="35">
        <f ca="1">IFERROR(__xludf.DUMMYFUNCTION("""COMPUTED_VALUE"""),93303)</f>
        <v>93303</v>
      </c>
      <c r="I17" s="140">
        <f ca="1">IFERROR(__xludf.DUMMYFUNCTION("""COMPUTED_VALUE"""),0)</f>
        <v>0</v>
      </c>
      <c r="J17" s="140"/>
      <c r="K17" s="140"/>
      <c r="L17" s="140"/>
      <c r="M17" s="143"/>
      <c r="N17" s="140"/>
      <c r="O17" s="140"/>
      <c r="P17" s="140"/>
      <c r="Q17" s="140"/>
      <c r="R17" s="140"/>
      <c r="S17" s="140"/>
      <c r="T17" s="140"/>
      <c r="U17" s="140"/>
      <c r="V17" s="100"/>
      <c r="W17" s="140">
        <f ca="1">IFERROR(__xludf.DUMMYFUNCTION("""COMPUTED_VALUE"""),0)</f>
        <v>0</v>
      </c>
      <c r="X17" s="140"/>
      <c r="Y17" s="147">
        <f t="shared" ca="1" si="0"/>
        <v>0</v>
      </c>
    </row>
    <row r="18" spans="1:25" ht="15.75" customHeight="1" x14ac:dyDescent="0.25">
      <c r="A18" s="148" t="str">
        <f ca="1">IFERROR(__xludf.DUMMYFUNCTION("""COMPUTED_VALUE"""),"India ")</f>
        <v xml:space="preserve">India </v>
      </c>
      <c r="B18" s="81" t="str">
        <f ca="1">IFERROR(__xludf.DUMMYFUNCTION("""COMPUTED_VALUE"""),"ASSRA")</f>
        <v>ASSRA</v>
      </c>
      <c r="C18" s="81" t="str">
        <f ca="1">IFERROR(__xludf.DUMMYFUNCTION("""COMPUTED_VALUE"""),"Country Digital Product")</f>
        <v>Country Digital Product</v>
      </c>
      <c r="D18" s="140" t="str">
        <f ca="1">IFERROR(__xludf.DUMMYFUNCTION("""COMPUTED_VALUE""")," Product Management  ")</f>
        <v xml:space="preserve"> Product Management  </v>
      </c>
      <c r="E18" s="81" t="str">
        <f ca="1">IFERROR(__xludf.DUMMYFUNCTION("""COMPUTED_VALUE"""),"Direct Cost")</f>
        <v>Direct Cost</v>
      </c>
      <c r="F18" s="81" t="str">
        <f ca="1">IFERROR(__xludf.DUMMYFUNCTION("""COMPUTED_VALUE"""),"Office Expenses")</f>
        <v>Office Expenses</v>
      </c>
      <c r="G18" s="81" t="str">
        <f ca="1">IFERROR(__xludf.DUMMYFUNCTION("""COMPUTED_VALUE"""),"Software and Subscriptions")</f>
        <v>Software and Subscriptions</v>
      </c>
      <c r="H18" s="35">
        <f ca="1">IFERROR(__xludf.DUMMYFUNCTION("""COMPUTED_VALUE"""),93401)</f>
        <v>93401</v>
      </c>
      <c r="I18" s="140">
        <f ca="1">IFERROR(__xludf.DUMMYFUNCTION("""COMPUTED_VALUE"""),0)</f>
        <v>0</v>
      </c>
      <c r="J18" s="140"/>
      <c r="K18" s="140"/>
      <c r="L18" s="140"/>
      <c r="M18" s="143"/>
      <c r="N18" s="140"/>
      <c r="O18" s="140"/>
      <c r="P18" s="140"/>
      <c r="Q18" s="140"/>
      <c r="R18" s="140"/>
      <c r="S18" s="140"/>
      <c r="T18" s="140"/>
      <c r="U18" s="140"/>
      <c r="V18" s="100"/>
      <c r="W18" s="140">
        <f ca="1">IFERROR(__xludf.DUMMYFUNCTION("""COMPUTED_VALUE"""),0)</f>
        <v>0</v>
      </c>
      <c r="X18" s="140"/>
      <c r="Y18" s="147">
        <f t="shared" ca="1" si="0"/>
        <v>0</v>
      </c>
    </row>
    <row r="19" spans="1:25" ht="15.75" customHeight="1" x14ac:dyDescent="0.25">
      <c r="A19" s="148" t="str">
        <f ca="1">IFERROR(__xludf.DUMMYFUNCTION("""COMPUTED_VALUE"""),"India ")</f>
        <v xml:space="preserve">India </v>
      </c>
      <c r="B19" s="81" t="str">
        <f ca="1">IFERROR(__xludf.DUMMYFUNCTION("""COMPUTED_VALUE"""),"ASSRA")</f>
        <v>ASSRA</v>
      </c>
      <c r="C19" s="81" t="str">
        <f ca="1">IFERROR(__xludf.DUMMYFUNCTION("""COMPUTED_VALUE"""),"Country Digital Product")</f>
        <v>Country Digital Product</v>
      </c>
      <c r="D19" s="140" t="str">
        <f ca="1">IFERROR(__xludf.DUMMYFUNCTION("""COMPUTED_VALUE""")," Product Management  ")</f>
        <v xml:space="preserve"> Product Management  </v>
      </c>
      <c r="E19" s="81" t="str">
        <f ca="1">IFERROR(__xludf.DUMMYFUNCTION("""COMPUTED_VALUE"""),"Direct Cost")</f>
        <v>Direct Cost</v>
      </c>
      <c r="F19" s="81" t="str">
        <f ca="1">IFERROR(__xludf.DUMMYFUNCTION("""COMPUTED_VALUE"""),"Office Expenses")</f>
        <v>Office Expenses</v>
      </c>
      <c r="G19" s="81" t="str">
        <f ca="1">IFERROR(__xludf.DUMMYFUNCTION("""COMPUTED_VALUE"""),"Stationery &amp; Consumables")</f>
        <v>Stationery &amp; Consumables</v>
      </c>
      <c r="H19" s="35">
        <f ca="1">IFERROR(__xludf.DUMMYFUNCTION("""COMPUTED_VALUE"""),93404)</f>
        <v>93404</v>
      </c>
      <c r="I19" s="140">
        <f ca="1">IFERROR(__xludf.DUMMYFUNCTION("""COMPUTED_VALUE"""),0)</f>
        <v>0</v>
      </c>
      <c r="J19" s="140"/>
      <c r="K19" s="140"/>
      <c r="L19" s="140"/>
      <c r="M19" s="143"/>
      <c r="N19" s="140"/>
      <c r="O19" s="140"/>
      <c r="P19" s="140"/>
      <c r="Q19" s="140"/>
      <c r="R19" s="140"/>
      <c r="S19" s="140"/>
      <c r="T19" s="140"/>
      <c r="U19" s="140"/>
      <c r="V19" s="100"/>
      <c r="W19" s="140">
        <f ca="1">IFERROR(__xludf.DUMMYFUNCTION("""COMPUTED_VALUE"""),0)</f>
        <v>0</v>
      </c>
      <c r="X19" s="140"/>
      <c r="Y19" s="147">
        <f t="shared" ca="1" si="0"/>
        <v>0</v>
      </c>
    </row>
    <row r="20" spans="1:25" ht="15.75" customHeight="1" x14ac:dyDescent="0.25">
      <c r="A20" s="148" t="str">
        <f ca="1">IFERROR(__xludf.DUMMYFUNCTION("""COMPUTED_VALUE"""),"India ")</f>
        <v xml:space="preserve">India </v>
      </c>
      <c r="B20" s="81" t="str">
        <f ca="1">IFERROR(__xludf.DUMMYFUNCTION("""COMPUTED_VALUE"""),"ASSRA")</f>
        <v>ASSRA</v>
      </c>
      <c r="C20" s="81" t="str">
        <f ca="1">IFERROR(__xludf.DUMMYFUNCTION("""COMPUTED_VALUE"""),"Country Digital Product")</f>
        <v>Country Digital Product</v>
      </c>
      <c r="D20" s="140" t="str">
        <f ca="1">IFERROR(__xludf.DUMMYFUNCTION("""COMPUTED_VALUE""")," Product Management  ")</f>
        <v xml:space="preserve"> Product Management  </v>
      </c>
      <c r="E20" s="81" t="str">
        <f ca="1">IFERROR(__xludf.DUMMYFUNCTION("""COMPUTED_VALUE"""),"Direct Cost")</f>
        <v>Direct Cost</v>
      </c>
      <c r="F20" s="81" t="str">
        <f ca="1">IFERROR(__xludf.DUMMYFUNCTION("""COMPUTED_VALUE"""),"Office Expenses")</f>
        <v>Office Expenses</v>
      </c>
      <c r="G20" s="81" t="str">
        <f ca="1">IFERROR(__xludf.DUMMYFUNCTION("""COMPUTED_VALUE"""),"Office Equipment Expense")</f>
        <v>Office Equipment Expense</v>
      </c>
      <c r="H20" s="35">
        <f ca="1">IFERROR(__xludf.DUMMYFUNCTION("""COMPUTED_VALUE"""),93405)</f>
        <v>93405</v>
      </c>
      <c r="I20" s="140">
        <f ca="1">IFERROR(__xludf.DUMMYFUNCTION("""COMPUTED_VALUE"""),0)</f>
        <v>0</v>
      </c>
      <c r="J20" s="140"/>
      <c r="K20" s="140"/>
      <c r="L20" s="140"/>
      <c r="M20" s="143"/>
      <c r="N20" s="140"/>
      <c r="O20" s="140"/>
      <c r="P20" s="140"/>
      <c r="Q20" s="140"/>
      <c r="R20" s="140"/>
      <c r="S20" s="140"/>
      <c r="T20" s="140"/>
      <c r="U20" s="140"/>
      <c r="V20" s="100"/>
      <c r="W20" s="140">
        <f ca="1">IFERROR(__xludf.DUMMYFUNCTION("""COMPUTED_VALUE"""),0)</f>
        <v>0</v>
      </c>
      <c r="X20" s="140"/>
      <c r="Y20" s="147">
        <f t="shared" ca="1" si="0"/>
        <v>0</v>
      </c>
    </row>
    <row r="21" spans="1:25" ht="15.75" customHeight="1" x14ac:dyDescent="0.25">
      <c r="A21" s="148" t="str">
        <f ca="1">IFERROR(__xludf.DUMMYFUNCTION("""COMPUTED_VALUE"""),"India ")</f>
        <v xml:space="preserve">India </v>
      </c>
      <c r="B21" s="81" t="str">
        <f ca="1">IFERROR(__xludf.DUMMYFUNCTION("""COMPUTED_VALUE"""),"ASSRA")</f>
        <v>ASSRA</v>
      </c>
      <c r="C21" s="81" t="str">
        <f ca="1">IFERROR(__xludf.DUMMYFUNCTION("""COMPUTED_VALUE"""),"Country Digital Product")</f>
        <v>Country Digital Product</v>
      </c>
      <c r="D21" s="140" t="str">
        <f ca="1">IFERROR(__xludf.DUMMYFUNCTION("""COMPUTED_VALUE""")," Product Management  ")</f>
        <v xml:space="preserve"> Product Management  </v>
      </c>
      <c r="E21" s="81" t="str">
        <f ca="1">IFERROR(__xludf.DUMMYFUNCTION("""COMPUTED_VALUE"""),"Indirect Cost")</f>
        <v>Indirect Cost</v>
      </c>
      <c r="F21" s="81" t="str">
        <f ca="1">IFERROR(__xludf.DUMMYFUNCTION("""COMPUTED_VALUE"""),"Professional &amp; Consultancy Charges")</f>
        <v>Professional &amp; Consultancy Charges</v>
      </c>
      <c r="G21" s="81" t="str">
        <f ca="1">IFERROR(__xludf.DUMMYFUNCTION("""COMPUTED_VALUE"""),"Admin Consultants")</f>
        <v>Admin Consultants</v>
      </c>
      <c r="H21" s="35">
        <f ca="1">IFERROR(__xludf.DUMMYFUNCTION("""COMPUTED_VALUE"""),93703)</f>
        <v>93703</v>
      </c>
      <c r="I21" s="140">
        <f ca="1">IFERROR(__xludf.DUMMYFUNCTION("""COMPUTED_VALUE"""),0)</f>
        <v>0</v>
      </c>
      <c r="J21" s="140"/>
      <c r="K21" s="140"/>
      <c r="L21" s="140"/>
      <c r="M21" s="143"/>
      <c r="N21" s="140"/>
      <c r="O21" s="140"/>
      <c r="P21" s="140"/>
      <c r="Q21" s="140"/>
      <c r="R21" s="140"/>
      <c r="S21" s="140"/>
      <c r="T21" s="140"/>
      <c r="U21" s="140"/>
      <c r="V21" s="100"/>
      <c r="W21" s="140">
        <f ca="1">IFERROR(__xludf.DUMMYFUNCTION("""COMPUTED_VALUE"""),0)</f>
        <v>0</v>
      </c>
      <c r="X21" s="140"/>
      <c r="Y21" s="147">
        <f t="shared" ca="1" si="0"/>
        <v>0</v>
      </c>
    </row>
    <row r="22" spans="1:25" ht="15.75" customHeight="1" x14ac:dyDescent="0.25">
      <c r="A22" s="148" t="str">
        <f ca="1">IFERROR(__xludf.DUMMYFUNCTION("""COMPUTED_VALUE"""),"India ")</f>
        <v xml:space="preserve">India </v>
      </c>
      <c r="B22" s="81" t="str">
        <f ca="1">IFERROR(__xludf.DUMMYFUNCTION("""COMPUTED_VALUE"""),"ASSRA")</f>
        <v>ASSRA</v>
      </c>
      <c r="C22" s="139" t="str">
        <f ca="1">IFERROR(__xludf.DUMMYFUNCTION("""COMPUTED_VALUE"""),"Country Digital Product")</f>
        <v>Country Digital Product</v>
      </c>
      <c r="D22" s="139" t="str">
        <f ca="1">IFERROR(__xludf.DUMMYFUNCTION("""COMPUTED_VALUE"""),"Product Management ")</f>
        <v xml:space="preserve">Product Management </v>
      </c>
      <c r="E22" s="81" t="str">
        <f ca="1">IFERROR(__xludf.DUMMYFUNCTION("""COMPUTED_VALUE"""),"Direct Cost")</f>
        <v>Direct Cost</v>
      </c>
      <c r="F22" s="81" t="str">
        <f ca="1">IFERROR(__xludf.DUMMYFUNCTION("""COMPUTED_VALUE"""),"Supplies &amp; Printing Costs")</f>
        <v>Supplies &amp; Printing Costs</v>
      </c>
      <c r="G22" s="81" t="str">
        <f ca="1">IFERROR(__xludf.DUMMYFUNCTION("""COMPUTED_VALUE"""),"RES (Exotel Expensess)")</f>
        <v>RES (Exotel Expensess)</v>
      </c>
      <c r="H22" s="35">
        <f ca="1">IFERROR(__xludf.DUMMYFUNCTION("""COMPUTED_VALUE"""),93202)</f>
        <v>93202</v>
      </c>
      <c r="I22" s="140">
        <f ca="1">IFERROR(__xludf.DUMMYFUNCTION("""COMPUTED_VALUE"""),0)</f>
        <v>0</v>
      </c>
      <c r="J22" s="140"/>
      <c r="K22" s="140"/>
      <c r="L22" s="140"/>
      <c r="M22" s="143"/>
      <c r="N22" s="140"/>
      <c r="O22" s="140"/>
      <c r="P22" s="140"/>
      <c r="Q22" s="140"/>
      <c r="R22" s="140"/>
      <c r="S22" s="140"/>
      <c r="T22" s="140"/>
      <c r="U22" s="140"/>
      <c r="V22" s="100"/>
      <c r="W22" s="140">
        <f ca="1">IFERROR(__xludf.DUMMYFUNCTION("""COMPUTED_VALUE"""),0)</f>
        <v>0</v>
      </c>
      <c r="X22" s="140"/>
      <c r="Y22" s="147">
        <f t="shared" ca="1" si="0"/>
        <v>0</v>
      </c>
    </row>
    <row r="23" spans="1:25" ht="15.75" customHeight="1" x14ac:dyDescent="0.25">
      <c r="A23" s="148" t="str">
        <f ca="1">IFERROR(__xludf.DUMMYFUNCTION("""COMPUTED_VALUE"""),"India")</f>
        <v>India</v>
      </c>
      <c r="B23" s="81" t="str">
        <f ca="1">IFERROR(__xludf.DUMMYFUNCTION("""COMPUTED_VALUE"""),"ASSRA")</f>
        <v>ASSRA</v>
      </c>
      <c r="C23" s="139" t="str">
        <f ca="1">IFERROR(__xludf.DUMMYFUNCTION("""COMPUTED_VALUE"""),"Country Digital Product")</f>
        <v>Country Digital Product</v>
      </c>
      <c r="D23" s="139" t="str">
        <f ca="1">IFERROR(__xludf.DUMMYFUNCTION("""COMPUTED_VALUE"""),"Product Management ")</f>
        <v xml:space="preserve">Product Management </v>
      </c>
      <c r="E23" s="81" t="str">
        <f ca="1">IFERROR(__xludf.DUMMYFUNCTION("""COMPUTED_VALUE"""),"Fixed Assets")</f>
        <v>Fixed Assets</v>
      </c>
      <c r="F23" s="81" t="str">
        <f ca="1">IFERROR(__xludf.DUMMYFUNCTION("""COMPUTED_VALUE"""),"Fixed Assets")</f>
        <v>Fixed Assets</v>
      </c>
      <c r="G23" s="81" t="str">
        <f ca="1">IFERROR(__xludf.DUMMYFUNCTION("""COMPUTED_VALUE"""),"Laptop/ Printer")</f>
        <v>Laptop/ Printer</v>
      </c>
      <c r="H23" s="35">
        <f ca="1">IFERROR(__xludf.DUMMYFUNCTION("""COMPUTED_VALUE"""),11301)</f>
        <v>11301</v>
      </c>
      <c r="I23" s="140">
        <f ca="1">IFERROR(__xludf.DUMMYFUNCTION("""COMPUTED_VALUE"""),0)</f>
        <v>0</v>
      </c>
      <c r="J23" s="140">
        <f ca="1">IFERROR(__xludf.DUMMYFUNCTION("""COMPUTED_VALUE"""),0)</f>
        <v>0</v>
      </c>
      <c r="K23" s="140">
        <f ca="1">IFERROR(__xludf.DUMMYFUNCTION("""COMPUTED_VALUE"""),0)</f>
        <v>0</v>
      </c>
      <c r="L23" s="140">
        <f ca="1">IFERROR(__xludf.DUMMYFUNCTION("""COMPUTED_VALUE"""),0)</f>
        <v>0</v>
      </c>
      <c r="M23" s="143">
        <f ca="1">IFERROR(__xludf.DUMMYFUNCTION("""COMPUTED_VALUE"""),0)</f>
        <v>0</v>
      </c>
      <c r="N23" s="140">
        <f ca="1">IFERROR(__xludf.DUMMYFUNCTION("""COMPUTED_VALUE"""),0)</f>
        <v>0</v>
      </c>
      <c r="O23" s="140">
        <f ca="1">IFERROR(__xludf.DUMMYFUNCTION("""COMPUTED_VALUE"""),0)</f>
        <v>0</v>
      </c>
      <c r="P23" s="140">
        <f ca="1">IFERROR(__xludf.DUMMYFUNCTION("""COMPUTED_VALUE"""),0)</f>
        <v>0</v>
      </c>
      <c r="Q23" s="140">
        <f ca="1">IFERROR(__xludf.DUMMYFUNCTION("""COMPUTED_VALUE"""),0)</f>
        <v>0</v>
      </c>
      <c r="R23" s="140">
        <f ca="1">IFERROR(__xludf.DUMMYFUNCTION("""COMPUTED_VALUE"""),0)</f>
        <v>0</v>
      </c>
      <c r="S23" s="140">
        <f ca="1">IFERROR(__xludf.DUMMYFUNCTION("""COMPUTED_VALUE"""),0)</f>
        <v>0</v>
      </c>
      <c r="T23" s="140">
        <f ca="1">IFERROR(__xludf.DUMMYFUNCTION("""COMPUTED_VALUE"""),0)</f>
        <v>0</v>
      </c>
      <c r="U23" s="140">
        <f ca="1">IFERROR(__xludf.DUMMYFUNCTION("""COMPUTED_VALUE"""),0)</f>
        <v>0</v>
      </c>
      <c r="V23" s="100"/>
      <c r="W23" s="140">
        <f ca="1">IFERROR(__xludf.DUMMYFUNCTION("""COMPUTED_VALUE"""),0)</f>
        <v>0</v>
      </c>
      <c r="X23" s="140">
        <f ca="1">IFERROR(__xludf.DUMMYFUNCTION("""COMPUTED_VALUE"""),0)</f>
        <v>0</v>
      </c>
      <c r="Y23" s="147">
        <f t="shared" ca="1" si="0"/>
        <v>0</v>
      </c>
    </row>
    <row r="24" spans="1:25" ht="15.75" customHeight="1" x14ac:dyDescent="0.3">
      <c r="A24" s="170"/>
      <c r="B24" s="170"/>
      <c r="C24" s="170"/>
      <c r="D24" s="171"/>
      <c r="E24" s="170"/>
      <c r="F24" s="170"/>
      <c r="G24" s="170"/>
      <c r="H24" s="170" t="str">
        <f ca="1">IFERROR(__xludf.DUMMYFUNCTION("""COMPUTED_VALUE"""),"Total")</f>
        <v>Total</v>
      </c>
      <c r="I24" s="171">
        <f ca="1">IFERROR(__xludf.DUMMYFUNCTION("""COMPUTED_VALUE"""),451493.679)</f>
        <v>451493.679</v>
      </c>
      <c r="J24" s="171">
        <f ca="1">IFERROR(__xludf.DUMMYFUNCTION("""COMPUTED_VALUE"""),150497.893)</f>
        <v>150497.89300000001</v>
      </c>
      <c r="K24" s="171">
        <f ca="1">IFERROR(__xludf.DUMMYFUNCTION("""COMPUTED_VALUE"""),150497.893)</f>
        <v>150497.89300000001</v>
      </c>
      <c r="L24" s="171">
        <f ca="1">IFERROR(__xludf.DUMMYFUNCTION("""COMPUTED_VALUE"""),150497.893)</f>
        <v>150497.89300000001</v>
      </c>
      <c r="M24" s="171">
        <f ca="1">IFERROR(__xludf.DUMMYFUNCTION("""COMPUTED_VALUE"""),0)</f>
        <v>0</v>
      </c>
      <c r="N24" s="171">
        <f ca="1">IFERROR(__xludf.DUMMYFUNCTION("""COMPUTED_VALUE"""),0)</f>
        <v>0</v>
      </c>
      <c r="O24" s="171">
        <f ca="1">IFERROR(__xludf.DUMMYFUNCTION("""COMPUTED_VALUE"""),0)</f>
        <v>0</v>
      </c>
      <c r="P24" s="171">
        <f ca="1">IFERROR(__xludf.DUMMYFUNCTION("""COMPUTED_VALUE"""),0)</f>
        <v>0</v>
      </c>
      <c r="Q24" s="171">
        <f ca="1">IFERROR(__xludf.DUMMYFUNCTION("""COMPUTED_VALUE"""),0)</f>
        <v>0</v>
      </c>
      <c r="R24" s="171">
        <f ca="1">IFERROR(__xludf.DUMMYFUNCTION("""COMPUTED_VALUE"""),0)</f>
        <v>0</v>
      </c>
      <c r="S24" s="171">
        <f ca="1">IFERROR(__xludf.DUMMYFUNCTION("""COMPUTED_VALUE"""),0)</f>
        <v>0</v>
      </c>
      <c r="T24" s="171">
        <f ca="1">IFERROR(__xludf.DUMMYFUNCTION("""COMPUTED_VALUE"""),0)</f>
        <v>0</v>
      </c>
      <c r="U24" s="171">
        <f ca="1">IFERROR(__xludf.DUMMYFUNCTION("""COMPUTED_VALUE"""),0)</f>
        <v>0</v>
      </c>
      <c r="V24" s="100">
        <f ca="1">IFERROR(__xludf.DUMMYFUNCTION("""COMPUTED_VALUE"""),2026)</f>
        <v>2026</v>
      </c>
      <c r="W24" s="171">
        <f ca="1">IFERROR(__xludf.DUMMYFUNCTION("""COMPUTED_VALUE"""),451493.679)</f>
        <v>451493.679</v>
      </c>
      <c r="X24" s="171">
        <f ca="1">IFERROR(__xludf.DUMMYFUNCTION("""COMPUTED_VALUE"""),0)</f>
        <v>0</v>
      </c>
    </row>
    <row r="25" spans="1:25" ht="15.75" customHeight="1" x14ac:dyDescent="0.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Y25" s="69">
        <f t="shared" ref="Y25:Y46" si="1">W25-I25</f>
        <v>0</v>
      </c>
    </row>
    <row r="26" spans="1:25" ht="15.75" customHeight="1" x14ac:dyDescent="0.25">
      <c r="A26" s="136" t="str">
        <f ca="1">IFERROR(__xludf.DUMMYFUNCTION("Importrange(""https://docs.google.com/spreadsheets/d/1lA67Nb6_3F461bsLex8MRl2H2xXEFwwxHQ_Cx-RUlr0/edit?gid=1196761225#"",""Summary!A3:X24"")"),"India ")</f>
        <v xml:space="preserve">India </v>
      </c>
      <c r="B26" s="81" t="str">
        <f ca="1">IFERROR(__xludf.DUMMYFUNCTION("""COMPUTED_VALUE"""),"Yosaid")</f>
        <v>Yosaid</v>
      </c>
      <c r="C26" s="139" t="str">
        <f ca="1">IFERROR(__xludf.DUMMYFUNCTION("""COMPUTED_VALUE"""),"Country Digital Product")</f>
        <v>Country Digital Product</v>
      </c>
      <c r="D26" s="139" t="str">
        <f ca="1">IFERROR(__xludf.DUMMYFUNCTION("""COMPUTED_VALUE"""),"Product Management ")</f>
        <v xml:space="preserve">Product Management </v>
      </c>
      <c r="E26" s="139" t="str">
        <f ca="1">IFERROR(__xludf.DUMMYFUNCTION("""COMPUTED_VALUE"""),"Payroll Cost")</f>
        <v>Payroll Cost</v>
      </c>
      <c r="F26" s="139" t="str">
        <f ca="1">IFERROR(__xludf.DUMMYFUNCTION("""COMPUTED_VALUE"""),"Salaries and Wages")</f>
        <v>Salaries and Wages</v>
      </c>
      <c r="G26" s="139" t="str">
        <f ca="1">IFERROR(__xludf.DUMMYFUNCTION("""COMPUTED_VALUE"""),"Salaries and Wages")</f>
        <v>Salaries and Wages</v>
      </c>
      <c r="H26" s="141" t="str">
        <f ca="1">IFERROR(__xludf.DUMMYFUNCTION("""COMPUTED_VALUE"""),"91101-91107")</f>
        <v>91101-91107</v>
      </c>
      <c r="I26" s="140">
        <f ca="1">IFERROR(__xludf.DUMMYFUNCTION("""COMPUTED_VALUE"""),16607391.2224999)</f>
        <v>16607391.2224999</v>
      </c>
      <c r="J26" s="140">
        <f ca="1">IFERROR(__xludf.DUMMYFUNCTION("""COMPUTED_VALUE"""),1519307.57666666)</f>
        <v>1519307.5766666599</v>
      </c>
      <c r="K26" s="140">
        <f ca="1">IFERROR(__xludf.DUMMYFUNCTION("""COMPUTED_VALUE"""),1519307.57666666)</f>
        <v>1519307.5766666599</v>
      </c>
      <c r="L26" s="140">
        <f ca="1">IFERROR(__xludf.DUMMYFUNCTION("""COMPUTED_VALUE"""),1519307.57666666)</f>
        <v>1519307.5766666599</v>
      </c>
      <c r="M26" s="140">
        <f ca="1">IFERROR(__xludf.DUMMYFUNCTION("""COMPUTED_VALUE"""),1338829.8325)</f>
        <v>1338829.8325</v>
      </c>
      <c r="N26" s="140">
        <f ca="1">IFERROR(__xludf.DUMMYFUNCTION("""COMPUTED_VALUE"""),1338829.8325)</f>
        <v>1338829.8325</v>
      </c>
      <c r="O26" s="140">
        <f ca="1">IFERROR(__xludf.DUMMYFUNCTION("""COMPUTED_VALUE"""),1338829.8325)</f>
        <v>1338829.8325</v>
      </c>
      <c r="P26" s="140">
        <f ca="1">IFERROR(__xludf.DUMMYFUNCTION("""COMPUTED_VALUE"""),1338829.8325)</f>
        <v>1338829.8325</v>
      </c>
      <c r="Q26" s="140">
        <f ca="1">IFERROR(__xludf.DUMMYFUNCTION("""COMPUTED_VALUE"""),1338829.8325)</f>
        <v>1338829.8325</v>
      </c>
      <c r="R26" s="140">
        <f ca="1">IFERROR(__xludf.DUMMYFUNCTION("""COMPUTED_VALUE"""),1338829.8325)</f>
        <v>1338829.8325</v>
      </c>
      <c r="S26" s="140">
        <f ca="1">IFERROR(__xludf.DUMMYFUNCTION("""COMPUTED_VALUE"""),1338829.8325)</f>
        <v>1338829.8325</v>
      </c>
      <c r="T26" s="140">
        <f ca="1">IFERROR(__xludf.DUMMYFUNCTION("""COMPUTED_VALUE"""),1338829.8325)</f>
        <v>1338829.8325</v>
      </c>
      <c r="U26" s="140">
        <f ca="1">IFERROR(__xludf.DUMMYFUNCTION("""COMPUTED_VALUE"""),1338829.8325)</f>
        <v>1338829.8325</v>
      </c>
      <c r="V26" s="100"/>
      <c r="W26" s="140">
        <f ca="1">IFERROR(__xludf.DUMMYFUNCTION("""COMPUTED_VALUE"""),16607391.2224999)</f>
        <v>16607391.2224999</v>
      </c>
      <c r="X26" s="140">
        <f ca="1">IFERROR(__xludf.DUMMYFUNCTION("""COMPUTED_VALUE"""),0)</f>
        <v>0</v>
      </c>
      <c r="Y26" s="147">
        <f t="shared" ca="1" si="1"/>
        <v>0</v>
      </c>
    </row>
    <row r="27" spans="1:25" ht="15.75" customHeight="1" x14ac:dyDescent="0.25">
      <c r="A27" s="148" t="str">
        <f ca="1">IFERROR(__xludf.DUMMYFUNCTION("""COMPUTED_VALUE"""),"India ")</f>
        <v xml:space="preserve">India </v>
      </c>
      <c r="B27" s="81" t="str">
        <f ca="1">IFERROR(__xludf.DUMMYFUNCTION("""COMPUTED_VALUE"""),"Yosaid")</f>
        <v>Yosaid</v>
      </c>
      <c r="C27" s="139" t="str">
        <f ca="1">IFERROR(__xludf.DUMMYFUNCTION("""COMPUTED_VALUE"""),"Country Digital Product")</f>
        <v>Country Digital Product</v>
      </c>
      <c r="D27" s="139" t="str">
        <f ca="1">IFERROR(__xludf.DUMMYFUNCTION("""COMPUTED_VALUE"""),"Product Management ")</f>
        <v xml:space="preserve">Product Management </v>
      </c>
      <c r="E27" s="139" t="str">
        <f ca="1">IFERROR(__xludf.DUMMYFUNCTION("""COMPUTED_VALUE"""),"Payroll Cost")</f>
        <v>Payroll Cost</v>
      </c>
      <c r="F27" s="139" t="str">
        <f ca="1">IFERROR(__xludf.DUMMYFUNCTION("""COMPUTED_VALUE"""),"Health and Retirement Benefits")</f>
        <v>Health and Retirement Benefits</v>
      </c>
      <c r="G27" s="139" t="str">
        <f ca="1">IFERROR(__xludf.DUMMYFUNCTION("""COMPUTED_VALUE"""),"Gratuity &amp; Bonus")</f>
        <v>Gratuity &amp; Bonus</v>
      </c>
      <c r="H27" s="141" t="str">
        <f ca="1">IFERROR(__xludf.DUMMYFUNCTION("""COMPUTED_VALUE"""),"91201-91207")</f>
        <v>91201-91207</v>
      </c>
      <c r="I27" s="140">
        <f ca="1">IFERROR(__xludf.DUMMYFUNCTION("""COMPUTED_VALUE"""),1593093.4)</f>
        <v>1593093.4</v>
      </c>
      <c r="J27" s="140">
        <f ca="1">IFERROR(__xludf.DUMMYFUNCTION("""COMPUTED_VALUE"""),129730)</f>
        <v>129730</v>
      </c>
      <c r="K27" s="140">
        <f ca="1">IFERROR(__xludf.DUMMYFUNCTION("""COMPUTED_VALUE"""),72836.4)</f>
        <v>72836.399999999994</v>
      </c>
      <c r="L27" s="140">
        <f ca="1">IFERROR(__xludf.DUMMYFUNCTION("""COMPUTED_VALUE"""),1322800)</f>
        <v>1322800</v>
      </c>
      <c r="M27" s="140">
        <f ca="1">IFERROR(__xludf.DUMMYFUNCTION("""COMPUTED_VALUE"""),0)</f>
        <v>0</v>
      </c>
      <c r="N27" s="140">
        <f ca="1">IFERROR(__xludf.DUMMYFUNCTION("""COMPUTED_VALUE"""),0)</f>
        <v>0</v>
      </c>
      <c r="O27" s="140">
        <f ca="1">IFERROR(__xludf.DUMMYFUNCTION("""COMPUTED_VALUE"""),0)</f>
        <v>0</v>
      </c>
      <c r="P27" s="140">
        <f ca="1">IFERROR(__xludf.DUMMYFUNCTION("""COMPUTED_VALUE"""),0)</f>
        <v>0</v>
      </c>
      <c r="Q27" s="140">
        <f ca="1">IFERROR(__xludf.DUMMYFUNCTION("""COMPUTED_VALUE"""),0)</f>
        <v>0</v>
      </c>
      <c r="R27" s="140">
        <f ca="1">IFERROR(__xludf.DUMMYFUNCTION("""COMPUTED_VALUE"""),0)</f>
        <v>0</v>
      </c>
      <c r="S27" s="140">
        <f ca="1">IFERROR(__xludf.DUMMYFUNCTION("""COMPUTED_VALUE"""),0)</f>
        <v>0</v>
      </c>
      <c r="T27" s="140">
        <f ca="1">IFERROR(__xludf.DUMMYFUNCTION("""COMPUTED_VALUE"""),67727)</f>
        <v>67727</v>
      </c>
      <c r="U27" s="140">
        <f ca="1">IFERROR(__xludf.DUMMYFUNCTION("""COMPUTED_VALUE"""),0)</f>
        <v>0</v>
      </c>
      <c r="V27" s="100"/>
      <c r="W27" s="140">
        <f ca="1">IFERROR(__xludf.DUMMYFUNCTION("""COMPUTED_VALUE"""),1593093.4)</f>
        <v>1593093.4</v>
      </c>
      <c r="X27" s="140">
        <f ca="1">IFERROR(__xludf.DUMMYFUNCTION("""COMPUTED_VALUE"""),0)</f>
        <v>0</v>
      </c>
      <c r="Y27" s="147">
        <f t="shared" ca="1" si="1"/>
        <v>0</v>
      </c>
    </row>
    <row r="28" spans="1:25" ht="15.75" customHeight="1" x14ac:dyDescent="0.25">
      <c r="A28" s="148" t="str">
        <f ca="1">IFERROR(__xludf.DUMMYFUNCTION("""COMPUTED_VALUE"""),"India ")</f>
        <v xml:space="preserve">India </v>
      </c>
      <c r="B28" s="81" t="str">
        <f ca="1">IFERROR(__xludf.DUMMYFUNCTION("""COMPUTED_VALUE"""),"Yosaid")</f>
        <v>Yosaid</v>
      </c>
      <c r="C28" s="139" t="str">
        <f ca="1">IFERROR(__xludf.DUMMYFUNCTION("""COMPUTED_VALUE"""),"Country Digital Product")</f>
        <v>Country Digital Product</v>
      </c>
      <c r="D28" s="139" t="str">
        <f ca="1">IFERROR(__xludf.DUMMYFUNCTION("""COMPUTED_VALUE"""),"Product Management ")</f>
        <v xml:space="preserve">Product Management </v>
      </c>
      <c r="E28" s="139" t="str">
        <f ca="1">IFERROR(__xludf.DUMMYFUNCTION("""COMPUTED_VALUE"""),"Payroll Cost")</f>
        <v>Payroll Cost</v>
      </c>
      <c r="F28" s="139" t="str">
        <f ca="1">IFERROR(__xludf.DUMMYFUNCTION("""COMPUTED_VALUE"""),"Other Staff Expenses")</f>
        <v>Other Staff Expenses</v>
      </c>
      <c r="G28" s="139" t="str">
        <f ca="1">IFERROR(__xludf.DUMMYFUNCTION("""COMPUTED_VALUE"""),"Staff Training, Learning &amp; Development Exp")</f>
        <v>Staff Training, Learning &amp; Development Exp</v>
      </c>
      <c r="H28" s="141">
        <f ca="1">IFERROR(__xludf.DUMMYFUNCTION("""COMPUTED_VALUE"""),91302)</f>
        <v>91302</v>
      </c>
      <c r="I28" s="140">
        <f ca="1">IFERROR(__xludf.DUMMYFUNCTION("""COMPUTED_VALUE"""),0)</f>
        <v>0</v>
      </c>
      <c r="J28" s="140">
        <f ca="1">IFERROR(__xludf.DUMMYFUNCTION("""COMPUTED_VALUE"""),0)</f>
        <v>0</v>
      </c>
      <c r="K28" s="140">
        <f ca="1">IFERROR(__xludf.DUMMYFUNCTION("""COMPUTED_VALUE"""),0)</f>
        <v>0</v>
      </c>
      <c r="L28" s="140">
        <f ca="1">IFERROR(__xludf.DUMMYFUNCTION("""COMPUTED_VALUE"""),0)</f>
        <v>0</v>
      </c>
      <c r="M28" s="140">
        <f ca="1">IFERROR(__xludf.DUMMYFUNCTION("""COMPUTED_VALUE"""),0)</f>
        <v>0</v>
      </c>
      <c r="N28" s="140">
        <f ca="1">IFERROR(__xludf.DUMMYFUNCTION("""COMPUTED_VALUE"""),0)</f>
        <v>0</v>
      </c>
      <c r="O28" s="140">
        <f ca="1">IFERROR(__xludf.DUMMYFUNCTION("""COMPUTED_VALUE"""),0)</f>
        <v>0</v>
      </c>
      <c r="P28" s="140">
        <f ca="1">IFERROR(__xludf.DUMMYFUNCTION("""COMPUTED_VALUE"""),0)</f>
        <v>0</v>
      </c>
      <c r="Q28" s="140">
        <f ca="1">IFERROR(__xludf.DUMMYFUNCTION("""COMPUTED_VALUE"""),0)</f>
        <v>0</v>
      </c>
      <c r="R28" s="140">
        <f ca="1">IFERROR(__xludf.DUMMYFUNCTION("""COMPUTED_VALUE"""),0)</f>
        <v>0</v>
      </c>
      <c r="S28" s="140">
        <f ca="1">IFERROR(__xludf.DUMMYFUNCTION("""COMPUTED_VALUE"""),0)</f>
        <v>0</v>
      </c>
      <c r="T28" s="140">
        <f ca="1">IFERROR(__xludf.DUMMYFUNCTION("""COMPUTED_VALUE"""),0)</f>
        <v>0</v>
      </c>
      <c r="U28" s="140">
        <f ca="1">IFERROR(__xludf.DUMMYFUNCTION("""COMPUTED_VALUE"""),0)</f>
        <v>0</v>
      </c>
      <c r="V28" s="100"/>
      <c r="W28" s="140">
        <f ca="1">IFERROR(__xludf.DUMMYFUNCTION("""COMPUTED_VALUE"""),0)</f>
        <v>0</v>
      </c>
      <c r="X28" s="140">
        <f ca="1">IFERROR(__xludf.DUMMYFUNCTION("""COMPUTED_VALUE"""),0)</f>
        <v>0</v>
      </c>
      <c r="Y28" s="147">
        <f t="shared" ca="1" si="1"/>
        <v>0</v>
      </c>
    </row>
    <row r="29" spans="1:25" ht="15.75" customHeight="1" x14ac:dyDescent="0.25">
      <c r="A29" s="148" t="str">
        <f ca="1">IFERROR(__xludf.DUMMYFUNCTION("""COMPUTED_VALUE"""),"India ")</f>
        <v xml:space="preserve">India </v>
      </c>
      <c r="B29" s="81" t="str">
        <f ca="1">IFERROR(__xludf.DUMMYFUNCTION("""COMPUTED_VALUE"""),"Yosaid")</f>
        <v>Yosaid</v>
      </c>
      <c r="C29" s="139" t="str">
        <f ca="1">IFERROR(__xludf.DUMMYFUNCTION("""COMPUTED_VALUE"""),"Country Digital Product")</f>
        <v>Country Digital Product</v>
      </c>
      <c r="D29" s="139" t="str">
        <f ca="1">IFERROR(__xludf.DUMMYFUNCTION("""COMPUTED_VALUE"""),"Product Management ")</f>
        <v xml:space="preserve">Product Management </v>
      </c>
      <c r="E29" s="139" t="str">
        <f ca="1">IFERROR(__xludf.DUMMYFUNCTION("""COMPUTED_VALUE"""),"Direct Consultants")</f>
        <v>Direct Consultants</v>
      </c>
      <c r="F29" s="139" t="str">
        <f ca="1">IFERROR(__xludf.DUMMYFUNCTION("""COMPUTED_VALUE"""),"Resource Persons")</f>
        <v>Resource Persons</v>
      </c>
      <c r="G29" s="139" t="str">
        <f ca="1">IFERROR(__xludf.DUMMYFUNCTION("""COMPUTED_VALUE"""),"Program Resource Consultant (EHA)")</f>
        <v>Program Resource Consultant (EHA)</v>
      </c>
      <c r="H29" s="141">
        <f ca="1">IFERROR(__xludf.DUMMYFUNCTION("""COMPUTED_VALUE"""),92101)</f>
        <v>92101</v>
      </c>
      <c r="I29" s="140">
        <f ca="1">IFERROR(__xludf.DUMMYFUNCTION("""COMPUTED_VALUE"""),3061126.2)</f>
        <v>3061126.2</v>
      </c>
      <c r="J29" s="140">
        <f ca="1">IFERROR(__xludf.DUMMYFUNCTION("""COMPUTED_VALUE"""),674946.6)</f>
        <v>674946.6</v>
      </c>
      <c r="K29" s="140">
        <f ca="1">IFERROR(__xludf.DUMMYFUNCTION("""COMPUTED_VALUE"""),265209.6)</f>
        <v>265209.59999999998</v>
      </c>
      <c r="L29" s="140">
        <f ca="1">IFERROR(__xludf.DUMMYFUNCTION("""COMPUTED_VALUE"""),265209.6)</f>
        <v>265209.59999999998</v>
      </c>
      <c r="M29" s="140">
        <f ca="1">IFERROR(__xludf.DUMMYFUNCTION("""COMPUTED_VALUE"""),206195.6)</f>
        <v>206195.6</v>
      </c>
      <c r="N29" s="140">
        <f ca="1">IFERROR(__xludf.DUMMYFUNCTION("""COMPUTED_VALUE"""),206195.6)</f>
        <v>206195.6</v>
      </c>
      <c r="O29" s="140">
        <f ca="1">IFERROR(__xludf.DUMMYFUNCTION("""COMPUTED_VALUE"""),206195.6)</f>
        <v>206195.6</v>
      </c>
      <c r="P29" s="140">
        <f ca="1">IFERROR(__xludf.DUMMYFUNCTION("""COMPUTED_VALUE"""),206195.6)</f>
        <v>206195.6</v>
      </c>
      <c r="Q29" s="140">
        <f ca="1">IFERROR(__xludf.DUMMYFUNCTION("""COMPUTED_VALUE"""),206195.6)</f>
        <v>206195.6</v>
      </c>
      <c r="R29" s="140">
        <f ca="1">IFERROR(__xludf.DUMMYFUNCTION("""COMPUTED_VALUE"""),206195.6)</f>
        <v>206195.6</v>
      </c>
      <c r="S29" s="140">
        <f ca="1">IFERROR(__xludf.DUMMYFUNCTION("""COMPUTED_VALUE"""),206195.6)</f>
        <v>206195.6</v>
      </c>
      <c r="T29" s="140">
        <f ca="1">IFERROR(__xludf.DUMMYFUNCTION("""COMPUTED_VALUE"""),206195.6)</f>
        <v>206195.6</v>
      </c>
      <c r="U29" s="140">
        <f ca="1">IFERROR(__xludf.DUMMYFUNCTION("""COMPUTED_VALUE"""),206195.6)</f>
        <v>206195.6</v>
      </c>
      <c r="V29" s="100"/>
      <c r="W29" s="140">
        <f ca="1">IFERROR(__xludf.DUMMYFUNCTION("""COMPUTED_VALUE"""),3061126.19999999)</f>
        <v>3061126.1999999899</v>
      </c>
      <c r="X29" s="140">
        <f ca="1">IFERROR(__xludf.DUMMYFUNCTION("""COMPUTED_VALUE"""),0)</f>
        <v>0</v>
      </c>
      <c r="Y29" s="147">
        <f t="shared" ca="1" si="1"/>
        <v>-1.0244548320770264E-8</v>
      </c>
    </row>
    <row r="30" spans="1:25" ht="15.75" customHeight="1" x14ac:dyDescent="0.25">
      <c r="A30" s="148" t="str">
        <f ca="1">IFERROR(__xludf.DUMMYFUNCTION("""COMPUTED_VALUE"""),"India ")</f>
        <v xml:space="preserve">India </v>
      </c>
      <c r="B30" s="81" t="str">
        <f ca="1">IFERROR(__xludf.DUMMYFUNCTION("""COMPUTED_VALUE"""),"Yosaid")</f>
        <v>Yosaid</v>
      </c>
      <c r="C30" s="139" t="str">
        <f ca="1">IFERROR(__xludf.DUMMYFUNCTION("""COMPUTED_VALUE"""),"Country Digital Product")</f>
        <v>Country Digital Product</v>
      </c>
      <c r="D30" s="140" t="str">
        <f ca="1">IFERROR(__xludf.DUMMYFUNCTION("""COMPUTED_VALUE""")," Product Management  ")</f>
        <v xml:space="preserve"> Product Management  </v>
      </c>
      <c r="E30" s="139" t="str">
        <f ca="1">IFERROR(__xludf.DUMMYFUNCTION("""COMPUTED_VALUE"""),"Direct Cost")</f>
        <v>Direct Cost</v>
      </c>
      <c r="F30" s="139" t="str">
        <f ca="1">IFERROR(__xludf.DUMMYFUNCTION("""COMPUTED_VALUE"""),"Travel &amp; Lodging Expenses")</f>
        <v>Travel &amp; Lodging Expenses</v>
      </c>
      <c r="G30" s="139" t="str">
        <f ca="1">IFERROR(__xludf.DUMMYFUNCTION("""COMPUTED_VALUE"""),"Hotel Accomodation")</f>
        <v>Hotel Accomodation</v>
      </c>
      <c r="H30" s="141">
        <f ca="1">IFERROR(__xludf.DUMMYFUNCTION("""COMPUTED_VALUE"""),93101)</f>
        <v>93101</v>
      </c>
      <c r="I30" s="140">
        <f ca="1">IFERROR(__xludf.DUMMYFUNCTION("""COMPUTED_VALUE"""),47250)</f>
        <v>47250</v>
      </c>
      <c r="J30" s="140">
        <f ca="1">IFERROR(__xludf.DUMMYFUNCTION("""COMPUTED_VALUE"""),0)</f>
        <v>0</v>
      </c>
      <c r="K30" s="140">
        <f ca="1">IFERROR(__xludf.DUMMYFUNCTION("""COMPUTED_VALUE"""),0)</f>
        <v>0</v>
      </c>
      <c r="L30" s="140">
        <f ca="1">IFERROR(__xludf.DUMMYFUNCTION("""COMPUTED_VALUE"""),10500)</f>
        <v>10500</v>
      </c>
      <c r="M30" s="140">
        <f ca="1">IFERROR(__xludf.DUMMYFUNCTION("""COMPUTED_VALUE"""),26250)</f>
        <v>26250</v>
      </c>
      <c r="N30" s="140">
        <f ca="1">IFERROR(__xludf.DUMMYFUNCTION("""COMPUTED_VALUE"""),0)</f>
        <v>0</v>
      </c>
      <c r="O30" s="140">
        <f ca="1">IFERROR(__xludf.DUMMYFUNCTION("""COMPUTED_VALUE"""),0)</f>
        <v>0</v>
      </c>
      <c r="P30" s="140">
        <f ca="1">IFERROR(__xludf.DUMMYFUNCTION("""COMPUTED_VALUE"""),0)</f>
        <v>0</v>
      </c>
      <c r="Q30" s="140">
        <f ca="1">IFERROR(__xludf.DUMMYFUNCTION("""COMPUTED_VALUE"""),10500)</f>
        <v>10500</v>
      </c>
      <c r="R30" s="140">
        <f ca="1">IFERROR(__xludf.DUMMYFUNCTION("""COMPUTED_VALUE"""),0)</f>
        <v>0</v>
      </c>
      <c r="S30" s="140">
        <f ca="1">IFERROR(__xludf.DUMMYFUNCTION("""COMPUTED_VALUE"""),0)</f>
        <v>0</v>
      </c>
      <c r="T30" s="140">
        <f ca="1">IFERROR(__xludf.DUMMYFUNCTION("""COMPUTED_VALUE"""),0)</f>
        <v>0</v>
      </c>
      <c r="U30" s="140">
        <f ca="1">IFERROR(__xludf.DUMMYFUNCTION("""COMPUTED_VALUE"""),0)</f>
        <v>0</v>
      </c>
      <c r="V30" s="100"/>
      <c r="W30" s="140">
        <f ca="1">IFERROR(__xludf.DUMMYFUNCTION("""COMPUTED_VALUE"""),47250)</f>
        <v>47250</v>
      </c>
      <c r="X30" s="140"/>
      <c r="Y30" s="147">
        <f t="shared" ca="1" si="1"/>
        <v>0</v>
      </c>
    </row>
    <row r="31" spans="1:25" ht="15.75" customHeight="1" x14ac:dyDescent="0.25">
      <c r="A31" s="148" t="str">
        <f ca="1">IFERROR(__xludf.DUMMYFUNCTION("""COMPUTED_VALUE"""),"India ")</f>
        <v xml:space="preserve">India </v>
      </c>
      <c r="B31" s="81" t="str">
        <f ca="1">IFERROR(__xludf.DUMMYFUNCTION("""COMPUTED_VALUE"""),"Yosaid")</f>
        <v>Yosaid</v>
      </c>
      <c r="C31" s="139" t="str">
        <f ca="1">IFERROR(__xludf.DUMMYFUNCTION("""COMPUTED_VALUE"""),"Country Digital Product")</f>
        <v>Country Digital Product</v>
      </c>
      <c r="D31" s="140" t="str">
        <f ca="1">IFERROR(__xludf.DUMMYFUNCTION("""COMPUTED_VALUE""")," Product Management  ")</f>
        <v xml:space="preserve"> Product Management  </v>
      </c>
      <c r="E31" s="139" t="str">
        <f ca="1">IFERROR(__xludf.DUMMYFUNCTION("""COMPUTED_VALUE"""),"Direct Cost")</f>
        <v>Direct Cost</v>
      </c>
      <c r="F31" s="139" t="str">
        <f ca="1">IFERROR(__xludf.DUMMYFUNCTION("""COMPUTED_VALUE"""),"Travel &amp; Lodging Expenses")</f>
        <v>Travel &amp; Lodging Expenses</v>
      </c>
      <c r="G31" s="139" t="str">
        <f ca="1">IFERROR(__xludf.DUMMYFUNCTION("""COMPUTED_VALUE"""),"Food Expenses")</f>
        <v>Food Expenses</v>
      </c>
      <c r="H31" s="141">
        <f ca="1">IFERROR(__xludf.DUMMYFUNCTION("""COMPUTED_VALUE"""),93102)</f>
        <v>93102</v>
      </c>
      <c r="I31" s="140">
        <f ca="1">IFERROR(__xludf.DUMMYFUNCTION("""COMPUTED_VALUE"""),25500)</f>
        <v>25500</v>
      </c>
      <c r="J31" s="140">
        <f ca="1">IFERROR(__xludf.DUMMYFUNCTION("""COMPUTED_VALUE"""),0)</f>
        <v>0</v>
      </c>
      <c r="K31" s="140">
        <f ca="1">IFERROR(__xludf.DUMMYFUNCTION("""COMPUTED_VALUE"""),3000)</f>
        <v>3000</v>
      </c>
      <c r="L31" s="140">
        <f ca="1">IFERROR(__xludf.DUMMYFUNCTION("""COMPUTED_VALUE"""),6000)</f>
        <v>6000</v>
      </c>
      <c r="M31" s="140">
        <f ca="1">IFERROR(__xludf.DUMMYFUNCTION("""COMPUTED_VALUE"""),7500)</f>
        <v>7500</v>
      </c>
      <c r="N31" s="140">
        <f ca="1">IFERROR(__xludf.DUMMYFUNCTION("""COMPUTED_VALUE"""),0)</f>
        <v>0</v>
      </c>
      <c r="O31" s="140">
        <f ca="1">IFERROR(__xludf.DUMMYFUNCTION("""COMPUTED_VALUE"""),0)</f>
        <v>0</v>
      </c>
      <c r="P31" s="140">
        <f ca="1">IFERROR(__xludf.DUMMYFUNCTION("""COMPUTED_VALUE"""),0)</f>
        <v>0</v>
      </c>
      <c r="Q31" s="140">
        <f ca="1">IFERROR(__xludf.DUMMYFUNCTION("""COMPUTED_VALUE"""),6000)</f>
        <v>6000</v>
      </c>
      <c r="R31" s="140">
        <f ca="1">IFERROR(__xludf.DUMMYFUNCTION("""COMPUTED_VALUE"""),3000)</f>
        <v>3000</v>
      </c>
      <c r="S31" s="140">
        <f ca="1">IFERROR(__xludf.DUMMYFUNCTION("""COMPUTED_VALUE"""),0)</f>
        <v>0</v>
      </c>
      <c r="T31" s="140">
        <f ca="1">IFERROR(__xludf.DUMMYFUNCTION("""COMPUTED_VALUE"""),0)</f>
        <v>0</v>
      </c>
      <c r="U31" s="140">
        <f ca="1">IFERROR(__xludf.DUMMYFUNCTION("""COMPUTED_VALUE"""),0)</f>
        <v>0</v>
      </c>
      <c r="V31" s="100"/>
      <c r="W31" s="140">
        <f ca="1">IFERROR(__xludf.DUMMYFUNCTION("""COMPUTED_VALUE"""),25500)</f>
        <v>25500</v>
      </c>
      <c r="X31" s="140"/>
      <c r="Y31" s="147">
        <f t="shared" ca="1" si="1"/>
        <v>0</v>
      </c>
    </row>
    <row r="32" spans="1:25" ht="15.75" customHeight="1" x14ac:dyDescent="0.25">
      <c r="A32" s="148" t="str">
        <f ca="1">IFERROR(__xludf.DUMMYFUNCTION("""COMPUTED_VALUE"""),"India ")</f>
        <v xml:space="preserve">India </v>
      </c>
      <c r="B32" s="81" t="str">
        <f ca="1">IFERROR(__xludf.DUMMYFUNCTION("""COMPUTED_VALUE"""),"Yosaid")</f>
        <v>Yosaid</v>
      </c>
      <c r="C32" s="139" t="str">
        <f ca="1">IFERROR(__xludf.DUMMYFUNCTION("""COMPUTED_VALUE"""),"Country Digital Product")</f>
        <v>Country Digital Product</v>
      </c>
      <c r="D32" s="140" t="str">
        <f ca="1">IFERROR(__xludf.DUMMYFUNCTION("""COMPUTED_VALUE""")," Product Management  ")</f>
        <v xml:space="preserve"> Product Management  </v>
      </c>
      <c r="E32" s="139" t="str">
        <f ca="1">IFERROR(__xludf.DUMMYFUNCTION("""COMPUTED_VALUE"""),"Direct Cost")</f>
        <v>Direct Cost</v>
      </c>
      <c r="F32" s="139" t="str">
        <f ca="1">IFERROR(__xludf.DUMMYFUNCTION("""COMPUTED_VALUE"""),"Travel &amp; Lodging Expenses")</f>
        <v>Travel &amp; Lodging Expenses</v>
      </c>
      <c r="G32" s="139" t="str">
        <f ca="1">IFERROR(__xludf.DUMMYFUNCTION("""COMPUTED_VALUE"""),"Air fare")</f>
        <v>Air fare</v>
      </c>
      <c r="H32" s="141">
        <f ca="1">IFERROR(__xludf.DUMMYFUNCTION("""COMPUTED_VALUE"""),93103)</f>
        <v>93103</v>
      </c>
      <c r="I32" s="140">
        <f ca="1">IFERROR(__xludf.DUMMYFUNCTION("""COMPUTED_VALUE"""),216000)</f>
        <v>216000</v>
      </c>
      <c r="J32" s="140">
        <f ca="1">IFERROR(__xludf.DUMMYFUNCTION("""COMPUTED_VALUE"""),0)</f>
        <v>0</v>
      </c>
      <c r="K32" s="140">
        <f ca="1">IFERROR(__xludf.DUMMYFUNCTION("""COMPUTED_VALUE"""),0)</f>
        <v>0</v>
      </c>
      <c r="L32" s="140">
        <f ca="1">IFERROR(__xludf.DUMMYFUNCTION("""COMPUTED_VALUE"""),18000)</f>
        <v>18000</v>
      </c>
      <c r="M32" s="140">
        <f ca="1">IFERROR(__xludf.DUMMYFUNCTION("""COMPUTED_VALUE"""),180000)</f>
        <v>180000</v>
      </c>
      <c r="N32" s="140">
        <f ca="1">IFERROR(__xludf.DUMMYFUNCTION("""COMPUTED_VALUE"""),0)</f>
        <v>0</v>
      </c>
      <c r="O32" s="140">
        <f ca="1">IFERROR(__xludf.DUMMYFUNCTION("""COMPUTED_VALUE"""),0)</f>
        <v>0</v>
      </c>
      <c r="P32" s="140">
        <f ca="1">IFERROR(__xludf.DUMMYFUNCTION("""COMPUTED_VALUE"""),0)</f>
        <v>0</v>
      </c>
      <c r="Q32" s="140">
        <f ca="1">IFERROR(__xludf.DUMMYFUNCTION("""COMPUTED_VALUE"""),18000)</f>
        <v>18000</v>
      </c>
      <c r="R32" s="140">
        <f ca="1">IFERROR(__xludf.DUMMYFUNCTION("""COMPUTED_VALUE"""),0)</f>
        <v>0</v>
      </c>
      <c r="S32" s="140">
        <f ca="1">IFERROR(__xludf.DUMMYFUNCTION("""COMPUTED_VALUE"""),0)</f>
        <v>0</v>
      </c>
      <c r="T32" s="140">
        <f ca="1">IFERROR(__xludf.DUMMYFUNCTION("""COMPUTED_VALUE"""),0)</f>
        <v>0</v>
      </c>
      <c r="U32" s="140">
        <f ca="1">IFERROR(__xludf.DUMMYFUNCTION("""COMPUTED_VALUE"""),0)</f>
        <v>0</v>
      </c>
      <c r="V32" s="100"/>
      <c r="W32" s="140">
        <f ca="1">IFERROR(__xludf.DUMMYFUNCTION("""COMPUTED_VALUE"""),216000)</f>
        <v>216000</v>
      </c>
      <c r="X32" s="140"/>
      <c r="Y32" s="147">
        <f t="shared" ca="1" si="1"/>
        <v>0</v>
      </c>
    </row>
    <row r="33" spans="1:25" ht="15.75" customHeight="1" x14ac:dyDescent="0.25">
      <c r="A33" s="148" t="str">
        <f ca="1">IFERROR(__xludf.DUMMYFUNCTION("""COMPUTED_VALUE"""),"India ")</f>
        <v xml:space="preserve">India </v>
      </c>
      <c r="B33" s="81" t="str">
        <f ca="1">IFERROR(__xludf.DUMMYFUNCTION("""COMPUTED_VALUE"""),"Yosaid")</f>
        <v>Yosaid</v>
      </c>
      <c r="C33" s="139" t="str">
        <f ca="1">IFERROR(__xludf.DUMMYFUNCTION("""COMPUTED_VALUE"""),"Country Digital Product")</f>
        <v>Country Digital Product</v>
      </c>
      <c r="D33" s="81" t="str">
        <f ca="1">IFERROR(__xludf.DUMMYFUNCTION("""COMPUTED_VALUE"""),"Product Management ")</f>
        <v xml:space="preserve">Product Management </v>
      </c>
      <c r="E33" s="139" t="str">
        <f ca="1">IFERROR(__xludf.DUMMYFUNCTION("""COMPUTED_VALUE"""),"Direct Cost")</f>
        <v>Direct Cost</v>
      </c>
      <c r="F33" s="139" t="str">
        <f ca="1">IFERROR(__xludf.DUMMYFUNCTION("""COMPUTED_VALUE"""),"Travel &amp; Lodging Expenses")</f>
        <v>Travel &amp; Lodging Expenses</v>
      </c>
      <c r="G33" s="139" t="str">
        <f ca="1">IFERROR(__xludf.DUMMYFUNCTION("""COMPUTED_VALUE"""),"Cab/Auto")</f>
        <v>Cab/Auto</v>
      </c>
      <c r="H33" s="141">
        <f ca="1">IFERROR(__xludf.DUMMYFUNCTION("""COMPUTED_VALUE"""),93104)</f>
        <v>93104</v>
      </c>
      <c r="I33" s="140">
        <f ca="1">IFERROR(__xludf.DUMMYFUNCTION("""COMPUTED_VALUE"""),147200)</f>
        <v>147200</v>
      </c>
      <c r="J33" s="140">
        <f ca="1">IFERROR(__xludf.DUMMYFUNCTION("""COMPUTED_VALUE"""),0)</f>
        <v>0</v>
      </c>
      <c r="K33" s="140">
        <f ca="1">IFERROR(__xludf.DUMMYFUNCTION("""COMPUTED_VALUE"""),20000)</f>
        <v>20000</v>
      </c>
      <c r="L33" s="140">
        <f ca="1">IFERROR(__xludf.DUMMYFUNCTION("""COMPUTED_VALUE"""),28400)</f>
        <v>28400</v>
      </c>
      <c r="M33" s="140">
        <f ca="1">IFERROR(__xludf.DUMMYFUNCTION("""COMPUTED_VALUE"""),50400)</f>
        <v>50400</v>
      </c>
      <c r="N33" s="140">
        <f ca="1">IFERROR(__xludf.DUMMYFUNCTION("""COMPUTED_VALUE"""),0)</f>
        <v>0</v>
      </c>
      <c r="O33" s="140">
        <f ca="1">IFERROR(__xludf.DUMMYFUNCTION("""COMPUTED_VALUE"""),0)</f>
        <v>0</v>
      </c>
      <c r="P33" s="140">
        <f ca="1">IFERROR(__xludf.DUMMYFUNCTION("""COMPUTED_VALUE"""),0)</f>
        <v>0</v>
      </c>
      <c r="Q33" s="140">
        <f ca="1">IFERROR(__xludf.DUMMYFUNCTION("""COMPUTED_VALUE"""),28400)</f>
        <v>28400</v>
      </c>
      <c r="R33" s="140">
        <f ca="1">IFERROR(__xludf.DUMMYFUNCTION("""COMPUTED_VALUE"""),20000)</f>
        <v>20000</v>
      </c>
      <c r="S33" s="140">
        <f ca="1">IFERROR(__xludf.DUMMYFUNCTION("""COMPUTED_VALUE"""),0)</f>
        <v>0</v>
      </c>
      <c r="T33" s="140">
        <f ca="1">IFERROR(__xludf.DUMMYFUNCTION("""COMPUTED_VALUE"""),0)</f>
        <v>0</v>
      </c>
      <c r="U33" s="140">
        <f ca="1">IFERROR(__xludf.DUMMYFUNCTION("""COMPUTED_VALUE"""),0)</f>
        <v>0</v>
      </c>
      <c r="V33" s="100"/>
      <c r="W33" s="140">
        <f ca="1">IFERROR(__xludf.DUMMYFUNCTION("""COMPUTED_VALUE"""),147200)</f>
        <v>147200</v>
      </c>
      <c r="X33" s="140"/>
      <c r="Y33" s="147">
        <f t="shared" ca="1" si="1"/>
        <v>0</v>
      </c>
    </row>
    <row r="34" spans="1:25" ht="15.75" customHeight="1" x14ac:dyDescent="0.25">
      <c r="A34" s="148" t="str">
        <f ca="1">IFERROR(__xludf.DUMMYFUNCTION("""COMPUTED_VALUE"""),"India ")</f>
        <v xml:space="preserve">India </v>
      </c>
      <c r="B34" s="81" t="str">
        <f ca="1">IFERROR(__xludf.DUMMYFUNCTION("""COMPUTED_VALUE"""),"Yosaid")</f>
        <v>Yosaid</v>
      </c>
      <c r="C34" s="139" t="str">
        <f ca="1">IFERROR(__xludf.DUMMYFUNCTION("""COMPUTED_VALUE"""),"Country Digital Product")</f>
        <v>Country Digital Product</v>
      </c>
      <c r="D34" s="140" t="str">
        <f ca="1">IFERROR(__xludf.DUMMYFUNCTION("""COMPUTED_VALUE""")," Product Management  ")</f>
        <v xml:space="preserve"> Product Management  </v>
      </c>
      <c r="E34" s="139" t="str">
        <f ca="1">IFERROR(__xludf.DUMMYFUNCTION("""COMPUTED_VALUE"""),"Direct Cost")</f>
        <v>Direct Cost</v>
      </c>
      <c r="F34" s="139" t="str">
        <f ca="1">IFERROR(__xludf.DUMMYFUNCTION("""COMPUTED_VALUE"""),"Travel &amp; Lodging Expenses")</f>
        <v>Travel &amp; Lodging Expenses</v>
      </c>
      <c r="G34" s="139" t="str">
        <f ca="1">IFERROR(__xludf.DUMMYFUNCTION("""COMPUTED_VALUE"""),"Bus/Train")</f>
        <v>Bus/Train</v>
      </c>
      <c r="H34" s="141">
        <f ca="1">IFERROR(__xludf.DUMMYFUNCTION("""COMPUTED_VALUE"""),93105)</f>
        <v>93105</v>
      </c>
      <c r="I34" s="140">
        <f ca="1">IFERROR(__xludf.DUMMYFUNCTION("""COMPUTED_VALUE"""),3000)</f>
        <v>3000</v>
      </c>
      <c r="J34" s="140">
        <f ca="1">IFERROR(__xludf.DUMMYFUNCTION("""COMPUTED_VALUE"""),0)</f>
        <v>0</v>
      </c>
      <c r="K34" s="140">
        <f ca="1">IFERROR(__xludf.DUMMYFUNCTION("""COMPUTED_VALUE"""),0)</f>
        <v>0</v>
      </c>
      <c r="L34" s="140">
        <f ca="1">IFERROR(__xludf.DUMMYFUNCTION("""COMPUTED_VALUE"""),1500)</f>
        <v>1500</v>
      </c>
      <c r="M34" s="140">
        <f ca="1">IFERROR(__xludf.DUMMYFUNCTION("""COMPUTED_VALUE"""),0)</f>
        <v>0</v>
      </c>
      <c r="N34" s="140">
        <f ca="1">IFERROR(__xludf.DUMMYFUNCTION("""COMPUTED_VALUE"""),0)</f>
        <v>0</v>
      </c>
      <c r="O34" s="140">
        <f ca="1">IFERROR(__xludf.DUMMYFUNCTION("""COMPUTED_VALUE"""),0)</f>
        <v>0</v>
      </c>
      <c r="P34" s="140">
        <f ca="1">IFERROR(__xludf.DUMMYFUNCTION("""COMPUTED_VALUE"""),0)</f>
        <v>0</v>
      </c>
      <c r="Q34" s="140">
        <f ca="1">IFERROR(__xludf.DUMMYFUNCTION("""COMPUTED_VALUE"""),1500)</f>
        <v>1500</v>
      </c>
      <c r="R34" s="140">
        <f ca="1">IFERROR(__xludf.DUMMYFUNCTION("""COMPUTED_VALUE"""),0)</f>
        <v>0</v>
      </c>
      <c r="S34" s="140">
        <f ca="1">IFERROR(__xludf.DUMMYFUNCTION("""COMPUTED_VALUE"""),0)</f>
        <v>0</v>
      </c>
      <c r="T34" s="140">
        <f ca="1">IFERROR(__xludf.DUMMYFUNCTION("""COMPUTED_VALUE"""),0)</f>
        <v>0</v>
      </c>
      <c r="U34" s="140">
        <f ca="1">IFERROR(__xludf.DUMMYFUNCTION("""COMPUTED_VALUE"""),0)</f>
        <v>0</v>
      </c>
      <c r="V34" s="100"/>
      <c r="W34" s="140">
        <f ca="1">IFERROR(__xludf.DUMMYFUNCTION("""COMPUTED_VALUE"""),3000)</f>
        <v>3000</v>
      </c>
      <c r="X34" s="140"/>
      <c r="Y34" s="147">
        <f t="shared" ca="1" si="1"/>
        <v>0</v>
      </c>
    </row>
    <row r="35" spans="1:25" ht="15.75" customHeight="1" x14ac:dyDescent="0.25">
      <c r="A35" s="148" t="str">
        <f ca="1">IFERROR(__xludf.DUMMYFUNCTION("""COMPUTED_VALUE"""),"India ")</f>
        <v xml:space="preserve">India </v>
      </c>
      <c r="B35" s="81" t="str">
        <f ca="1">IFERROR(__xludf.DUMMYFUNCTION("""COMPUTED_VALUE"""),"Yosaid")</f>
        <v>Yosaid</v>
      </c>
      <c r="C35" s="139" t="str">
        <f ca="1">IFERROR(__xludf.DUMMYFUNCTION("""COMPUTED_VALUE"""),"Country Digital Product")</f>
        <v>Country Digital Product</v>
      </c>
      <c r="D35" s="140" t="str">
        <f ca="1">IFERROR(__xludf.DUMMYFUNCTION("""COMPUTED_VALUE""")," Product Management  ")</f>
        <v xml:space="preserve"> Product Management  </v>
      </c>
      <c r="E35" s="139" t="str">
        <f ca="1">IFERROR(__xludf.DUMMYFUNCTION("""COMPUTED_VALUE"""),"Direct Cost")</f>
        <v>Direct Cost</v>
      </c>
      <c r="F35" s="139" t="str">
        <f ca="1">IFERROR(__xludf.DUMMYFUNCTION("""COMPUTED_VALUE"""),"Travel &amp; Lodging Expenses")</f>
        <v>Travel &amp; Lodging Expenses</v>
      </c>
      <c r="G35" s="139" t="str">
        <f ca="1">IFERROR(__xludf.DUMMYFUNCTION("""COMPUTED_VALUE"""),"Other incidental travel costs")</f>
        <v>Other incidental travel costs</v>
      </c>
      <c r="H35" s="141">
        <f ca="1">IFERROR(__xludf.DUMMYFUNCTION("""COMPUTED_VALUE"""),93106)</f>
        <v>93106</v>
      </c>
      <c r="I35" s="140">
        <f ca="1">IFERROR(__xludf.DUMMYFUNCTION("""COMPUTED_VALUE"""),4900)</f>
        <v>4900</v>
      </c>
      <c r="J35" s="140">
        <f ca="1">IFERROR(__xludf.DUMMYFUNCTION("""COMPUTED_VALUE"""),0)</f>
        <v>0</v>
      </c>
      <c r="K35" s="140">
        <f ca="1">IFERROR(__xludf.DUMMYFUNCTION("""COMPUTED_VALUE"""),0)</f>
        <v>0</v>
      </c>
      <c r="L35" s="140">
        <f ca="1">IFERROR(__xludf.DUMMYFUNCTION("""COMPUTED_VALUE"""),700)</f>
        <v>700</v>
      </c>
      <c r="M35" s="140">
        <f ca="1">IFERROR(__xludf.DUMMYFUNCTION("""COMPUTED_VALUE"""),3500)</f>
        <v>3500</v>
      </c>
      <c r="N35" s="140">
        <f ca="1">IFERROR(__xludf.DUMMYFUNCTION("""COMPUTED_VALUE"""),0)</f>
        <v>0</v>
      </c>
      <c r="O35" s="140">
        <f ca="1">IFERROR(__xludf.DUMMYFUNCTION("""COMPUTED_VALUE"""),0)</f>
        <v>0</v>
      </c>
      <c r="P35" s="140">
        <f ca="1">IFERROR(__xludf.DUMMYFUNCTION("""COMPUTED_VALUE"""),0)</f>
        <v>0</v>
      </c>
      <c r="Q35" s="140">
        <f ca="1">IFERROR(__xludf.DUMMYFUNCTION("""COMPUTED_VALUE"""),700)</f>
        <v>700</v>
      </c>
      <c r="R35" s="140">
        <f ca="1">IFERROR(__xludf.DUMMYFUNCTION("""COMPUTED_VALUE"""),0)</f>
        <v>0</v>
      </c>
      <c r="S35" s="140">
        <f ca="1">IFERROR(__xludf.DUMMYFUNCTION("""COMPUTED_VALUE"""),0)</f>
        <v>0</v>
      </c>
      <c r="T35" s="140">
        <f ca="1">IFERROR(__xludf.DUMMYFUNCTION("""COMPUTED_VALUE"""),0)</f>
        <v>0</v>
      </c>
      <c r="U35" s="140">
        <f ca="1">IFERROR(__xludf.DUMMYFUNCTION("""COMPUTED_VALUE"""),0)</f>
        <v>0</v>
      </c>
      <c r="V35" s="100"/>
      <c r="W35" s="140">
        <f ca="1">IFERROR(__xludf.DUMMYFUNCTION("""COMPUTED_VALUE"""),4900)</f>
        <v>4900</v>
      </c>
      <c r="X35" s="140"/>
      <c r="Y35" s="147">
        <f t="shared" ca="1" si="1"/>
        <v>0</v>
      </c>
    </row>
    <row r="36" spans="1:25" ht="15.75" customHeight="1" x14ac:dyDescent="0.25">
      <c r="A36" s="148" t="str">
        <f ca="1">IFERROR(__xludf.DUMMYFUNCTION("""COMPUTED_VALUE"""),"India ")</f>
        <v xml:space="preserve">India </v>
      </c>
      <c r="B36" s="81" t="str">
        <f ca="1">IFERROR(__xludf.DUMMYFUNCTION("""COMPUTED_VALUE"""),"Yosaid")</f>
        <v>Yosaid</v>
      </c>
      <c r="C36" s="139" t="str">
        <f ca="1">IFERROR(__xludf.DUMMYFUNCTION("""COMPUTED_VALUE"""),"Country Digital Product")</f>
        <v>Country Digital Product</v>
      </c>
      <c r="D36" s="140" t="str">
        <f ca="1">IFERROR(__xludf.DUMMYFUNCTION("""COMPUTED_VALUE""")," Product Management  ")</f>
        <v xml:space="preserve"> Product Management  </v>
      </c>
      <c r="E36" s="139" t="str">
        <f ca="1">IFERROR(__xludf.DUMMYFUNCTION("""COMPUTED_VALUE"""),"Direct Cost")</f>
        <v>Direct Cost</v>
      </c>
      <c r="F36" s="139" t="str">
        <f ca="1">IFERROR(__xludf.DUMMYFUNCTION("""COMPUTED_VALUE"""),"Supplies &amp; Printing Costs")</f>
        <v>Supplies &amp; Printing Costs</v>
      </c>
      <c r="G36" s="139" t="str">
        <f ca="1">IFERROR(__xludf.DUMMYFUNCTION("""COMPUTED_VALUE"""),"Other Direct Expenses")</f>
        <v>Other Direct Expenses</v>
      </c>
      <c r="H36" s="141">
        <f ca="1">IFERROR(__xludf.DUMMYFUNCTION("""COMPUTED_VALUE"""),93201)</f>
        <v>93201</v>
      </c>
      <c r="I36" s="140">
        <f ca="1">IFERROR(__xludf.DUMMYFUNCTION("""COMPUTED_VALUE"""),0)</f>
        <v>0</v>
      </c>
      <c r="J36" s="140">
        <f ca="1">IFERROR(__xludf.DUMMYFUNCTION("""COMPUTED_VALUE"""),0)</f>
        <v>0</v>
      </c>
      <c r="K36" s="140">
        <f ca="1">IFERROR(__xludf.DUMMYFUNCTION("""COMPUTED_VALUE"""),0)</f>
        <v>0</v>
      </c>
      <c r="L36" s="140">
        <f ca="1">IFERROR(__xludf.DUMMYFUNCTION("""COMPUTED_VALUE"""),0)</f>
        <v>0</v>
      </c>
      <c r="M36" s="140">
        <f ca="1">IFERROR(__xludf.DUMMYFUNCTION("""COMPUTED_VALUE"""),0)</f>
        <v>0</v>
      </c>
      <c r="N36" s="140">
        <f ca="1">IFERROR(__xludf.DUMMYFUNCTION("""COMPUTED_VALUE"""),0)</f>
        <v>0</v>
      </c>
      <c r="O36" s="140">
        <f ca="1">IFERROR(__xludf.DUMMYFUNCTION("""COMPUTED_VALUE"""),0)</f>
        <v>0</v>
      </c>
      <c r="P36" s="140">
        <f ca="1">IFERROR(__xludf.DUMMYFUNCTION("""COMPUTED_VALUE"""),0)</f>
        <v>0</v>
      </c>
      <c r="Q36" s="140">
        <f ca="1">IFERROR(__xludf.DUMMYFUNCTION("""COMPUTED_VALUE"""),0)</f>
        <v>0</v>
      </c>
      <c r="R36" s="140"/>
      <c r="S36" s="140"/>
      <c r="T36" s="140"/>
      <c r="U36" s="140">
        <f ca="1">IFERROR(__xludf.DUMMYFUNCTION("""COMPUTED_VALUE"""),0)</f>
        <v>0</v>
      </c>
      <c r="V36" s="100"/>
      <c r="W36" s="140">
        <f ca="1">IFERROR(__xludf.DUMMYFUNCTION("""COMPUTED_VALUE"""),0)</f>
        <v>0</v>
      </c>
      <c r="X36" s="140"/>
      <c r="Y36" s="147">
        <f t="shared" ca="1" si="1"/>
        <v>0</v>
      </c>
    </row>
    <row r="37" spans="1:25" ht="15.75" customHeight="1" x14ac:dyDescent="0.25">
      <c r="A37" s="148" t="str">
        <f ca="1">IFERROR(__xludf.DUMMYFUNCTION("""COMPUTED_VALUE"""),"India ")</f>
        <v xml:space="preserve">India </v>
      </c>
      <c r="B37" s="81" t="str">
        <f ca="1">IFERROR(__xludf.DUMMYFUNCTION("""COMPUTED_VALUE"""),"Yosaid")</f>
        <v>Yosaid</v>
      </c>
      <c r="C37" s="139" t="str">
        <f ca="1">IFERROR(__xludf.DUMMYFUNCTION("""COMPUTED_VALUE"""),"Country Digital Product")</f>
        <v>Country Digital Product</v>
      </c>
      <c r="D37" s="140" t="str">
        <f ca="1">IFERROR(__xludf.DUMMYFUNCTION("""COMPUTED_VALUE""")," Product Management  ")</f>
        <v xml:space="preserve"> Product Management  </v>
      </c>
      <c r="E37" s="139" t="str">
        <f ca="1">IFERROR(__xludf.DUMMYFUNCTION("""COMPUTED_VALUE"""),"Direct Cost")</f>
        <v>Direct Cost</v>
      </c>
      <c r="F37" s="139" t="str">
        <f ca="1">IFERROR(__xludf.DUMMYFUNCTION("""COMPUTED_VALUE"""),"Supplies &amp; Printing Costs")</f>
        <v>Supplies &amp; Printing Costs</v>
      </c>
      <c r="G37" s="139" t="str">
        <f ca="1">IFERROR(__xludf.DUMMYFUNCTION("""COMPUTED_VALUE"""),"Printing expenses")</f>
        <v>Printing expenses</v>
      </c>
      <c r="H37" s="141">
        <f ca="1">IFERROR(__xludf.DUMMYFUNCTION("""COMPUTED_VALUE"""),93204)</f>
        <v>93204</v>
      </c>
      <c r="I37" s="140">
        <f ca="1">IFERROR(__xludf.DUMMYFUNCTION("""COMPUTED_VALUE"""),0)</f>
        <v>0</v>
      </c>
      <c r="J37" s="140">
        <f ca="1">IFERROR(__xludf.DUMMYFUNCTION("""COMPUTED_VALUE"""),0)</f>
        <v>0</v>
      </c>
      <c r="K37" s="140">
        <f ca="1">IFERROR(__xludf.DUMMYFUNCTION("""COMPUTED_VALUE"""),0)</f>
        <v>0</v>
      </c>
      <c r="L37" s="140">
        <f ca="1">IFERROR(__xludf.DUMMYFUNCTION("""COMPUTED_VALUE"""),0)</f>
        <v>0</v>
      </c>
      <c r="M37" s="140">
        <f ca="1">IFERROR(__xludf.DUMMYFUNCTION("""COMPUTED_VALUE"""),0)</f>
        <v>0</v>
      </c>
      <c r="N37" s="140">
        <f ca="1">IFERROR(__xludf.DUMMYFUNCTION("""COMPUTED_VALUE"""),0)</f>
        <v>0</v>
      </c>
      <c r="O37" s="140">
        <f ca="1">IFERROR(__xludf.DUMMYFUNCTION("""COMPUTED_VALUE"""),0)</f>
        <v>0</v>
      </c>
      <c r="P37" s="140">
        <f ca="1">IFERROR(__xludf.DUMMYFUNCTION("""COMPUTED_VALUE"""),0)</f>
        <v>0</v>
      </c>
      <c r="Q37" s="140">
        <f ca="1">IFERROR(__xludf.DUMMYFUNCTION("""COMPUTED_VALUE"""),0)</f>
        <v>0</v>
      </c>
      <c r="R37" s="140"/>
      <c r="S37" s="140"/>
      <c r="T37" s="140"/>
      <c r="U37" s="140"/>
      <c r="V37" s="100"/>
      <c r="W37" s="140">
        <f ca="1">IFERROR(__xludf.DUMMYFUNCTION("""COMPUTED_VALUE"""),0)</f>
        <v>0</v>
      </c>
      <c r="X37" s="140"/>
      <c r="Y37" s="147">
        <f t="shared" ca="1" si="1"/>
        <v>0</v>
      </c>
    </row>
    <row r="38" spans="1:25" ht="15.75" customHeight="1" x14ac:dyDescent="0.25">
      <c r="A38" s="148" t="str">
        <f ca="1">IFERROR(__xludf.DUMMYFUNCTION("""COMPUTED_VALUE"""),"India ")</f>
        <v xml:space="preserve">India </v>
      </c>
      <c r="B38" s="81" t="str">
        <f ca="1">IFERROR(__xludf.DUMMYFUNCTION("""COMPUTED_VALUE"""),"Yosaid")</f>
        <v>Yosaid</v>
      </c>
      <c r="C38" s="139" t="str">
        <f ca="1">IFERROR(__xludf.DUMMYFUNCTION("""COMPUTED_VALUE"""),"Country Digital Product")</f>
        <v>Country Digital Product</v>
      </c>
      <c r="D38" s="140" t="str">
        <f ca="1">IFERROR(__xludf.DUMMYFUNCTION("""COMPUTED_VALUE""")," Product Management  ")</f>
        <v xml:space="preserve"> Product Management  </v>
      </c>
      <c r="E38" s="139" t="str">
        <f ca="1">IFERROR(__xludf.DUMMYFUNCTION("""COMPUTED_VALUE"""),"Direct Cost")</f>
        <v>Direct Cost</v>
      </c>
      <c r="F38" s="139" t="str">
        <f ca="1">IFERROR(__xludf.DUMMYFUNCTION("""COMPUTED_VALUE"""),"Communication Cost")</f>
        <v>Communication Cost</v>
      </c>
      <c r="G38" s="139" t="str">
        <f ca="1">IFERROR(__xludf.DUMMYFUNCTION("""COMPUTED_VALUE"""),"Internet Expenses")</f>
        <v>Internet Expenses</v>
      </c>
      <c r="H38" s="141">
        <f ca="1">IFERROR(__xludf.DUMMYFUNCTION("""COMPUTED_VALUE"""),93301)</f>
        <v>93301</v>
      </c>
      <c r="I38" s="140">
        <f ca="1">IFERROR(__xludf.DUMMYFUNCTION("""COMPUTED_VALUE"""),0)</f>
        <v>0</v>
      </c>
      <c r="J38" s="140">
        <f ca="1">IFERROR(__xludf.DUMMYFUNCTION("""COMPUTED_VALUE"""),0)</f>
        <v>0</v>
      </c>
      <c r="K38" s="140">
        <f ca="1">IFERROR(__xludf.DUMMYFUNCTION("""COMPUTED_VALUE"""),0)</f>
        <v>0</v>
      </c>
      <c r="L38" s="140">
        <f ca="1">IFERROR(__xludf.DUMMYFUNCTION("""COMPUTED_VALUE"""),0)</f>
        <v>0</v>
      </c>
      <c r="M38" s="140">
        <f ca="1">IFERROR(__xludf.DUMMYFUNCTION("""COMPUTED_VALUE"""),0)</f>
        <v>0</v>
      </c>
      <c r="N38" s="140">
        <f ca="1">IFERROR(__xludf.DUMMYFUNCTION("""COMPUTED_VALUE"""),0)</f>
        <v>0</v>
      </c>
      <c r="O38" s="140">
        <f ca="1">IFERROR(__xludf.DUMMYFUNCTION("""COMPUTED_VALUE"""),0)</f>
        <v>0</v>
      </c>
      <c r="P38" s="140">
        <f ca="1">IFERROR(__xludf.DUMMYFUNCTION("""COMPUTED_VALUE"""),0)</f>
        <v>0</v>
      </c>
      <c r="Q38" s="140">
        <f ca="1">IFERROR(__xludf.DUMMYFUNCTION("""COMPUTED_VALUE"""),0)</f>
        <v>0</v>
      </c>
      <c r="R38" s="140"/>
      <c r="S38" s="140"/>
      <c r="T38" s="140"/>
      <c r="U38" s="140"/>
      <c r="V38" s="100"/>
      <c r="W38" s="140">
        <f ca="1">IFERROR(__xludf.DUMMYFUNCTION("""COMPUTED_VALUE"""),0)</f>
        <v>0</v>
      </c>
      <c r="X38" s="140"/>
      <c r="Y38" s="147">
        <f t="shared" ca="1" si="1"/>
        <v>0</v>
      </c>
    </row>
    <row r="39" spans="1:25" ht="15.75" customHeight="1" x14ac:dyDescent="0.25">
      <c r="A39" s="148" t="str">
        <f ca="1">IFERROR(__xludf.DUMMYFUNCTION("""COMPUTED_VALUE"""),"India ")</f>
        <v xml:space="preserve">India </v>
      </c>
      <c r="B39" s="81" t="str">
        <f ca="1">IFERROR(__xludf.DUMMYFUNCTION("""COMPUTED_VALUE"""),"Yosaid")</f>
        <v>Yosaid</v>
      </c>
      <c r="C39" s="139" t="str">
        <f ca="1">IFERROR(__xludf.DUMMYFUNCTION("""COMPUTED_VALUE"""),"Country Digital Product")</f>
        <v>Country Digital Product</v>
      </c>
      <c r="D39" s="140" t="str">
        <f ca="1">IFERROR(__xludf.DUMMYFUNCTION("""COMPUTED_VALUE""")," Product Management  ")</f>
        <v xml:space="preserve"> Product Management  </v>
      </c>
      <c r="E39" s="139" t="str">
        <f ca="1">IFERROR(__xludf.DUMMYFUNCTION("""COMPUTED_VALUE"""),"Direct Cost")</f>
        <v>Direct Cost</v>
      </c>
      <c r="F39" s="139" t="str">
        <f ca="1">IFERROR(__xludf.DUMMYFUNCTION("""COMPUTED_VALUE"""),"Communication Cost")</f>
        <v>Communication Cost</v>
      </c>
      <c r="G39" s="139" t="str">
        <f ca="1">IFERROR(__xludf.DUMMYFUNCTION("""COMPUTED_VALUE"""),"Postage &amp; Courier Expenses")</f>
        <v>Postage &amp; Courier Expenses</v>
      </c>
      <c r="H39" s="141">
        <f ca="1">IFERROR(__xludf.DUMMYFUNCTION("""COMPUTED_VALUE"""),93302)</f>
        <v>93302</v>
      </c>
      <c r="I39" s="140">
        <f ca="1">IFERROR(__xludf.DUMMYFUNCTION("""COMPUTED_VALUE"""),0)</f>
        <v>0</v>
      </c>
      <c r="J39" s="140">
        <f ca="1">IFERROR(__xludf.DUMMYFUNCTION("""COMPUTED_VALUE"""),0)</f>
        <v>0</v>
      </c>
      <c r="K39" s="140">
        <f ca="1">IFERROR(__xludf.DUMMYFUNCTION("""COMPUTED_VALUE"""),0)</f>
        <v>0</v>
      </c>
      <c r="L39" s="140">
        <f ca="1">IFERROR(__xludf.DUMMYFUNCTION("""COMPUTED_VALUE"""),0)</f>
        <v>0</v>
      </c>
      <c r="M39" s="140">
        <f ca="1">IFERROR(__xludf.DUMMYFUNCTION("""COMPUTED_VALUE"""),0)</f>
        <v>0</v>
      </c>
      <c r="N39" s="140">
        <f ca="1">IFERROR(__xludf.DUMMYFUNCTION("""COMPUTED_VALUE"""),0)</f>
        <v>0</v>
      </c>
      <c r="O39" s="140">
        <f ca="1">IFERROR(__xludf.DUMMYFUNCTION("""COMPUTED_VALUE"""),0)</f>
        <v>0</v>
      </c>
      <c r="P39" s="140">
        <f ca="1">IFERROR(__xludf.DUMMYFUNCTION("""COMPUTED_VALUE"""),0)</f>
        <v>0</v>
      </c>
      <c r="Q39" s="140">
        <f ca="1">IFERROR(__xludf.DUMMYFUNCTION("""COMPUTED_VALUE"""),0)</f>
        <v>0</v>
      </c>
      <c r="R39" s="140"/>
      <c r="S39" s="140"/>
      <c r="T39" s="140"/>
      <c r="U39" s="140"/>
      <c r="V39" s="100"/>
      <c r="W39" s="140">
        <f ca="1">IFERROR(__xludf.DUMMYFUNCTION("""COMPUTED_VALUE"""),0)</f>
        <v>0</v>
      </c>
      <c r="X39" s="140"/>
      <c r="Y39" s="147">
        <f t="shared" ca="1" si="1"/>
        <v>0</v>
      </c>
    </row>
    <row r="40" spans="1:25" ht="15.75" customHeight="1" x14ac:dyDescent="0.25">
      <c r="A40" s="148" t="str">
        <f ca="1">IFERROR(__xludf.DUMMYFUNCTION("""COMPUTED_VALUE"""),"India ")</f>
        <v xml:space="preserve">India </v>
      </c>
      <c r="B40" s="81" t="str">
        <f ca="1">IFERROR(__xludf.DUMMYFUNCTION("""COMPUTED_VALUE"""),"Yosaid")</f>
        <v>Yosaid</v>
      </c>
      <c r="C40" s="139" t="str">
        <f ca="1">IFERROR(__xludf.DUMMYFUNCTION("""COMPUTED_VALUE"""),"Country Digital Product")</f>
        <v>Country Digital Product</v>
      </c>
      <c r="D40" s="140" t="str">
        <f ca="1">IFERROR(__xludf.DUMMYFUNCTION("""COMPUTED_VALUE""")," Product Management  ")</f>
        <v xml:space="preserve"> Product Management  </v>
      </c>
      <c r="E40" s="139" t="str">
        <f ca="1">IFERROR(__xludf.DUMMYFUNCTION("""COMPUTED_VALUE"""),"Direct Cost")</f>
        <v>Direct Cost</v>
      </c>
      <c r="F40" s="139" t="str">
        <f ca="1">IFERROR(__xludf.DUMMYFUNCTION("""COMPUTED_VALUE"""),"Communication Cost")</f>
        <v>Communication Cost</v>
      </c>
      <c r="G40" s="139" t="str">
        <f ca="1">IFERROR(__xludf.DUMMYFUNCTION("""COMPUTED_VALUE"""),"Telecommunication expenses")</f>
        <v>Telecommunication expenses</v>
      </c>
      <c r="H40" s="141">
        <f ca="1">IFERROR(__xludf.DUMMYFUNCTION("""COMPUTED_VALUE"""),93303)</f>
        <v>93303</v>
      </c>
      <c r="I40" s="140">
        <f ca="1">IFERROR(__xludf.DUMMYFUNCTION("""COMPUTED_VALUE"""),0)</f>
        <v>0</v>
      </c>
      <c r="J40" s="140">
        <f ca="1">IFERROR(__xludf.DUMMYFUNCTION("""COMPUTED_VALUE"""),0)</f>
        <v>0</v>
      </c>
      <c r="K40" s="140">
        <f ca="1">IFERROR(__xludf.DUMMYFUNCTION("""COMPUTED_VALUE"""),0)</f>
        <v>0</v>
      </c>
      <c r="L40" s="140">
        <f ca="1">IFERROR(__xludf.DUMMYFUNCTION("""COMPUTED_VALUE"""),0)</f>
        <v>0</v>
      </c>
      <c r="M40" s="140">
        <f ca="1">IFERROR(__xludf.DUMMYFUNCTION("""COMPUTED_VALUE"""),0)</f>
        <v>0</v>
      </c>
      <c r="N40" s="140">
        <f ca="1">IFERROR(__xludf.DUMMYFUNCTION("""COMPUTED_VALUE"""),0)</f>
        <v>0</v>
      </c>
      <c r="O40" s="140">
        <f ca="1">IFERROR(__xludf.DUMMYFUNCTION("""COMPUTED_VALUE"""),0)</f>
        <v>0</v>
      </c>
      <c r="P40" s="140">
        <f ca="1">IFERROR(__xludf.DUMMYFUNCTION("""COMPUTED_VALUE"""),0)</f>
        <v>0</v>
      </c>
      <c r="Q40" s="140">
        <f ca="1">IFERROR(__xludf.DUMMYFUNCTION("""COMPUTED_VALUE"""),0)</f>
        <v>0</v>
      </c>
      <c r="R40" s="140"/>
      <c r="S40" s="140"/>
      <c r="T40" s="140"/>
      <c r="U40" s="140"/>
      <c r="V40" s="100"/>
      <c r="W40" s="140">
        <f ca="1">IFERROR(__xludf.DUMMYFUNCTION("""COMPUTED_VALUE"""),0)</f>
        <v>0</v>
      </c>
      <c r="X40" s="140"/>
      <c r="Y40" s="147">
        <f t="shared" ca="1" si="1"/>
        <v>0</v>
      </c>
    </row>
    <row r="41" spans="1:25" ht="15.75" customHeight="1" x14ac:dyDescent="0.25">
      <c r="A41" s="148" t="str">
        <f ca="1">IFERROR(__xludf.DUMMYFUNCTION("""COMPUTED_VALUE"""),"India ")</f>
        <v xml:space="preserve">India </v>
      </c>
      <c r="B41" s="81" t="str">
        <f ca="1">IFERROR(__xludf.DUMMYFUNCTION("""COMPUTED_VALUE"""),"Yosaid")</f>
        <v>Yosaid</v>
      </c>
      <c r="C41" s="139" t="str">
        <f ca="1">IFERROR(__xludf.DUMMYFUNCTION("""COMPUTED_VALUE"""),"Country Digital Product")</f>
        <v>Country Digital Product</v>
      </c>
      <c r="D41" s="140" t="str">
        <f ca="1">IFERROR(__xludf.DUMMYFUNCTION("""COMPUTED_VALUE""")," Product Management  ")</f>
        <v xml:space="preserve"> Product Management  </v>
      </c>
      <c r="E41" s="139" t="str">
        <f ca="1">IFERROR(__xludf.DUMMYFUNCTION("""COMPUTED_VALUE"""),"Direct Cost")</f>
        <v>Direct Cost</v>
      </c>
      <c r="F41" s="139" t="str">
        <f ca="1">IFERROR(__xludf.DUMMYFUNCTION("""COMPUTED_VALUE"""),"Office Expenses")</f>
        <v>Office Expenses</v>
      </c>
      <c r="G41" s="139" t="str">
        <f ca="1">IFERROR(__xludf.DUMMYFUNCTION("""COMPUTED_VALUE"""),"Software and Subscriptions")</f>
        <v>Software and Subscriptions</v>
      </c>
      <c r="H41" s="141">
        <f ca="1">IFERROR(__xludf.DUMMYFUNCTION("""COMPUTED_VALUE"""),93401)</f>
        <v>93401</v>
      </c>
      <c r="I41" s="140">
        <f ca="1">IFERROR(__xludf.DUMMYFUNCTION("""COMPUTED_VALUE"""),53268)</f>
        <v>53268</v>
      </c>
      <c r="J41" s="140">
        <f ca="1">IFERROR(__xludf.DUMMYFUNCTION("""COMPUTED_VALUE"""),53268)</f>
        <v>53268</v>
      </c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00"/>
      <c r="W41" s="140">
        <f ca="1">IFERROR(__xludf.DUMMYFUNCTION("""COMPUTED_VALUE"""),53268)</f>
        <v>53268</v>
      </c>
      <c r="X41" s="140"/>
      <c r="Y41" s="147">
        <f t="shared" ca="1" si="1"/>
        <v>0</v>
      </c>
    </row>
    <row r="42" spans="1:25" ht="15.75" customHeight="1" x14ac:dyDescent="0.25">
      <c r="A42" s="148" t="str">
        <f ca="1">IFERROR(__xludf.DUMMYFUNCTION("""COMPUTED_VALUE"""),"India ")</f>
        <v xml:space="preserve">India </v>
      </c>
      <c r="B42" s="81" t="str">
        <f ca="1">IFERROR(__xludf.DUMMYFUNCTION("""COMPUTED_VALUE"""),"Yosaid")</f>
        <v>Yosaid</v>
      </c>
      <c r="C42" s="139" t="str">
        <f ca="1">IFERROR(__xludf.DUMMYFUNCTION("""COMPUTED_VALUE"""),"Country Digital Product")</f>
        <v>Country Digital Product</v>
      </c>
      <c r="D42" s="140" t="str">
        <f ca="1">IFERROR(__xludf.DUMMYFUNCTION("""COMPUTED_VALUE""")," Product Management  ")</f>
        <v xml:space="preserve"> Product Management  </v>
      </c>
      <c r="E42" s="139" t="str">
        <f ca="1">IFERROR(__xludf.DUMMYFUNCTION("""COMPUTED_VALUE"""),"Direct Cost")</f>
        <v>Direct Cost</v>
      </c>
      <c r="F42" s="139" t="str">
        <f ca="1">IFERROR(__xludf.DUMMYFUNCTION("""COMPUTED_VALUE"""),"Office Expenses")</f>
        <v>Office Expenses</v>
      </c>
      <c r="G42" s="139" t="str">
        <f ca="1">IFERROR(__xludf.DUMMYFUNCTION("""COMPUTED_VALUE"""),"Stationery &amp; Consumables")</f>
        <v>Stationery &amp; Consumables</v>
      </c>
      <c r="H42" s="141">
        <f ca="1">IFERROR(__xludf.DUMMYFUNCTION("""COMPUTED_VALUE"""),93404)</f>
        <v>93404</v>
      </c>
      <c r="I42" s="140">
        <f ca="1">IFERROR(__xludf.DUMMYFUNCTION("""COMPUTED_VALUE"""),19000)</f>
        <v>19000</v>
      </c>
      <c r="J42" s="140"/>
      <c r="K42" s="140">
        <f ca="1">IFERROR(__xludf.DUMMYFUNCTION("""COMPUTED_VALUE"""),1000)</f>
        <v>1000</v>
      </c>
      <c r="L42" s="140">
        <f ca="1">IFERROR(__xludf.DUMMYFUNCTION("""COMPUTED_VALUE"""),1000)</f>
        <v>1000</v>
      </c>
      <c r="M42" s="140">
        <f ca="1">IFERROR(__xludf.DUMMYFUNCTION("""COMPUTED_VALUE"""),1000)</f>
        <v>1000</v>
      </c>
      <c r="N42" s="140">
        <f ca="1">IFERROR(__xludf.DUMMYFUNCTION("""COMPUTED_VALUE"""),9000)</f>
        <v>9000</v>
      </c>
      <c r="O42" s="140">
        <f ca="1">IFERROR(__xludf.DUMMYFUNCTION("""COMPUTED_VALUE"""),1000)</f>
        <v>1000</v>
      </c>
      <c r="P42" s="140">
        <f ca="1">IFERROR(__xludf.DUMMYFUNCTION("""COMPUTED_VALUE"""),1000)</f>
        <v>1000</v>
      </c>
      <c r="Q42" s="140">
        <f ca="1">IFERROR(__xludf.DUMMYFUNCTION("""COMPUTED_VALUE"""),1000)</f>
        <v>1000</v>
      </c>
      <c r="R42" s="140">
        <f ca="1">IFERROR(__xludf.DUMMYFUNCTION("""COMPUTED_VALUE"""),1000)</f>
        <v>1000</v>
      </c>
      <c r="S42" s="140">
        <f ca="1">IFERROR(__xludf.DUMMYFUNCTION("""COMPUTED_VALUE"""),1000)</f>
        <v>1000</v>
      </c>
      <c r="T42" s="140">
        <f ca="1">IFERROR(__xludf.DUMMYFUNCTION("""COMPUTED_VALUE"""),1000)</f>
        <v>1000</v>
      </c>
      <c r="U42" s="140">
        <f ca="1">IFERROR(__xludf.DUMMYFUNCTION("""COMPUTED_VALUE"""),1000)</f>
        <v>1000</v>
      </c>
      <c r="V42" s="100"/>
      <c r="W42" s="140">
        <f ca="1">IFERROR(__xludf.DUMMYFUNCTION("""COMPUTED_VALUE"""),19000)</f>
        <v>19000</v>
      </c>
      <c r="X42" s="140"/>
      <c r="Y42" s="147">
        <f t="shared" ca="1" si="1"/>
        <v>0</v>
      </c>
    </row>
    <row r="43" spans="1:25" ht="15.75" customHeight="1" x14ac:dyDescent="0.25">
      <c r="A43" s="148" t="str">
        <f ca="1">IFERROR(__xludf.DUMMYFUNCTION("""COMPUTED_VALUE"""),"India ")</f>
        <v xml:space="preserve">India </v>
      </c>
      <c r="B43" s="81" t="str">
        <f ca="1">IFERROR(__xludf.DUMMYFUNCTION("""COMPUTED_VALUE"""),"Yosaid")</f>
        <v>Yosaid</v>
      </c>
      <c r="C43" s="139" t="str">
        <f ca="1">IFERROR(__xludf.DUMMYFUNCTION("""COMPUTED_VALUE"""),"Country Digital Product")</f>
        <v>Country Digital Product</v>
      </c>
      <c r="D43" s="140" t="str">
        <f ca="1">IFERROR(__xludf.DUMMYFUNCTION("""COMPUTED_VALUE""")," Product Management  ")</f>
        <v xml:space="preserve"> Product Management  </v>
      </c>
      <c r="E43" s="139" t="str">
        <f ca="1">IFERROR(__xludf.DUMMYFUNCTION("""COMPUTED_VALUE"""),"Direct Cost")</f>
        <v>Direct Cost</v>
      </c>
      <c r="F43" s="139" t="str">
        <f ca="1">IFERROR(__xludf.DUMMYFUNCTION("""COMPUTED_VALUE"""),"Office Expenses")</f>
        <v>Office Expenses</v>
      </c>
      <c r="G43" s="139" t="str">
        <f ca="1">IFERROR(__xludf.DUMMYFUNCTION("""COMPUTED_VALUE"""),"Office Equipment Expense")</f>
        <v>Office Equipment Expense</v>
      </c>
      <c r="H43" s="141">
        <f ca="1">IFERROR(__xludf.DUMMYFUNCTION("""COMPUTED_VALUE"""),93405)</f>
        <v>93405</v>
      </c>
      <c r="I43" s="140">
        <f ca="1">IFERROR(__xludf.DUMMYFUNCTION("""COMPUTED_VALUE"""),0)</f>
        <v>0</v>
      </c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00"/>
      <c r="W43" s="140">
        <f ca="1">IFERROR(__xludf.DUMMYFUNCTION("""COMPUTED_VALUE"""),0)</f>
        <v>0</v>
      </c>
      <c r="X43" s="140"/>
      <c r="Y43" s="147">
        <f t="shared" ca="1" si="1"/>
        <v>0</v>
      </c>
    </row>
    <row r="44" spans="1:25" ht="15.75" customHeight="1" x14ac:dyDescent="0.25">
      <c r="A44" s="148" t="str">
        <f ca="1">IFERROR(__xludf.DUMMYFUNCTION("""COMPUTED_VALUE"""),"India ")</f>
        <v xml:space="preserve">India </v>
      </c>
      <c r="B44" s="81" t="str">
        <f ca="1">IFERROR(__xludf.DUMMYFUNCTION("""COMPUTED_VALUE"""),"Yosaid")</f>
        <v>Yosaid</v>
      </c>
      <c r="C44" s="139" t="str">
        <f ca="1">IFERROR(__xludf.DUMMYFUNCTION("""COMPUTED_VALUE"""),"Country Digital Product")</f>
        <v>Country Digital Product</v>
      </c>
      <c r="D44" s="140" t="str">
        <f ca="1">IFERROR(__xludf.DUMMYFUNCTION("""COMPUTED_VALUE""")," Product Management  ")</f>
        <v xml:space="preserve"> Product Management  </v>
      </c>
      <c r="E44" s="139" t="str">
        <f ca="1">IFERROR(__xludf.DUMMYFUNCTION("""COMPUTED_VALUE"""),"Indirect Cost")</f>
        <v>Indirect Cost</v>
      </c>
      <c r="F44" s="139" t="str">
        <f ca="1">IFERROR(__xludf.DUMMYFUNCTION("""COMPUTED_VALUE"""),"Professional &amp; Consultancy Charges")</f>
        <v>Professional &amp; Consultancy Charges</v>
      </c>
      <c r="G44" s="139" t="str">
        <f ca="1">IFERROR(__xludf.DUMMYFUNCTION("""COMPUTED_VALUE"""),"Admin Consultants")</f>
        <v>Admin Consultants</v>
      </c>
      <c r="H44" s="141">
        <f ca="1">IFERROR(__xludf.DUMMYFUNCTION("""COMPUTED_VALUE"""),93703)</f>
        <v>93703</v>
      </c>
      <c r="I44" s="140">
        <f ca="1">IFERROR(__xludf.DUMMYFUNCTION("""COMPUTED_VALUE"""),0)</f>
        <v>0</v>
      </c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00"/>
      <c r="W44" s="140">
        <f ca="1">IFERROR(__xludf.DUMMYFUNCTION("""COMPUTED_VALUE"""),0)</f>
        <v>0</v>
      </c>
      <c r="X44" s="140"/>
      <c r="Y44" s="147">
        <f t="shared" ca="1" si="1"/>
        <v>0</v>
      </c>
    </row>
    <row r="45" spans="1:25" ht="15.75" customHeight="1" x14ac:dyDescent="0.25">
      <c r="A45" s="148" t="str">
        <f ca="1">IFERROR(__xludf.DUMMYFUNCTION("""COMPUTED_VALUE"""),"India ")</f>
        <v xml:space="preserve">India </v>
      </c>
      <c r="B45" s="81" t="str">
        <f ca="1">IFERROR(__xludf.DUMMYFUNCTION("""COMPUTED_VALUE"""),"Yosaid")</f>
        <v>Yosaid</v>
      </c>
      <c r="C45" s="139" t="str">
        <f ca="1">IFERROR(__xludf.DUMMYFUNCTION("""COMPUTED_VALUE"""),"Country Digital Product")</f>
        <v>Country Digital Product</v>
      </c>
      <c r="D45" s="139" t="str">
        <f ca="1">IFERROR(__xludf.DUMMYFUNCTION("""COMPUTED_VALUE"""),"Product Management ")</f>
        <v xml:space="preserve">Product Management </v>
      </c>
      <c r="E45" s="139" t="str">
        <f ca="1">IFERROR(__xludf.DUMMYFUNCTION("""COMPUTED_VALUE"""),"Direct Cost")</f>
        <v>Direct Cost</v>
      </c>
      <c r="F45" s="139" t="str">
        <f ca="1">IFERROR(__xludf.DUMMYFUNCTION("""COMPUTED_VALUE"""),"Supplies &amp; Printing Costs")</f>
        <v>Supplies &amp; Printing Costs</v>
      </c>
      <c r="G45" s="139" t="str">
        <f ca="1">IFERROR(__xludf.DUMMYFUNCTION("""COMPUTED_VALUE"""),"RES (Exotel Expensess)")</f>
        <v>RES (Exotel Expensess)</v>
      </c>
      <c r="H45" s="141">
        <f ca="1">IFERROR(__xludf.DUMMYFUNCTION("""COMPUTED_VALUE"""),93202)</f>
        <v>93202</v>
      </c>
      <c r="I45" s="140">
        <f ca="1">IFERROR(__xludf.DUMMYFUNCTION("""COMPUTED_VALUE"""),3000000)</f>
        <v>3000000</v>
      </c>
      <c r="J45" s="140">
        <f ca="1">IFERROR(__xludf.DUMMYFUNCTION("""COMPUTED_VALUE"""),250000)</f>
        <v>250000</v>
      </c>
      <c r="K45" s="140">
        <f ca="1">IFERROR(__xludf.DUMMYFUNCTION("""COMPUTED_VALUE"""),250000)</f>
        <v>250000</v>
      </c>
      <c r="L45" s="140">
        <f ca="1">IFERROR(__xludf.DUMMYFUNCTION("""COMPUTED_VALUE"""),250000)</f>
        <v>250000</v>
      </c>
      <c r="M45" s="140">
        <f ca="1">IFERROR(__xludf.DUMMYFUNCTION("""COMPUTED_VALUE"""),250000)</f>
        <v>250000</v>
      </c>
      <c r="N45" s="140">
        <f ca="1">IFERROR(__xludf.DUMMYFUNCTION("""COMPUTED_VALUE"""),250000)</f>
        <v>250000</v>
      </c>
      <c r="O45" s="140">
        <f ca="1">IFERROR(__xludf.DUMMYFUNCTION("""COMPUTED_VALUE"""),250000)</f>
        <v>250000</v>
      </c>
      <c r="P45" s="140">
        <f ca="1">IFERROR(__xludf.DUMMYFUNCTION("""COMPUTED_VALUE"""),250000)</f>
        <v>250000</v>
      </c>
      <c r="Q45" s="140">
        <f ca="1">IFERROR(__xludf.DUMMYFUNCTION("""COMPUTED_VALUE"""),250000)</f>
        <v>250000</v>
      </c>
      <c r="R45" s="140">
        <f ca="1">IFERROR(__xludf.DUMMYFUNCTION("""COMPUTED_VALUE"""),250000)</f>
        <v>250000</v>
      </c>
      <c r="S45" s="140">
        <f ca="1">IFERROR(__xludf.DUMMYFUNCTION("""COMPUTED_VALUE"""),250000)</f>
        <v>250000</v>
      </c>
      <c r="T45" s="140">
        <f ca="1">IFERROR(__xludf.DUMMYFUNCTION("""COMPUTED_VALUE"""),250000)</f>
        <v>250000</v>
      </c>
      <c r="U45" s="140">
        <f ca="1">IFERROR(__xludf.DUMMYFUNCTION("""COMPUTED_VALUE"""),250000)</f>
        <v>250000</v>
      </c>
      <c r="V45" s="100"/>
      <c r="W45" s="140">
        <f ca="1">IFERROR(__xludf.DUMMYFUNCTION("""COMPUTED_VALUE"""),3000000)</f>
        <v>3000000</v>
      </c>
      <c r="X45" s="140"/>
      <c r="Y45" s="147">
        <f t="shared" ca="1" si="1"/>
        <v>0</v>
      </c>
    </row>
    <row r="46" spans="1:25" ht="15.75" customHeight="1" x14ac:dyDescent="0.25">
      <c r="A46" s="148" t="str">
        <f ca="1">IFERROR(__xludf.DUMMYFUNCTION("""COMPUTED_VALUE"""),"India")</f>
        <v>India</v>
      </c>
      <c r="B46" s="81" t="str">
        <f ca="1">IFERROR(__xludf.DUMMYFUNCTION("""COMPUTED_VALUE"""),"Yosaid")</f>
        <v>Yosaid</v>
      </c>
      <c r="C46" s="139" t="str">
        <f ca="1">IFERROR(__xludf.DUMMYFUNCTION("""COMPUTED_VALUE"""),"Country Digital Product")</f>
        <v>Country Digital Product</v>
      </c>
      <c r="D46" s="140" t="str">
        <f ca="1">IFERROR(__xludf.DUMMYFUNCTION("""COMPUTED_VALUE""")," Product Management  ")</f>
        <v xml:space="preserve"> Product Management  </v>
      </c>
      <c r="E46" s="139" t="str">
        <f ca="1">IFERROR(__xludf.DUMMYFUNCTION("""COMPUTED_VALUE"""),"Fixed Assets")</f>
        <v>Fixed Assets</v>
      </c>
      <c r="F46" s="139" t="str">
        <f ca="1">IFERROR(__xludf.DUMMYFUNCTION("""COMPUTED_VALUE"""),"Fixed Assets")</f>
        <v>Fixed Assets</v>
      </c>
      <c r="G46" s="139" t="str">
        <f ca="1">IFERROR(__xludf.DUMMYFUNCTION("""COMPUTED_VALUE"""),"Laptop/ Printer")</f>
        <v>Laptop/ Printer</v>
      </c>
      <c r="H46" s="141">
        <f ca="1">IFERROR(__xludf.DUMMYFUNCTION("""COMPUTED_VALUE"""),11301)</f>
        <v>11301</v>
      </c>
      <c r="I46" s="140">
        <f ca="1">IFERROR(__xludf.DUMMYFUNCTION("""COMPUTED_VALUE"""),0)</f>
        <v>0</v>
      </c>
      <c r="J46" s="140">
        <f ca="1">IFERROR(__xludf.DUMMYFUNCTION("""COMPUTED_VALUE"""),0)</f>
        <v>0</v>
      </c>
      <c r="K46" s="140">
        <f ca="1">IFERROR(__xludf.DUMMYFUNCTION("""COMPUTED_VALUE"""),0)</f>
        <v>0</v>
      </c>
      <c r="L46" s="140">
        <f ca="1">IFERROR(__xludf.DUMMYFUNCTION("""COMPUTED_VALUE"""),0)</f>
        <v>0</v>
      </c>
      <c r="M46" s="140">
        <f ca="1">IFERROR(__xludf.DUMMYFUNCTION("""COMPUTED_VALUE"""),0)</f>
        <v>0</v>
      </c>
      <c r="N46" s="140">
        <f ca="1">IFERROR(__xludf.DUMMYFUNCTION("""COMPUTED_VALUE"""),0)</f>
        <v>0</v>
      </c>
      <c r="O46" s="140">
        <f ca="1">IFERROR(__xludf.DUMMYFUNCTION("""COMPUTED_VALUE"""),0)</f>
        <v>0</v>
      </c>
      <c r="P46" s="140">
        <f ca="1">IFERROR(__xludf.DUMMYFUNCTION("""COMPUTED_VALUE"""),0)</f>
        <v>0</v>
      </c>
      <c r="Q46" s="140">
        <f ca="1">IFERROR(__xludf.DUMMYFUNCTION("""COMPUTED_VALUE"""),0)</f>
        <v>0</v>
      </c>
      <c r="R46" s="140">
        <f ca="1">IFERROR(__xludf.DUMMYFUNCTION("""COMPUTED_VALUE"""),0)</f>
        <v>0</v>
      </c>
      <c r="S46" s="140">
        <f ca="1">IFERROR(__xludf.DUMMYFUNCTION("""COMPUTED_VALUE"""),0)</f>
        <v>0</v>
      </c>
      <c r="T46" s="140">
        <f ca="1">IFERROR(__xludf.DUMMYFUNCTION("""COMPUTED_VALUE"""),0)</f>
        <v>0</v>
      </c>
      <c r="U46" s="140">
        <f ca="1">IFERROR(__xludf.DUMMYFUNCTION("""COMPUTED_VALUE"""),0)</f>
        <v>0</v>
      </c>
      <c r="V46" s="100"/>
      <c r="W46" s="140">
        <f ca="1">IFERROR(__xludf.DUMMYFUNCTION("""COMPUTED_VALUE"""),0)</f>
        <v>0</v>
      </c>
      <c r="X46" s="140">
        <f ca="1">IFERROR(__xludf.DUMMYFUNCTION("""COMPUTED_VALUE"""),0)</f>
        <v>0</v>
      </c>
      <c r="Y46" s="147">
        <f t="shared" ca="1" si="1"/>
        <v>0</v>
      </c>
    </row>
    <row r="47" spans="1:25" ht="15.75" customHeight="1" x14ac:dyDescent="0.3">
      <c r="A47" s="170"/>
      <c r="B47" s="170"/>
      <c r="C47" s="170"/>
      <c r="D47" s="171"/>
      <c r="E47" s="170"/>
      <c r="F47" s="170"/>
      <c r="G47" s="170"/>
      <c r="H47" s="170" t="str">
        <f ca="1">IFERROR(__xludf.DUMMYFUNCTION("""COMPUTED_VALUE"""),"Total")</f>
        <v>Total</v>
      </c>
      <c r="I47" s="171">
        <f ca="1">IFERROR(__xludf.DUMMYFUNCTION("""COMPUTED_VALUE"""),24777728.8224999)</f>
        <v>24777728.822499901</v>
      </c>
      <c r="J47" s="171">
        <f ca="1">IFERROR(__xludf.DUMMYFUNCTION("""COMPUTED_VALUE"""),2627252.17666666)</f>
        <v>2627252.1766666598</v>
      </c>
      <c r="K47" s="171">
        <f ca="1">IFERROR(__xludf.DUMMYFUNCTION("""COMPUTED_VALUE"""),2131353.57666666)</f>
        <v>2131353.5766666601</v>
      </c>
      <c r="L47" s="171">
        <f ca="1">IFERROR(__xludf.DUMMYFUNCTION("""COMPUTED_VALUE"""),3423417.17666666)</f>
        <v>3423417.1766666598</v>
      </c>
      <c r="M47" s="171">
        <f ca="1">IFERROR(__xludf.DUMMYFUNCTION("""COMPUTED_VALUE"""),2063675.4325)</f>
        <v>2063675.4325000001</v>
      </c>
      <c r="N47" s="171">
        <f ca="1">IFERROR(__xludf.DUMMYFUNCTION("""COMPUTED_VALUE"""),1804025.4325)</f>
        <v>1804025.4325000001</v>
      </c>
      <c r="O47" s="171">
        <f ca="1">IFERROR(__xludf.DUMMYFUNCTION("""COMPUTED_VALUE"""),1796025.4325)</f>
        <v>1796025.4325000001</v>
      </c>
      <c r="P47" s="171">
        <f ca="1">IFERROR(__xludf.DUMMYFUNCTION("""COMPUTED_VALUE"""),1796025.4325)</f>
        <v>1796025.4325000001</v>
      </c>
      <c r="Q47" s="171">
        <f ca="1">IFERROR(__xludf.DUMMYFUNCTION("""COMPUTED_VALUE"""),1861125.4325)</f>
        <v>1861125.4325000001</v>
      </c>
      <c r="R47" s="171">
        <f ca="1">IFERROR(__xludf.DUMMYFUNCTION("""COMPUTED_VALUE"""),1819025.4325)</f>
        <v>1819025.4325000001</v>
      </c>
      <c r="S47" s="171">
        <f ca="1">IFERROR(__xludf.DUMMYFUNCTION("""COMPUTED_VALUE"""),1796025.4325)</f>
        <v>1796025.4325000001</v>
      </c>
      <c r="T47" s="171">
        <f ca="1">IFERROR(__xludf.DUMMYFUNCTION("""COMPUTED_VALUE"""),1863752.4325)</f>
        <v>1863752.4325000001</v>
      </c>
      <c r="U47" s="171">
        <f ca="1">IFERROR(__xludf.DUMMYFUNCTION("""COMPUTED_VALUE"""),1796025.4325)</f>
        <v>1796025.4325000001</v>
      </c>
      <c r="V47" s="100">
        <f ca="1">IFERROR(__xludf.DUMMYFUNCTION("""COMPUTED_VALUE"""),2026)</f>
        <v>2026</v>
      </c>
      <c r="W47" s="171">
        <f ca="1">IFERROR(__xludf.DUMMYFUNCTION("""COMPUTED_VALUE"""),24777728.8224999)</f>
        <v>24777728.822499901</v>
      </c>
      <c r="X47" s="171">
        <f ca="1">IFERROR(__xludf.DUMMYFUNCTION("""COMPUTED_VALUE"""),0)</f>
        <v>0</v>
      </c>
    </row>
    <row r="48" spans="1:25" ht="15.75" customHeight="1" x14ac:dyDescent="0.2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Y48" s="69">
        <f t="shared" ref="Y48:Y69" si="2">W48-I48</f>
        <v>0</v>
      </c>
    </row>
    <row r="49" spans="1:25" ht="15.75" customHeight="1" x14ac:dyDescent="0.25">
      <c r="A49" s="136" t="str">
        <f ca="1">IFERROR(__xludf.DUMMYFUNCTION("Importrange(""https://docs.google.com/spreadsheets/d/1EA8EGnJ7tOGf-qo-aB6osaUKQtA2wcKuN4ytkCn559g/edit?gid=1354986018#"",""Summary!A3:X24"")"),"India ")</f>
        <v xml:space="preserve">India </v>
      </c>
      <c r="B49" s="81" t="str">
        <f ca="1">IFERROR(__xludf.DUMMYFUNCTION("""COMPUTED_VALUE"""),"NHIPLC")</f>
        <v>NHIPLC</v>
      </c>
      <c r="C49" s="139" t="str">
        <f ca="1">IFERROR(__xludf.DUMMYFUNCTION("""COMPUTED_VALUE"""),"Country Digital Product")</f>
        <v>Country Digital Product</v>
      </c>
      <c r="D49" s="81" t="str">
        <f ca="1">IFERROR(__xludf.DUMMYFUNCTION("""COMPUTED_VALUE"""),"Country Product")</f>
        <v>Country Product</v>
      </c>
      <c r="E49" s="139" t="str">
        <f ca="1">IFERROR(__xludf.DUMMYFUNCTION("""COMPUTED_VALUE"""),"Payroll Cost")</f>
        <v>Payroll Cost</v>
      </c>
      <c r="F49" s="139" t="str">
        <f ca="1">IFERROR(__xludf.DUMMYFUNCTION("""COMPUTED_VALUE"""),"Salaries and Wages")</f>
        <v>Salaries and Wages</v>
      </c>
      <c r="G49" s="139" t="str">
        <f ca="1">IFERROR(__xludf.DUMMYFUNCTION("""COMPUTED_VALUE"""),"Salaries and Wages")</f>
        <v>Salaries and Wages</v>
      </c>
      <c r="H49" s="141" t="str">
        <f ca="1">IFERROR(__xludf.DUMMYFUNCTION("""COMPUTED_VALUE"""),"91101-91107")</f>
        <v>91101-91107</v>
      </c>
      <c r="I49" s="140">
        <f ca="1">IFERROR(__xludf.DUMMYFUNCTION("""COMPUTED_VALUE"""),12092681.9999999)</f>
        <v>12092681.999999899</v>
      </c>
      <c r="J49" s="140">
        <f ca="1">IFERROR(__xludf.DUMMYFUNCTION("""COMPUTED_VALUE"""),576473.75)</f>
        <v>576473.75</v>
      </c>
      <c r="K49" s="140">
        <f ca="1">IFERROR(__xludf.DUMMYFUNCTION("""COMPUTED_VALUE"""),576473.75)</f>
        <v>576473.75</v>
      </c>
      <c r="L49" s="140">
        <f ca="1">IFERROR(__xludf.DUMMYFUNCTION("""COMPUTED_VALUE"""),576473.75)</f>
        <v>576473.75</v>
      </c>
      <c r="M49" s="140">
        <f ca="1">IFERROR(__xludf.DUMMYFUNCTION("""COMPUTED_VALUE"""),1151473.41666666)</f>
        <v>1151473.41666666</v>
      </c>
      <c r="N49" s="140">
        <f ca="1">IFERROR(__xludf.DUMMYFUNCTION("""COMPUTED_VALUE"""),1151473.41666666)</f>
        <v>1151473.41666666</v>
      </c>
      <c r="O49" s="140">
        <f ca="1">IFERROR(__xludf.DUMMYFUNCTION("""COMPUTED_VALUE"""),1151473.41666666)</f>
        <v>1151473.41666666</v>
      </c>
      <c r="P49" s="140">
        <f ca="1">IFERROR(__xludf.DUMMYFUNCTION("""COMPUTED_VALUE"""),1151473.41666666)</f>
        <v>1151473.41666666</v>
      </c>
      <c r="Q49" s="140">
        <f ca="1">IFERROR(__xludf.DUMMYFUNCTION("""COMPUTED_VALUE"""),1151473.41666666)</f>
        <v>1151473.41666666</v>
      </c>
      <c r="R49" s="140">
        <f ca="1">IFERROR(__xludf.DUMMYFUNCTION("""COMPUTED_VALUE"""),1151473.41666666)</f>
        <v>1151473.41666666</v>
      </c>
      <c r="S49" s="140">
        <f ca="1">IFERROR(__xludf.DUMMYFUNCTION("""COMPUTED_VALUE"""),1151473.41666666)</f>
        <v>1151473.41666666</v>
      </c>
      <c r="T49" s="140">
        <f ca="1">IFERROR(__xludf.DUMMYFUNCTION("""COMPUTED_VALUE"""),1151473.41666666)</f>
        <v>1151473.41666666</v>
      </c>
      <c r="U49" s="140">
        <f ca="1">IFERROR(__xludf.DUMMYFUNCTION("""COMPUTED_VALUE"""),1151473.41666666)</f>
        <v>1151473.41666666</v>
      </c>
      <c r="V49" s="100"/>
      <c r="W49" s="140">
        <f ca="1">IFERROR(__xludf.DUMMYFUNCTION("""COMPUTED_VALUE"""),12092681.9999999)</f>
        <v>12092681.999999899</v>
      </c>
      <c r="X49" s="140">
        <f ca="1">IFERROR(__xludf.DUMMYFUNCTION("""COMPUTED_VALUE"""),0)</f>
        <v>0</v>
      </c>
      <c r="Y49" s="147">
        <f t="shared" ca="1" si="2"/>
        <v>0</v>
      </c>
    </row>
    <row r="50" spans="1:25" ht="15.75" customHeight="1" x14ac:dyDescent="0.25">
      <c r="A50" s="148" t="str">
        <f ca="1">IFERROR(__xludf.DUMMYFUNCTION("""COMPUTED_VALUE"""),"India ")</f>
        <v xml:space="preserve">India </v>
      </c>
      <c r="B50" s="81" t="str">
        <f ca="1">IFERROR(__xludf.DUMMYFUNCTION("""COMPUTED_VALUE"""),"NHIPLC")</f>
        <v>NHIPLC</v>
      </c>
      <c r="C50" s="139" t="str">
        <f ca="1">IFERROR(__xludf.DUMMYFUNCTION("""COMPUTED_VALUE"""),"Country Digital Product")</f>
        <v>Country Digital Product</v>
      </c>
      <c r="D50" s="81" t="str">
        <f ca="1">IFERROR(__xludf.DUMMYFUNCTION("""COMPUTED_VALUE"""),"Country Product")</f>
        <v>Country Product</v>
      </c>
      <c r="E50" s="139" t="str">
        <f ca="1">IFERROR(__xludf.DUMMYFUNCTION("""COMPUTED_VALUE"""),"Payroll Cost")</f>
        <v>Payroll Cost</v>
      </c>
      <c r="F50" s="139" t="str">
        <f ca="1">IFERROR(__xludf.DUMMYFUNCTION("""COMPUTED_VALUE"""),"Health and Retirement Benefits")</f>
        <v>Health and Retirement Benefits</v>
      </c>
      <c r="G50" s="139" t="str">
        <f ca="1">IFERROR(__xludf.DUMMYFUNCTION("""COMPUTED_VALUE"""),"Gratuity &amp; Bonus")</f>
        <v>Gratuity &amp; Bonus</v>
      </c>
      <c r="H50" s="141" t="str">
        <f ca="1">IFERROR(__xludf.DUMMYFUNCTION("""COMPUTED_VALUE"""),"91201-91207")</f>
        <v>91201-91207</v>
      </c>
      <c r="I50" s="140">
        <f ca="1">IFERROR(__xludf.DUMMYFUNCTION("""COMPUTED_VALUE"""),0)</f>
        <v>0</v>
      </c>
      <c r="J50" s="140">
        <f ca="1">IFERROR(__xludf.DUMMYFUNCTION("""COMPUTED_VALUE"""),0)</f>
        <v>0</v>
      </c>
      <c r="K50" s="140">
        <f ca="1">IFERROR(__xludf.DUMMYFUNCTION("""COMPUTED_VALUE"""),0)</f>
        <v>0</v>
      </c>
      <c r="L50" s="140">
        <f ca="1">IFERROR(__xludf.DUMMYFUNCTION("""COMPUTED_VALUE"""),0)</f>
        <v>0</v>
      </c>
      <c r="M50" s="140">
        <f ca="1">IFERROR(__xludf.DUMMYFUNCTION("""COMPUTED_VALUE"""),0)</f>
        <v>0</v>
      </c>
      <c r="N50" s="140">
        <f ca="1">IFERROR(__xludf.DUMMYFUNCTION("""COMPUTED_VALUE"""),0)</f>
        <v>0</v>
      </c>
      <c r="O50" s="140">
        <f ca="1">IFERROR(__xludf.DUMMYFUNCTION("""COMPUTED_VALUE"""),0)</f>
        <v>0</v>
      </c>
      <c r="P50" s="140">
        <f ca="1">IFERROR(__xludf.DUMMYFUNCTION("""COMPUTED_VALUE"""),0)</f>
        <v>0</v>
      </c>
      <c r="Q50" s="140">
        <f ca="1">IFERROR(__xludf.DUMMYFUNCTION("""COMPUTED_VALUE"""),0)</f>
        <v>0</v>
      </c>
      <c r="R50" s="140">
        <f ca="1">IFERROR(__xludf.DUMMYFUNCTION("""COMPUTED_VALUE"""),0)</f>
        <v>0</v>
      </c>
      <c r="S50" s="140">
        <f ca="1">IFERROR(__xludf.DUMMYFUNCTION("""COMPUTED_VALUE"""),0)</f>
        <v>0</v>
      </c>
      <c r="T50" s="140">
        <f ca="1">IFERROR(__xludf.DUMMYFUNCTION("""COMPUTED_VALUE"""),0)</f>
        <v>0</v>
      </c>
      <c r="U50" s="140">
        <f ca="1">IFERROR(__xludf.DUMMYFUNCTION("""COMPUTED_VALUE"""),0)</f>
        <v>0</v>
      </c>
      <c r="V50" s="100"/>
      <c r="W50" s="140">
        <f ca="1">IFERROR(__xludf.DUMMYFUNCTION("""COMPUTED_VALUE"""),0)</f>
        <v>0</v>
      </c>
      <c r="X50" s="140">
        <f ca="1">IFERROR(__xludf.DUMMYFUNCTION("""COMPUTED_VALUE"""),0)</f>
        <v>0</v>
      </c>
      <c r="Y50" s="147">
        <f t="shared" ca="1" si="2"/>
        <v>0</v>
      </c>
    </row>
    <row r="51" spans="1:25" ht="15.75" customHeight="1" x14ac:dyDescent="0.25">
      <c r="A51" s="148" t="str">
        <f ca="1">IFERROR(__xludf.DUMMYFUNCTION("""COMPUTED_VALUE"""),"India ")</f>
        <v xml:space="preserve">India </v>
      </c>
      <c r="B51" s="81" t="str">
        <f ca="1">IFERROR(__xludf.DUMMYFUNCTION("""COMPUTED_VALUE"""),"NHIPLC")</f>
        <v>NHIPLC</v>
      </c>
      <c r="C51" s="139" t="str">
        <f ca="1">IFERROR(__xludf.DUMMYFUNCTION("""COMPUTED_VALUE"""),"Country Digital Product")</f>
        <v>Country Digital Product</v>
      </c>
      <c r="D51" s="81" t="str">
        <f ca="1">IFERROR(__xludf.DUMMYFUNCTION("""COMPUTED_VALUE"""),"Country Product")</f>
        <v>Country Product</v>
      </c>
      <c r="E51" s="139" t="str">
        <f ca="1">IFERROR(__xludf.DUMMYFUNCTION("""COMPUTED_VALUE"""),"Payroll Cost")</f>
        <v>Payroll Cost</v>
      </c>
      <c r="F51" s="139" t="str">
        <f ca="1">IFERROR(__xludf.DUMMYFUNCTION("""COMPUTED_VALUE"""),"Other Staff Expenses")</f>
        <v>Other Staff Expenses</v>
      </c>
      <c r="G51" s="139" t="str">
        <f ca="1">IFERROR(__xludf.DUMMYFUNCTION("""COMPUTED_VALUE"""),"Staff Training, Learning &amp; Development Exp")</f>
        <v>Staff Training, Learning &amp; Development Exp</v>
      </c>
      <c r="H51" s="141">
        <f ca="1">IFERROR(__xludf.DUMMYFUNCTION("""COMPUTED_VALUE"""),91302)</f>
        <v>91302</v>
      </c>
      <c r="I51" s="140">
        <f ca="1">IFERROR(__xludf.DUMMYFUNCTION("""COMPUTED_VALUE"""),0)</f>
        <v>0</v>
      </c>
      <c r="J51" s="140">
        <f ca="1">IFERROR(__xludf.DUMMYFUNCTION("""COMPUTED_VALUE"""),0)</f>
        <v>0</v>
      </c>
      <c r="K51" s="140">
        <f ca="1">IFERROR(__xludf.DUMMYFUNCTION("""COMPUTED_VALUE"""),0)</f>
        <v>0</v>
      </c>
      <c r="L51" s="140">
        <f ca="1">IFERROR(__xludf.DUMMYFUNCTION("""COMPUTED_VALUE"""),0)</f>
        <v>0</v>
      </c>
      <c r="M51" s="140">
        <f ca="1">IFERROR(__xludf.DUMMYFUNCTION("""COMPUTED_VALUE"""),0)</f>
        <v>0</v>
      </c>
      <c r="N51" s="140">
        <f ca="1">IFERROR(__xludf.DUMMYFUNCTION("""COMPUTED_VALUE"""),0)</f>
        <v>0</v>
      </c>
      <c r="O51" s="140">
        <f ca="1">IFERROR(__xludf.DUMMYFUNCTION("""COMPUTED_VALUE"""),0)</f>
        <v>0</v>
      </c>
      <c r="P51" s="140">
        <f ca="1">IFERROR(__xludf.DUMMYFUNCTION("""COMPUTED_VALUE"""),0)</f>
        <v>0</v>
      </c>
      <c r="Q51" s="140">
        <f ca="1">IFERROR(__xludf.DUMMYFUNCTION("""COMPUTED_VALUE"""),0)</f>
        <v>0</v>
      </c>
      <c r="R51" s="140">
        <f ca="1">IFERROR(__xludf.DUMMYFUNCTION("""COMPUTED_VALUE"""),0)</f>
        <v>0</v>
      </c>
      <c r="S51" s="140">
        <f ca="1">IFERROR(__xludf.DUMMYFUNCTION("""COMPUTED_VALUE"""),0)</f>
        <v>0</v>
      </c>
      <c r="T51" s="140">
        <f ca="1">IFERROR(__xludf.DUMMYFUNCTION("""COMPUTED_VALUE"""),0)</f>
        <v>0</v>
      </c>
      <c r="U51" s="140">
        <f ca="1">IFERROR(__xludf.DUMMYFUNCTION("""COMPUTED_VALUE"""),0)</f>
        <v>0</v>
      </c>
      <c r="V51" s="100"/>
      <c r="W51" s="140">
        <f ca="1">IFERROR(__xludf.DUMMYFUNCTION("""COMPUTED_VALUE"""),0)</f>
        <v>0</v>
      </c>
      <c r="X51" s="140">
        <f ca="1">IFERROR(__xludf.DUMMYFUNCTION("""COMPUTED_VALUE"""),0)</f>
        <v>0</v>
      </c>
      <c r="Y51" s="147">
        <f t="shared" ca="1" si="2"/>
        <v>0</v>
      </c>
    </row>
    <row r="52" spans="1:25" ht="15.75" customHeight="1" x14ac:dyDescent="0.25">
      <c r="A52" s="148" t="str">
        <f ca="1">IFERROR(__xludf.DUMMYFUNCTION("""COMPUTED_VALUE"""),"India ")</f>
        <v xml:space="preserve">India </v>
      </c>
      <c r="B52" s="81" t="str">
        <f ca="1">IFERROR(__xludf.DUMMYFUNCTION("""COMPUTED_VALUE"""),"NHIPLC")</f>
        <v>NHIPLC</v>
      </c>
      <c r="C52" s="139" t="str">
        <f ca="1">IFERROR(__xludf.DUMMYFUNCTION("""COMPUTED_VALUE"""),"Country Digital Product")</f>
        <v>Country Digital Product</v>
      </c>
      <c r="D52" s="81" t="str">
        <f ca="1">IFERROR(__xludf.DUMMYFUNCTION("""COMPUTED_VALUE"""),"Country Product")</f>
        <v>Country Product</v>
      </c>
      <c r="E52" s="81" t="str">
        <f ca="1">IFERROR(__xludf.DUMMYFUNCTION("""COMPUTED_VALUE"""),"Direct Consultants")</f>
        <v>Direct Consultants</v>
      </c>
      <c r="F52" s="81" t="str">
        <f ca="1">IFERROR(__xludf.DUMMYFUNCTION("""COMPUTED_VALUE"""),"Resource Persons")</f>
        <v>Resource Persons</v>
      </c>
      <c r="G52" s="81" t="str">
        <f ca="1">IFERROR(__xludf.DUMMYFUNCTION("""COMPUTED_VALUE"""),"Program Resource Consultant (EHA)")</f>
        <v>Program Resource Consultant (EHA)</v>
      </c>
      <c r="H52" s="35">
        <f ca="1">IFERROR(__xludf.DUMMYFUNCTION("""COMPUTED_VALUE"""),92101)</f>
        <v>92101</v>
      </c>
      <c r="I52" s="140">
        <f ca="1">IFERROR(__xludf.DUMMYFUNCTION("""COMPUTED_VALUE"""),4898079.33333333)</f>
        <v>4898079.3333333302</v>
      </c>
      <c r="J52" s="140">
        <f ca="1">IFERROR(__xludf.DUMMYFUNCTION("""COMPUTED_VALUE"""),320506)</f>
        <v>320506</v>
      </c>
      <c r="K52" s="140">
        <f ca="1">IFERROR(__xludf.DUMMYFUNCTION("""COMPUTED_VALUE"""),305840)</f>
        <v>305840</v>
      </c>
      <c r="L52" s="140">
        <f ca="1">IFERROR(__xludf.DUMMYFUNCTION("""COMPUTED_VALUE"""),427173.333333333)</f>
        <v>427173.33333333302</v>
      </c>
      <c r="M52" s="140">
        <f ca="1">IFERROR(__xludf.DUMMYFUNCTION("""COMPUTED_VALUE"""),427173.333333333)</f>
        <v>427173.33333333302</v>
      </c>
      <c r="N52" s="140">
        <f ca="1">IFERROR(__xludf.DUMMYFUNCTION("""COMPUTED_VALUE"""),427173.333333333)</f>
        <v>427173.33333333302</v>
      </c>
      <c r="O52" s="140">
        <f ca="1">IFERROR(__xludf.DUMMYFUNCTION("""COMPUTED_VALUE"""),427173.333333333)</f>
        <v>427173.33333333302</v>
      </c>
      <c r="P52" s="140">
        <f ca="1">IFERROR(__xludf.DUMMYFUNCTION("""COMPUTED_VALUE"""),427173.333333333)</f>
        <v>427173.33333333302</v>
      </c>
      <c r="Q52" s="140">
        <f ca="1">IFERROR(__xludf.DUMMYFUNCTION("""COMPUTED_VALUE"""),427173.333333333)</f>
        <v>427173.33333333302</v>
      </c>
      <c r="R52" s="140">
        <f ca="1">IFERROR(__xludf.DUMMYFUNCTION("""COMPUTED_VALUE"""),427173.333333333)</f>
        <v>427173.33333333302</v>
      </c>
      <c r="S52" s="140">
        <f ca="1">IFERROR(__xludf.DUMMYFUNCTION("""COMPUTED_VALUE"""),427173.333333333)</f>
        <v>427173.33333333302</v>
      </c>
      <c r="T52" s="140">
        <f ca="1">IFERROR(__xludf.DUMMYFUNCTION("""COMPUTED_VALUE"""),427173.333333333)</f>
        <v>427173.33333333302</v>
      </c>
      <c r="U52" s="140">
        <f ca="1">IFERROR(__xludf.DUMMYFUNCTION("""COMPUTED_VALUE"""),427173.333333333)</f>
        <v>427173.33333333302</v>
      </c>
      <c r="V52" s="100"/>
      <c r="W52" s="140">
        <f ca="1">IFERROR(__xludf.DUMMYFUNCTION("""COMPUTED_VALUE"""),4898079.33333333)</f>
        <v>4898079.3333333302</v>
      </c>
      <c r="X52" s="140">
        <f ca="1">IFERROR(__xludf.DUMMYFUNCTION("""COMPUTED_VALUE"""),0)</f>
        <v>0</v>
      </c>
      <c r="Y52" s="147">
        <f t="shared" ca="1" si="2"/>
        <v>0</v>
      </c>
    </row>
    <row r="53" spans="1:25" ht="15.75" customHeight="1" x14ac:dyDescent="0.25">
      <c r="A53" s="148" t="str">
        <f ca="1">IFERROR(__xludf.DUMMYFUNCTION("""COMPUTED_VALUE"""),"India ")</f>
        <v xml:space="preserve">India </v>
      </c>
      <c r="B53" s="81" t="str">
        <f ca="1">IFERROR(__xludf.DUMMYFUNCTION("""COMPUTED_VALUE"""),"NHIPLC")</f>
        <v>NHIPLC</v>
      </c>
      <c r="C53" s="81" t="str">
        <f ca="1">IFERROR(__xludf.DUMMYFUNCTION("""COMPUTED_VALUE"""),"Country Digital Product")</f>
        <v>Country Digital Product</v>
      </c>
      <c r="D53" s="81" t="str">
        <f ca="1">IFERROR(__xludf.DUMMYFUNCTION("""COMPUTED_VALUE"""),"Country Product")</f>
        <v>Country Product</v>
      </c>
      <c r="E53" s="81" t="str">
        <f ca="1">IFERROR(__xludf.DUMMYFUNCTION("""COMPUTED_VALUE"""),"Direct Cost")</f>
        <v>Direct Cost</v>
      </c>
      <c r="F53" s="81" t="str">
        <f ca="1">IFERROR(__xludf.DUMMYFUNCTION("""COMPUTED_VALUE"""),"Travel &amp; Lodging Expenses")</f>
        <v>Travel &amp; Lodging Expenses</v>
      </c>
      <c r="G53" s="81" t="str">
        <f ca="1">IFERROR(__xludf.DUMMYFUNCTION("""COMPUTED_VALUE"""),"Hotel Accomodation")</f>
        <v>Hotel Accomodation</v>
      </c>
      <c r="H53" s="35">
        <f ca="1">IFERROR(__xludf.DUMMYFUNCTION("""COMPUTED_VALUE"""),93101)</f>
        <v>93101</v>
      </c>
      <c r="I53" s="140">
        <f ca="1">IFERROR(__xludf.DUMMYFUNCTION("""COMPUTED_VALUE"""),283500)</f>
        <v>283500</v>
      </c>
      <c r="J53" s="140">
        <f ca="1">IFERROR(__xludf.DUMMYFUNCTION("""COMPUTED_VALUE"""),0)</f>
        <v>0</v>
      </c>
      <c r="K53" s="140">
        <f ca="1">IFERROR(__xludf.DUMMYFUNCTION("""COMPUTED_VALUE"""),21000)</f>
        <v>21000</v>
      </c>
      <c r="L53" s="140">
        <f ca="1">IFERROR(__xludf.DUMMYFUNCTION("""COMPUTED_VALUE"""),31500)</f>
        <v>31500</v>
      </c>
      <c r="M53" s="140">
        <f ca="1">IFERROR(__xludf.DUMMYFUNCTION("""COMPUTED_VALUE"""),42000)</f>
        <v>42000</v>
      </c>
      <c r="N53" s="140">
        <f ca="1">IFERROR(__xludf.DUMMYFUNCTION("""COMPUTED_VALUE"""),21000)</f>
        <v>21000</v>
      </c>
      <c r="O53" s="140">
        <f ca="1">IFERROR(__xludf.DUMMYFUNCTION("""COMPUTED_VALUE"""),31500)</f>
        <v>31500</v>
      </c>
      <c r="P53" s="140">
        <f ca="1">IFERROR(__xludf.DUMMYFUNCTION("""COMPUTED_VALUE"""),42000)</f>
        <v>42000</v>
      </c>
      <c r="Q53" s="140">
        <f ca="1">IFERROR(__xludf.DUMMYFUNCTION("""COMPUTED_VALUE"""),21000)</f>
        <v>21000</v>
      </c>
      <c r="R53" s="140">
        <f ca="1">IFERROR(__xludf.DUMMYFUNCTION("""COMPUTED_VALUE"""),73500)</f>
        <v>73500</v>
      </c>
      <c r="S53" s="140">
        <f ca="1">IFERROR(__xludf.DUMMYFUNCTION("""COMPUTED_VALUE"""),0)</f>
        <v>0</v>
      </c>
      <c r="T53" s="140">
        <f ca="1">IFERROR(__xludf.DUMMYFUNCTION("""COMPUTED_VALUE"""),0)</f>
        <v>0</v>
      </c>
      <c r="U53" s="140">
        <f ca="1">IFERROR(__xludf.DUMMYFUNCTION("""COMPUTED_VALUE"""),0)</f>
        <v>0</v>
      </c>
      <c r="V53" s="100"/>
      <c r="W53" s="140">
        <f ca="1">IFERROR(__xludf.DUMMYFUNCTION("""COMPUTED_VALUE"""),283500)</f>
        <v>283500</v>
      </c>
      <c r="X53" s="140"/>
      <c r="Y53" s="147">
        <f t="shared" ca="1" si="2"/>
        <v>0</v>
      </c>
    </row>
    <row r="54" spans="1:25" ht="15.75" customHeight="1" x14ac:dyDescent="0.25">
      <c r="A54" s="148" t="str">
        <f ca="1">IFERROR(__xludf.DUMMYFUNCTION("""COMPUTED_VALUE"""),"India ")</f>
        <v xml:space="preserve">India </v>
      </c>
      <c r="B54" s="81" t="str">
        <f ca="1">IFERROR(__xludf.DUMMYFUNCTION("""COMPUTED_VALUE"""),"NHIPLC")</f>
        <v>NHIPLC</v>
      </c>
      <c r="C54" s="81" t="str">
        <f ca="1">IFERROR(__xludf.DUMMYFUNCTION("""COMPUTED_VALUE"""),"Country Digital Product")</f>
        <v>Country Digital Product</v>
      </c>
      <c r="D54" s="81" t="str">
        <f ca="1">IFERROR(__xludf.DUMMYFUNCTION("""COMPUTED_VALUE"""),"Country Product")</f>
        <v>Country Product</v>
      </c>
      <c r="E54" s="81" t="str">
        <f ca="1">IFERROR(__xludf.DUMMYFUNCTION("""COMPUTED_VALUE"""),"Direct Cost")</f>
        <v>Direct Cost</v>
      </c>
      <c r="F54" s="81" t="str">
        <f ca="1">IFERROR(__xludf.DUMMYFUNCTION("""COMPUTED_VALUE"""),"Travel &amp; Lodging Expenses")</f>
        <v>Travel &amp; Lodging Expenses</v>
      </c>
      <c r="G54" s="81" t="str">
        <f ca="1">IFERROR(__xludf.DUMMYFUNCTION("""COMPUTED_VALUE"""),"Food Expenses")</f>
        <v>Food Expenses</v>
      </c>
      <c r="H54" s="35">
        <f ca="1">IFERROR(__xludf.DUMMYFUNCTION("""COMPUTED_VALUE"""),93102)</f>
        <v>93102</v>
      </c>
      <c r="I54" s="140">
        <f ca="1">IFERROR(__xludf.DUMMYFUNCTION("""COMPUTED_VALUE"""),81000)</f>
        <v>81000</v>
      </c>
      <c r="J54" s="140">
        <f ca="1">IFERROR(__xludf.DUMMYFUNCTION("""COMPUTED_VALUE"""),0)</f>
        <v>0</v>
      </c>
      <c r="K54" s="140">
        <f ca="1">IFERROR(__xludf.DUMMYFUNCTION("""COMPUTED_VALUE"""),6000)</f>
        <v>6000</v>
      </c>
      <c r="L54" s="140">
        <f ca="1">IFERROR(__xludf.DUMMYFUNCTION("""COMPUTED_VALUE"""),9000)</f>
        <v>9000</v>
      </c>
      <c r="M54" s="140">
        <f ca="1">IFERROR(__xludf.DUMMYFUNCTION("""COMPUTED_VALUE"""),12000)</f>
        <v>12000</v>
      </c>
      <c r="N54" s="140">
        <f ca="1">IFERROR(__xludf.DUMMYFUNCTION("""COMPUTED_VALUE"""),6000)</f>
        <v>6000</v>
      </c>
      <c r="O54" s="140">
        <f ca="1">IFERROR(__xludf.DUMMYFUNCTION("""COMPUTED_VALUE"""),9000)</f>
        <v>9000</v>
      </c>
      <c r="P54" s="140">
        <f ca="1">IFERROR(__xludf.DUMMYFUNCTION("""COMPUTED_VALUE"""),12000)</f>
        <v>12000</v>
      </c>
      <c r="Q54" s="140">
        <f ca="1">IFERROR(__xludf.DUMMYFUNCTION("""COMPUTED_VALUE"""),6000)</f>
        <v>6000</v>
      </c>
      <c r="R54" s="140">
        <f ca="1">IFERROR(__xludf.DUMMYFUNCTION("""COMPUTED_VALUE"""),21000)</f>
        <v>21000</v>
      </c>
      <c r="S54" s="140">
        <f ca="1">IFERROR(__xludf.DUMMYFUNCTION("""COMPUTED_VALUE"""),0)</f>
        <v>0</v>
      </c>
      <c r="T54" s="140">
        <f ca="1">IFERROR(__xludf.DUMMYFUNCTION("""COMPUTED_VALUE"""),0)</f>
        <v>0</v>
      </c>
      <c r="U54" s="140">
        <f ca="1">IFERROR(__xludf.DUMMYFUNCTION("""COMPUTED_VALUE"""),0)</f>
        <v>0</v>
      </c>
      <c r="V54" s="100"/>
      <c r="W54" s="140">
        <f ca="1">IFERROR(__xludf.DUMMYFUNCTION("""COMPUTED_VALUE"""),81000)</f>
        <v>81000</v>
      </c>
      <c r="X54" s="140"/>
      <c r="Y54" s="147">
        <f t="shared" ca="1" si="2"/>
        <v>0</v>
      </c>
    </row>
    <row r="55" spans="1:25" ht="15.75" customHeight="1" x14ac:dyDescent="0.25">
      <c r="A55" s="148" t="str">
        <f ca="1">IFERROR(__xludf.DUMMYFUNCTION("""COMPUTED_VALUE"""),"India ")</f>
        <v xml:space="preserve">India </v>
      </c>
      <c r="B55" s="81" t="str">
        <f ca="1">IFERROR(__xludf.DUMMYFUNCTION("""COMPUTED_VALUE"""),"NHIPLC")</f>
        <v>NHIPLC</v>
      </c>
      <c r="C55" s="81" t="str">
        <f ca="1">IFERROR(__xludf.DUMMYFUNCTION("""COMPUTED_VALUE"""),"Country Digital Product")</f>
        <v>Country Digital Product</v>
      </c>
      <c r="D55" s="81" t="str">
        <f ca="1">IFERROR(__xludf.DUMMYFUNCTION("""COMPUTED_VALUE"""),"Country Product")</f>
        <v>Country Product</v>
      </c>
      <c r="E55" s="81" t="str">
        <f ca="1">IFERROR(__xludf.DUMMYFUNCTION("""COMPUTED_VALUE"""),"Direct Cost")</f>
        <v>Direct Cost</v>
      </c>
      <c r="F55" s="81" t="str">
        <f ca="1">IFERROR(__xludf.DUMMYFUNCTION("""COMPUTED_VALUE"""),"Travel &amp; Lodging Expenses")</f>
        <v>Travel &amp; Lodging Expenses</v>
      </c>
      <c r="G55" s="81" t="str">
        <f ca="1">IFERROR(__xludf.DUMMYFUNCTION("""COMPUTED_VALUE"""),"Air fare")</f>
        <v>Air fare</v>
      </c>
      <c r="H55" s="35">
        <f ca="1">IFERROR(__xludf.DUMMYFUNCTION("""COMPUTED_VALUE"""),93103)</f>
        <v>93103</v>
      </c>
      <c r="I55" s="140">
        <f ca="1">IFERROR(__xludf.DUMMYFUNCTION("""COMPUTED_VALUE"""),324000)</f>
        <v>324000</v>
      </c>
      <c r="J55" s="140">
        <f ca="1">IFERROR(__xludf.DUMMYFUNCTION("""COMPUTED_VALUE"""),0)</f>
        <v>0</v>
      </c>
      <c r="K55" s="140">
        <f ca="1">IFERROR(__xludf.DUMMYFUNCTION("""COMPUTED_VALUE"""),36000)</f>
        <v>36000</v>
      </c>
      <c r="L55" s="140">
        <f ca="1">IFERROR(__xludf.DUMMYFUNCTION("""COMPUTED_VALUE"""),36000)</f>
        <v>36000</v>
      </c>
      <c r="M55" s="140">
        <f ca="1">IFERROR(__xludf.DUMMYFUNCTION("""COMPUTED_VALUE"""),36000)</f>
        <v>36000</v>
      </c>
      <c r="N55" s="140">
        <f ca="1">IFERROR(__xludf.DUMMYFUNCTION("""COMPUTED_VALUE"""),36000)</f>
        <v>36000</v>
      </c>
      <c r="O55" s="140">
        <f ca="1">IFERROR(__xludf.DUMMYFUNCTION("""COMPUTED_VALUE"""),36000)</f>
        <v>36000</v>
      </c>
      <c r="P55" s="140">
        <f ca="1">IFERROR(__xludf.DUMMYFUNCTION("""COMPUTED_VALUE"""),36000)</f>
        <v>36000</v>
      </c>
      <c r="Q55" s="140">
        <f ca="1">IFERROR(__xludf.DUMMYFUNCTION("""COMPUTED_VALUE"""),36000)</f>
        <v>36000</v>
      </c>
      <c r="R55" s="140">
        <f ca="1">IFERROR(__xludf.DUMMYFUNCTION("""COMPUTED_VALUE"""),72000)</f>
        <v>72000</v>
      </c>
      <c r="S55" s="140">
        <f ca="1">IFERROR(__xludf.DUMMYFUNCTION("""COMPUTED_VALUE"""),0)</f>
        <v>0</v>
      </c>
      <c r="T55" s="140">
        <f ca="1">IFERROR(__xludf.DUMMYFUNCTION("""COMPUTED_VALUE"""),0)</f>
        <v>0</v>
      </c>
      <c r="U55" s="140">
        <f ca="1">IFERROR(__xludf.DUMMYFUNCTION("""COMPUTED_VALUE"""),0)</f>
        <v>0</v>
      </c>
      <c r="V55" s="100"/>
      <c r="W55" s="140">
        <f ca="1">IFERROR(__xludf.DUMMYFUNCTION("""COMPUTED_VALUE"""),324000)</f>
        <v>324000</v>
      </c>
      <c r="X55" s="140"/>
      <c r="Y55" s="147">
        <f t="shared" ca="1" si="2"/>
        <v>0</v>
      </c>
    </row>
    <row r="56" spans="1:25" ht="15.75" customHeight="1" x14ac:dyDescent="0.25">
      <c r="A56" s="148" t="str">
        <f ca="1">IFERROR(__xludf.DUMMYFUNCTION("""COMPUTED_VALUE"""),"India ")</f>
        <v xml:space="preserve">India </v>
      </c>
      <c r="B56" s="81" t="str">
        <f ca="1">IFERROR(__xludf.DUMMYFUNCTION("""COMPUTED_VALUE"""),"NHIPLC")</f>
        <v>NHIPLC</v>
      </c>
      <c r="C56" s="81" t="str">
        <f ca="1">IFERROR(__xludf.DUMMYFUNCTION("""COMPUTED_VALUE"""),"Country Digital Product")</f>
        <v>Country Digital Product</v>
      </c>
      <c r="D56" s="81" t="str">
        <f ca="1">IFERROR(__xludf.DUMMYFUNCTION("""COMPUTED_VALUE"""),"Country Product")</f>
        <v>Country Product</v>
      </c>
      <c r="E56" s="81" t="str">
        <f ca="1">IFERROR(__xludf.DUMMYFUNCTION("""COMPUTED_VALUE"""),"Direct Cost")</f>
        <v>Direct Cost</v>
      </c>
      <c r="F56" s="81" t="str">
        <f ca="1">IFERROR(__xludf.DUMMYFUNCTION("""COMPUTED_VALUE"""),"Travel &amp; Lodging Expenses")</f>
        <v>Travel &amp; Lodging Expenses</v>
      </c>
      <c r="G56" s="81" t="str">
        <f ca="1">IFERROR(__xludf.DUMMYFUNCTION("""COMPUTED_VALUE"""),"Cab/Auto")</f>
        <v>Cab/Auto</v>
      </c>
      <c r="H56" s="35">
        <f ca="1">IFERROR(__xludf.DUMMYFUNCTION("""COMPUTED_VALUE"""),93104)</f>
        <v>93104</v>
      </c>
      <c r="I56" s="140">
        <f ca="1">IFERROR(__xludf.DUMMYFUNCTION("""COMPUTED_VALUE"""),226800)</f>
        <v>226800</v>
      </c>
      <c r="J56" s="140">
        <f ca="1">IFERROR(__xludf.DUMMYFUNCTION("""COMPUTED_VALUE"""),0)</f>
        <v>0</v>
      </c>
      <c r="K56" s="140">
        <f ca="1">IFERROR(__xludf.DUMMYFUNCTION("""COMPUTED_VALUE"""),16800)</f>
        <v>16800</v>
      </c>
      <c r="L56" s="140">
        <f ca="1">IFERROR(__xludf.DUMMYFUNCTION("""COMPUTED_VALUE"""),25200)</f>
        <v>25200</v>
      </c>
      <c r="M56" s="140">
        <f ca="1">IFERROR(__xludf.DUMMYFUNCTION("""COMPUTED_VALUE"""),33600)</f>
        <v>33600</v>
      </c>
      <c r="N56" s="140">
        <f ca="1">IFERROR(__xludf.DUMMYFUNCTION("""COMPUTED_VALUE"""),16800)</f>
        <v>16800</v>
      </c>
      <c r="O56" s="140">
        <f ca="1">IFERROR(__xludf.DUMMYFUNCTION("""COMPUTED_VALUE"""),25200)</f>
        <v>25200</v>
      </c>
      <c r="P56" s="140">
        <f ca="1">IFERROR(__xludf.DUMMYFUNCTION("""COMPUTED_VALUE"""),33600)</f>
        <v>33600</v>
      </c>
      <c r="Q56" s="140">
        <f ca="1">IFERROR(__xludf.DUMMYFUNCTION("""COMPUTED_VALUE"""),16800)</f>
        <v>16800</v>
      </c>
      <c r="R56" s="140">
        <f ca="1">IFERROR(__xludf.DUMMYFUNCTION("""COMPUTED_VALUE"""),58800)</f>
        <v>58800</v>
      </c>
      <c r="S56" s="140">
        <f ca="1">IFERROR(__xludf.DUMMYFUNCTION("""COMPUTED_VALUE"""),0)</f>
        <v>0</v>
      </c>
      <c r="T56" s="140">
        <f ca="1">IFERROR(__xludf.DUMMYFUNCTION("""COMPUTED_VALUE"""),0)</f>
        <v>0</v>
      </c>
      <c r="U56" s="140">
        <f ca="1">IFERROR(__xludf.DUMMYFUNCTION("""COMPUTED_VALUE"""),0)</f>
        <v>0</v>
      </c>
      <c r="V56" s="100"/>
      <c r="W56" s="140">
        <f ca="1">IFERROR(__xludf.DUMMYFUNCTION("""COMPUTED_VALUE"""),226800)</f>
        <v>226800</v>
      </c>
      <c r="X56" s="140"/>
      <c r="Y56" s="147">
        <f t="shared" ca="1" si="2"/>
        <v>0</v>
      </c>
    </row>
    <row r="57" spans="1:25" ht="15.75" customHeight="1" x14ac:dyDescent="0.25">
      <c r="A57" s="148" t="str">
        <f ca="1">IFERROR(__xludf.DUMMYFUNCTION("""COMPUTED_VALUE"""),"India ")</f>
        <v xml:space="preserve">India </v>
      </c>
      <c r="B57" s="81" t="str">
        <f ca="1">IFERROR(__xludf.DUMMYFUNCTION("""COMPUTED_VALUE"""),"NHIPLC")</f>
        <v>NHIPLC</v>
      </c>
      <c r="C57" s="81" t="str">
        <f ca="1">IFERROR(__xludf.DUMMYFUNCTION("""COMPUTED_VALUE"""),"Country Digital Product")</f>
        <v>Country Digital Product</v>
      </c>
      <c r="D57" s="81" t="str">
        <f ca="1">IFERROR(__xludf.DUMMYFUNCTION("""COMPUTED_VALUE"""),"Country Product")</f>
        <v>Country Product</v>
      </c>
      <c r="E57" s="81" t="str">
        <f ca="1">IFERROR(__xludf.DUMMYFUNCTION("""COMPUTED_VALUE"""),"Direct Cost")</f>
        <v>Direct Cost</v>
      </c>
      <c r="F57" s="81" t="str">
        <f ca="1">IFERROR(__xludf.DUMMYFUNCTION("""COMPUTED_VALUE"""),"Travel &amp; Lodging Expenses")</f>
        <v>Travel &amp; Lodging Expenses</v>
      </c>
      <c r="G57" s="81" t="str">
        <f ca="1">IFERROR(__xludf.DUMMYFUNCTION("""COMPUTED_VALUE"""),"Bus/Train")</f>
        <v>Bus/Train</v>
      </c>
      <c r="H57" s="35">
        <f ca="1">IFERROR(__xludf.DUMMYFUNCTION("""COMPUTED_VALUE"""),93105)</f>
        <v>93105</v>
      </c>
      <c r="I57" s="140">
        <f ca="1">IFERROR(__xludf.DUMMYFUNCTION("""COMPUTED_VALUE"""),27000)</f>
        <v>27000</v>
      </c>
      <c r="J57" s="140">
        <f ca="1">IFERROR(__xludf.DUMMYFUNCTION("""COMPUTED_VALUE"""),0)</f>
        <v>0</v>
      </c>
      <c r="K57" s="140">
        <f ca="1">IFERROR(__xludf.DUMMYFUNCTION("""COMPUTED_VALUE"""),3000)</f>
        <v>3000</v>
      </c>
      <c r="L57" s="140">
        <f ca="1">IFERROR(__xludf.DUMMYFUNCTION("""COMPUTED_VALUE"""),3000)</f>
        <v>3000</v>
      </c>
      <c r="M57" s="140">
        <f ca="1">IFERROR(__xludf.DUMMYFUNCTION("""COMPUTED_VALUE"""),3000)</f>
        <v>3000</v>
      </c>
      <c r="N57" s="140">
        <f ca="1">IFERROR(__xludf.DUMMYFUNCTION("""COMPUTED_VALUE"""),3000)</f>
        <v>3000</v>
      </c>
      <c r="O57" s="140">
        <f ca="1">IFERROR(__xludf.DUMMYFUNCTION("""COMPUTED_VALUE"""),3000)</f>
        <v>3000</v>
      </c>
      <c r="P57" s="140">
        <f ca="1">IFERROR(__xludf.DUMMYFUNCTION("""COMPUTED_VALUE"""),3000)</f>
        <v>3000</v>
      </c>
      <c r="Q57" s="140">
        <f ca="1">IFERROR(__xludf.DUMMYFUNCTION("""COMPUTED_VALUE"""),3000)</f>
        <v>3000</v>
      </c>
      <c r="R57" s="140">
        <f ca="1">IFERROR(__xludf.DUMMYFUNCTION("""COMPUTED_VALUE"""),6000)</f>
        <v>6000</v>
      </c>
      <c r="S57" s="140">
        <f ca="1">IFERROR(__xludf.DUMMYFUNCTION("""COMPUTED_VALUE"""),0)</f>
        <v>0</v>
      </c>
      <c r="T57" s="140">
        <f ca="1">IFERROR(__xludf.DUMMYFUNCTION("""COMPUTED_VALUE"""),0)</f>
        <v>0</v>
      </c>
      <c r="U57" s="140">
        <f ca="1">IFERROR(__xludf.DUMMYFUNCTION("""COMPUTED_VALUE"""),0)</f>
        <v>0</v>
      </c>
      <c r="V57" s="100"/>
      <c r="W57" s="140">
        <f ca="1">IFERROR(__xludf.DUMMYFUNCTION("""COMPUTED_VALUE"""),27000)</f>
        <v>27000</v>
      </c>
      <c r="X57" s="140"/>
      <c r="Y57" s="147">
        <f t="shared" ca="1" si="2"/>
        <v>0</v>
      </c>
    </row>
    <row r="58" spans="1:25" ht="15.75" customHeight="1" x14ac:dyDescent="0.25">
      <c r="A58" s="148" t="str">
        <f ca="1">IFERROR(__xludf.DUMMYFUNCTION("""COMPUTED_VALUE"""),"India ")</f>
        <v xml:space="preserve">India </v>
      </c>
      <c r="B58" s="81" t="str">
        <f ca="1">IFERROR(__xludf.DUMMYFUNCTION("""COMPUTED_VALUE"""),"NHIPLC")</f>
        <v>NHIPLC</v>
      </c>
      <c r="C58" s="81" t="str">
        <f ca="1">IFERROR(__xludf.DUMMYFUNCTION("""COMPUTED_VALUE"""),"Country Digital Product")</f>
        <v>Country Digital Product</v>
      </c>
      <c r="D58" s="81" t="str">
        <f ca="1">IFERROR(__xludf.DUMMYFUNCTION("""COMPUTED_VALUE"""),"Country Product")</f>
        <v>Country Product</v>
      </c>
      <c r="E58" s="81" t="str">
        <f ca="1">IFERROR(__xludf.DUMMYFUNCTION("""COMPUTED_VALUE"""),"Direct Cost")</f>
        <v>Direct Cost</v>
      </c>
      <c r="F58" s="81" t="str">
        <f ca="1">IFERROR(__xludf.DUMMYFUNCTION("""COMPUTED_VALUE"""),"Travel &amp; Lodging Expenses")</f>
        <v>Travel &amp; Lodging Expenses</v>
      </c>
      <c r="G58" s="81" t="str">
        <f ca="1">IFERROR(__xludf.DUMMYFUNCTION("""COMPUTED_VALUE"""),"Other incidental travel costs")</f>
        <v>Other incidental travel costs</v>
      </c>
      <c r="H58" s="35">
        <f ca="1">IFERROR(__xludf.DUMMYFUNCTION("""COMPUTED_VALUE"""),93106)</f>
        <v>93106</v>
      </c>
      <c r="I58" s="140">
        <f ca="1">IFERROR(__xludf.DUMMYFUNCTION("""COMPUTED_VALUE"""),12600)</f>
        <v>12600</v>
      </c>
      <c r="J58" s="140">
        <f ca="1">IFERROR(__xludf.DUMMYFUNCTION("""COMPUTED_VALUE"""),0)</f>
        <v>0</v>
      </c>
      <c r="K58" s="140">
        <f ca="1">IFERROR(__xludf.DUMMYFUNCTION("""COMPUTED_VALUE"""),1400)</f>
        <v>1400</v>
      </c>
      <c r="L58" s="140">
        <f ca="1">IFERROR(__xludf.DUMMYFUNCTION("""COMPUTED_VALUE"""),1400)</f>
        <v>1400</v>
      </c>
      <c r="M58" s="140">
        <f ca="1">IFERROR(__xludf.DUMMYFUNCTION("""COMPUTED_VALUE"""),1400)</f>
        <v>1400</v>
      </c>
      <c r="N58" s="140">
        <f ca="1">IFERROR(__xludf.DUMMYFUNCTION("""COMPUTED_VALUE"""),1400)</f>
        <v>1400</v>
      </c>
      <c r="O58" s="140">
        <f ca="1">IFERROR(__xludf.DUMMYFUNCTION("""COMPUTED_VALUE"""),1400)</f>
        <v>1400</v>
      </c>
      <c r="P58" s="140">
        <f ca="1">IFERROR(__xludf.DUMMYFUNCTION("""COMPUTED_VALUE"""),1400)</f>
        <v>1400</v>
      </c>
      <c r="Q58" s="140">
        <f ca="1">IFERROR(__xludf.DUMMYFUNCTION("""COMPUTED_VALUE"""),1400)</f>
        <v>1400</v>
      </c>
      <c r="R58" s="140">
        <f ca="1">IFERROR(__xludf.DUMMYFUNCTION("""COMPUTED_VALUE"""),2800)</f>
        <v>2800</v>
      </c>
      <c r="S58" s="140">
        <f ca="1">IFERROR(__xludf.DUMMYFUNCTION("""COMPUTED_VALUE"""),0)</f>
        <v>0</v>
      </c>
      <c r="T58" s="140">
        <f ca="1">IFERROR(__xludf.DUMMYFUNCTION("""COMPUTED_VALUE"""),0)</f>
        <v>0</v>
      </c>
      <c r="U58" s="140">
        <f ca="1">IFERROR(__xludf.DUMMYFUNCTION("""COMPUTED_VALUE"""),0)</f>
        <v>0</v>
      </c>
      <c r="V58" s="100"/>
      <c r="W58" s="140">
        <f ca="1">IFERROR(__xludf.DUMMYFUNCTION("""COMPUTED_VALUE"""),12600)</f>
        <v>12600</v>
      </c>
      <c r="X58" s="140"/>
      <c r="Y58" s="147">
        <f t="shared" ca="1" si="2"/>
        <v>0</v>
      </c>
    </row>
    <row r="59" spans="1:25" ht="15.75" customHeight="1" x14ac:dyDescent="0.25">
      <c r="A59" s="148" t="str">
        <f ca="1">IFERROR(__xludf.DUMMYFUNCTION("""COMPUTED_VALUE"""),"India ")</f>
        <v xml:space="preserve">India </v>
      </c>
      <c r="B59" s="81" t="str">
        <f ca="1">IFERROR(__xludf.DUMMYFUNCTION("""COMPUTED_VALUE"""),"NHIPLC")</f>
        <v>NHIPLC</v>
      </c>
      <c r="C59" s="81" t="str">
        <f ca="1">IFERROR(__xludf.DUMMYFUNCTION("""COMPUTED_VALUE"""),"Country Digital Product")</f>
        <v>Country Digital Product</v>
      </c>
      <c r="D59" s="81" t="str">
        <f ca="1">IFERROR(__xludf.DUMMYFUNCTION("""COMPUTED_VALUE"""),"Country Product")</f>
        <v>Country Product</v>
      </c>
      <c r="E59" s="81" t="str">
        <f ca="1">IFERROR(__xludf.DUMMYFUNCTION("""COMPUTED_VALUE"""),"Direct Cost")</f>
        <v>Direct Cost</v>
      </c>
      <c r="F59" s="81" t="str">
        <f ca="1">IFERROR(__xludf.DUMMYFUNCTION("""COMPUTED_VALUE"""),"Supplies &amp; Printing Costs")</f>
        <v>Supplies &amp; Printing Costs</v>
      </c>
      <c r="G59" s="81" t="str">
        <f ca="1">IFERROR(__xludf.DUMMYFUNCTION("""COMPUTED_VALUE"""),"Other Direct Expenses")</f>
        <v>Other Direct Expenses</v>
      </c>
      <c r="H59" s="35">
        <f ca="1">IFERROR(__xludf.DUMMYFUNCTION("""COMPUTED_VALUE"""),93201)</f>
        <v>93201</v>
      </c>
      <c r="I59" s="140">
        <f ca="1">IFERROR(__xludf.DUMMYFUNCTION("""COMPUTED_VALUE"""),500000)</f>
        <v>500000</v>
      </c>
      <c r="J59" s="140">
        <f ca="1">IFERROR(__xludf.DUMMYFUNCTION("""COMPUTED_VALUE"""),0)</f>
        <v>0</v>
      </c>
      <c r="K59" s="140">
        <f ca="1">IFERROR(__xludf.DUMMYFUNCTION("""COMPUTED_VALUE"""),0)</f>
        <v>0</v>
      </c>
      <c r="L59" s="140">
        <f ca="1">IFERROR(__xludf.DUMMYFUNCTION("""COMPUTED_VALUE"""),200000)</f>
        <v>200000</v>
      </c>
      <c r="M59" s="140">
        <f ca="1">IFERROR(__xludf.DUMMYFUNCTION("""COMPUTED_VALUE"""),0)</f>
        <v>0</v>
      </c>
      <c r="N59" s="140">
        <f ca="1">IFERROR(__xludf.DUMMYFUNCTION("""COMPUTED_VALUE"""),100000)</f>
        <v>100000</v>
      </c>
      <c r="O59" s="140">
        <f ca="1">IFERROR(__xludf.DUMMYFUNCTION("""COMPUTED_VALUE"""),0)</f>
        <v>0</v>
      </c>
      <c r="P59" s="140">
        <f ca="1">IFERROR(__xludf.DUMMYFUNCTION("""COMPUTED_VALUE"""),100000)</f>
        <v>100000</v>
      </c>
      <c r="Q59" s="140">
        <f ca="1">IFERROR(__xludf.DUMMYFUNCTION("""COMPUTED_VALUE"""),0)</f>
        <v>0</v>
      </c>
      <c r="R59" s="140">
        <f ca="1">IFERROR(__xludf.DUMMYFUNCTION("""COMPUTED_VALUE"""),100000)</f>
        <v>100000</v>
      </c>
      <c r="S59" s="140">
        <f ca="1">IFERROR(__xludf.DUMMYFUNCTION("""COMPUTED_VALUE"""),0)</f>
        <v>0</v>
      </c>
      <c r="T59" s="140">
        <f ca="1">IFERROR(__xludf.DUMMYFUNCTION("""COMPUTED_VALUE"""),0)</f>
        <v>0</v>
      </c>
      <c r="U59" s="140">
        <f ca="1">IFERROR(__xludf.DUMMYFUNCTION("""COMPUTED_VALUE"""),0)</f>
        <v>0</v>
      </c>
      <c r="V59" s="100"/>
      <c r="W59" s="140">
        <f ca="1">IFERROR(__xludf.DUMMYFUNCTION("""COMPUTED_VALUE"""),500000)</f>
        <v>500000</v>
      </c>
      <c r="X59" s="140"/>
      <c r="Y59" s="147">
        <f t="shared" ca="1" si="2"/>
        <v>0</v>
      </c>
    </row>
    <row r="60" spans="1:25" ht="15.75" customHeight="1" x14ac:dyDescent="0.25">
      <c r="A60" s="148" t="str">
        <f ca="1">IFERROR(__xludf.DUMMYFUNCTION("""COMPUTED_VALUE"""),"India ")</f>
        <v xml:space="preserve">India </v>
      </c>
      <c r="B60" s="81" t="str">
        <f ca="1">IFERROR(__xludf.DUMMYFUNCTION("""COMPUTED_VALUE"""),"NHIPLC")</f>
        <v>NHIPLC</v>
      </c>
      <c r="C60" s="81" t="str">
        <f ca="1">IFERROR(__xludf.DUMMYFUNCTION("""COMPUTED_VALUE"""),"Country Digital Product")</f>
        <v>Country Digital Product</v>
      </c>
      <c r="D60" s="81" t="str">
        <f ca="1">IFERROR(__xludf.DUMMYFUNCTION("""COMPUTED_VALUE"""),"Country Product")</f>
        <v>Country Product</v>
      </c>
      <c r="E60" s="81" t="str">
        <f ca="1">IFERROR(__xludf.DUMMYFUNCTION("""COMPUTED_VALUE"""),"Direct Cost")</f>
        <v>Direct Cost</v>
      </c>
      <c r="F60" s="81" t="str">
        <f ca="1">IFERROR(__xludf.DUMMYFUNCTION("""COMPUTED_VALUE"""),"Supplies &amp; Printing Costs")</f>
        <v>Supplies &amp; Printing Costs</v>
      </c>
      <c r="G60" s="81" t="str">
        <f ca="1">IFERROR(__xludf.DUMMYFUNCTION("""COMPUTED_VALUE"""),"Printing expenses")</f>
        <v>Printing expenses</v>
      </c>
      <c r="H60" s="35">
        <f ca="1">IFERROR(__xludf.DUMMYFUNCTION("""COMPUTED_VALUE"""),93204)</f>
        <v>93204</v>
      </c>
      <c r="I60" s="140">
        <f ca="1">IFERROR(__xludf.DUMMYFUNCTION("""COMPUTED_VALUE"""),0)</f>
        <v>0</v>
      </c>
      <c r="J60" s="140">
        <f ca="1">IFERROR(__xludf.DUMMYFUNCTION("""COMPUTED_VALUE"""),0)</f>
        <v>0</v>
      </c>
      <c r="K60" s="140">
        <f ca="1">IFERROR(__xludf.DUMMYFUNCTION("""COMPUTED_VALUE"""),0)</f>
        <v>0</v>
      </c>
      <c r="L60" s="140">
        <f ca="1">IFERROR(__xludf.DUMMYFUNCTION("""COMPUTED_VALUE"""),0)</f>
        <v>0</v>
      </c>
      <c r="M60" s="140">
        <f ca="1">IFERROR(__xludf.DUMMYFUNCTION("""COMPUTED_VALUE"""),0)</f>
        <v>0</v>
      </c>
      <c r="N60" s="140">
        <f ca="1">IFERROR(__xludf.DUMMYFUNCTION("""COMPUTED_VALUE"""),0)</f>
        <v>0</v>
      </c>
      <c r="O60" s="140">
        <f ca="1">IFERROR(__xludf.DUMMYFUNCTION("""COMPUTED_VALUE"""),0)</f>
        <v>0</v>
      </c>
      <c r="P60" s="140">
        <f ca="1">IFERROR(__xludf.DUMMYFUNCTION("""COMPUTED_VALUE"""),0)</f>
        <v>0</v>
      </c>
      <c r="Q60" s="140">
        <f ca="1">IFERROR(__xludf.DUMMYFUNCTION("""COMPUTED_VALUE"""),0)</f>
        <v>0</v>
      </c>
      <c r="R60" s="140">
        <f ca="1">IFERROR(__xludf.DUMMYFUNCTION("""COMPUTED_VALUE"""),0)</f>
        <v>0</v>
      </c>
      <c r="S60" s="140">
        <f ca="1">IFERROR(__xludf.DUMMYFUNCTION("""COMPUTED_VALUE"""),0)</f>
        <v>0</v>
      </c>
      <c r="T60" s="140">
        <f ca="1">IFERROR(__xludf.DUMMYFUNCTION("""COMPUTED_VALUE"""),0)</f>
        <v>0</v>
      </c>
      <c r="U60" s="140">
        <f ca="1">IFERROR(__xludf.DUMMYFUNCTION("""COMPUTED_VALUE"""),0)</f>
        <v>0</v>
      </c>
      <c r="V60" s="100"/>
      <c r="W60" s="140">
        <f ca="1">IFERROR(__xludf.DUMMYFUNCTION("""COMPUTED_VALUE"""),0)</f>
        <v>0</v>
      </c>
      <c r="X60" s="140"/>
      <c r="Y60" s="147">
        <f t="shared" ca="1" si="2"/>
        <v>0</v>
      </c>
    </row>
    <row r="61" spans="1:25" ht="15.75" customHeight="1" x14ac:dyDescent="0.25">
      <c r="A61" s="148" t="str">
        <f ca="1">IFERROR(__xludf.DUMMYFUNCTION("""COMPUTED_VALUE"""),"India ")</f>
        <v xml:space="preserve">India </v>
      </c>
      <c r="B61" s="81" t="str">
        <f ca="1">IFERROR(__xludf.DUMMYFUNCTION("""COMPUTED_VALUE"""),"NHIPLC")</f>
        <v>NHIPLC</v>
      </c>
      <c r="C61" s="81" t="str">
        <f ca="1">IFERROR(__xludf.DUMMYFUNCTION("""COMPUTED_VALUE"""),"Country Digital Product")</f>
        <v>Country Digital Product</v>
      </c>
      <c r="D61" s="81" t="str">
        <f ca="1">IFERROR(__xludf.DUMMYFUNCTION("""COMPUTED_VALUE"""),"Country Product")</f>
        <v>Country Product</v>
      </c>
      <c r="E61" s="81" t="str">
        <f ca="1">IFERROR(__xludf.DUMMYFUNCTION("""COMPUTED_VALUE"""),"Direct Cost")</f>
        <v>Direct Cost</v>
      </c>
      <c r="F61" s="81" t="str">
        <f ca="1">IFERROR(__xludf.DUMMYFUNCTION("""COMPUTED_VALUE"""),"Communication Cost")</f>
        <v>Communication Cost</v>
      </c>
      <c r="G61" s="81" t="str">
        <f ca="1">IFERROR(__xludf.DUMMYFUNCTION("""COMPUTED_VALUE"""),"Internet Expenses")</f>
        <v>Internet Expenses</v>
      </c>
      <c r="H61" s="35">
        <f ca="1">IFERROR(__xludf.DUMMYFUNCTION("""COMPUTED_VALUE"""),93301)</f>
        <v>93301</v>
      </c>
      <c r="I61" s="140">
        <f ca="1">IFERROR(__xludf.DUMMYFUNCTION("""COMPUTED_VALUE"""),0)</f>
        <v>0</v>
      </c>
      <c r="J61" s="140">
        <f ca="1">IFERROR(__xludf.DUMMYFUNCTION("""COMPUTED_VALUE"""),0)</f>
        <v>0</v>
      </c>
      <c r="K61" s="140">
        <f ca="1">IFERROR(__xludf.DUMMYFUNCTION("""COMPUTED_VALUE"""),0)</f>
        <v>0</v>
      </c>
      <c r="L61" s="140">
        <f ca="1">IFERROR(__xludf.DUMMYFUNCTION("""COMPUTED_VALUE"""),0)</f>
        <v>0</v>
      </c>
      <c r="M61" s="140">
        <f ca="1">IFERROR(__xludf.DUMMYFUNCTION("""COMPUTED_VALUE"""),0)</f>
        <v>0</v>
      </c>
      <c r="N61" s="140">
        <f ca="1">IFERROR(__xludf.DUMMYFUNCTION("""COMPUTED_VALUE"""),0)</f>
        <v>0</v>
      </c>
      <c r="O61" s="140">
        <f ca="1">IFERROR(__xludf.DUMMYFUNCTION("""COMPUTED_VALUE"""),0)</f>
        <v>0</v>
      </c>
      <c r="P61" s="140">
        <f ca="1">IFERROR(__xludf.DUMMYFUNCTION("""COMPUTED_VALUE"""),0)</f>
        <v>0</v>
      </c>
      <c r="Q61" s="140">
        <f ca="1">IFERROR(__xludf.DUMMYFUNCTION("""COMPUTED_VALUE"""),0)</f>
        <v>0</v>
      </c>
      <c r="R61" s="140">
        <f ca="1">IFERROR(__xludf.DUMMYFUNCTION("""COMPUTED_VALUE"""),0)</f>
        <v>0</v>
      </c>
      <c r="S61" s="140">
        <f ca="1">IFERROR(__xludf.DUMMYFUNCTION("""COMPUTED_VALUE"""),0)</f>
        <v>0</v>
      </c>
      <c r="T61" s="140">
        <f ca="1">IFERROR(__xludf.DUMMYFUNCTION("""COMPUTED_VALUE"""),0)</f>
        <v>0</v>
      </c>
      <c r="U61" s="140">
        <f ca="1">IFERROR(__xludf.DUMMYFUNCTION("""COMPUTED_VALUE"""),0)</f>
        <v>0</v>
      </c>
      <c r="V61" s="100"/>
      <c r="W61" s="140">
        <f ca="1">IFERROR(__xludf.DUMMYFUNCTION("""COMPUTED_VALUE"""),0)</f>
        <v>0</v>
      </c>
      <c r="X61" s="140"/>
      <c r="Y61" s="147">
        <f t="shared" ca="1" si="2"/>
        <v>0</v>
      </c>
    </row>
    <row r="62" spans="1:25" ht="15.75" customHeight="1" x14ac:dyDescent="0.25">
      <c r="A62" s="148" t="str">
        <f ca="1">IFERROR(__xludf.DUMMYFUNCTION("""COMPUTED_VALUE"""),"India ")</f>
        <v xml:space="preserve">India </v>
      </c>
      <c r="B62" s="81" t="str">
        <f ca="1">IFERROR(__xludf.DUMMYFUNCTION("""COMPUTED_VALUE"""),"NHIPLC")</f>
        <v>NHIPLC</v>
      </c>
      <c r="C62" s="81" t="str">
        <f ca="1">IFERROR(__xludf.DUMMYFUNCTION("""COMPUTED_VALUE"""),"Country Digital Product")</f>
        <v>Country Digital Product</v>
      </c>
      <c r="D62" s="81" t="str">
        <f ca="1">IFERROR(__xludf.DUMMYFUNCTION("""COMPUTED_VALUE"""),"Country Product")</f>
        <v>Country Product</v>
      </c>
      <c r="E62" s="81" t="str">
        <f ca="1">IFERROR(__xludf.DUMMYFUNCTION("""COMPUTED_VALUE"""),"Direct Cost")</f>
        <v>Direct Cost</v>
      </c>
      <c r="F62" s="81" t="str">
        <f ca="1">IFERROR(__xludf.DUMMYFUNCTION("""COMPUTED_VALUE"""),"Communication Cost")</f>
        <v>Communication Cost</v>
      </c>
      <c r="G62" s="81" t="str">
        <f ca="1">IFERROR(__xludf.DUMMYFUNCTION("""COMPUTED_VALUE"""),"Postage &amp; Courier Expenses")</f>
        <v>Postage &amp; Courier Expenses</v>
      </c>
      <c r="H62" s="35">
        <f ca="1">IFERROR(__xludf.DUMMYFUNCTION("""COMPUTED_VALUE"""),93302)</f>
        <v>93302</v>
      </c>
      <c r="I62" s="140">
        <f ca="1">IFERROR(__xludf.DUMMYFUNCTION("""COMPUTED_VALUE"""),0)</f>
        <v>0</v>
      </c>
      <c r="J62" s="140">
        <f ca="1">IFERROR(__xludf.DUMMYFUNCTION("""COMPUTED_VALUE"""),0)</f>
        <v>0</v>
      </c>
      <c r="K62" s="140">
        <f ca="1">IFERROR(__xludf.DUMMYFUNCTION("""COMPUTED_VALUE"""),0)</f>
        <v>0</v>
      </c>
      <c r="L62" s="140">
        <f ca="1">IFERROR(__xludf.DUMMYFUNCTION("""COMPUTED_VALUE"""),0)</f>
        <v>0</v>
      </c>
      <c r="M62" s="140">
        <f ca="1">IFERROR(__xludf.DUMMYFUNCTION("""COMPUTED_VALUE"""),0)</f>
        <v>0</v>
      </c>
      <c r="N62" s="140">
        <f ca="1">IFERROR(__xludf.DUMMYFUNCTION("""COMPUTED_VALUE"""),0)</f>
        <v>0</v>
      </c>
      <c r="O62" s="140">
        <f ca="1">IFERROR(__xludf.DUMMYFUNCTION("""COMPUTED_VALUE"""),0)</f>
        <v>0</v>
      </c>
      <c r="P62" s="140">
        <f ca="1">IFERROR(__xludf.DUMMYFUNCTION("""COMPUTED_VALUE"""),0)</f>
        <v>0</v>
      </c>
      <c r="Q62" s="140">
        <f ca="1">IFERROR(__xludf.DUMMYFUNCTION("""COMPUTED_VALUE"""),0)</f>
        <v>0</v>
      </c>
      <c r="R62" s="140">
        <f ca="1">IFERROR(__xludf.DUMMYFUNCTION("""COMPUTED_VALUE"""),0)</f>
        <v>0</v>
      </c>
      <c r="S62" s="140">
        <f ca="1">IFERROR(__xludf.DUMMYFUNCTION("""COMPUTED_VALUE"""),0)</f>
        <v>0</v>
      </c>
      <c r="T62" s="140">
        <f ca="1">IFERROR(__xludf.DUMMYFUNCTION("""COMPUTED_VALUE"""),0)</f>
        <v>0</v>
      </c>
      <c r="U62" s="140">
        <f ca="1">IFERROR(__xludf.DUMMYFUNCTION("""COMPUTED_VALUE"""),0)</f>
        <v>0</v>
      </c>
      <c r="V62" s="100"/>
      <c r="W62" s="140">
        <f ca="1">IFERROR(__xludf.DUMMYFUNCTION("""COMPUTED_VALUE"""),0)</f>
        <v>0</v>
      </c>
      <c r="X62" s="140"/>
      <c r="Y62" s="147">
        <f t="shared" ca="1" si="2"/>
        <v>0</v>
      </c>
    </row>
    <row r="63" spans="1:25" ht="15.75" customHeight="1" x14ac:dyDescent="0.25">
      <c r="A63" s="148" t="str">
        <f ca="1">IFERROR(__xludf.DUMMYFUNCTION("""COMPUTED_VALUE"""),"India ")</f>
        <v xml:space="preserve">India </v>
      </c>
      <c r="B63" s="81" t="str">
        <f ca="1">IFERROR(__xludf.DUMMYFUNCTION("""COMPUTED_VALUE"""),"NHIPLC")</f>
        <v>NHIPLC</v>
      </c>
      <c r="C63" s="81" t="str">
        <f ca="1">IFERROR(__xludf.DUMMYFUNCTION("""COMPUTED_VALUE"""),"Country Digital Product")</f>
        <v>Country Digital Product</v>
      </c>
      <c r="D63" s="81" t="str">
        <f ca="1">IFERROR(__xludf.DUMMYFUNCTION("""COMPUTED_VALUE"""),"Country Product")</f>
        <v>Country Product</v>
      </c>
      <c r="E63" s="81" t="str">
        <f ca="1">IFERROR(__xludf.DUMMYFUNCTION("""COMPUTED_VALUE"""),"Direct Cost")</f>
        <v>Direct Cost</v>
      </c>
      <c r="F63" s="81" t="str">
        <f ca="1">IFERROR(__xludf.DUMMYFUNCTION("""COMPUTED_VALUE"""),"Communication Cost")</f>
        <v>Communication Cost</v>
      </c>
      <c r="G63" s="81" t="str">
        <f ca="1">IFERROR(__xludf.DUMMYFUNCTION("""COMPUTED_VALUE"""),"Telecommunication expenses")</f>
        <v>Telecommunication expenses</v>
      </c>
      <c r="H63" s="35">
        <f ca="1">IFERROR(__xludf.DUMMYFUNCTION("""COMPUTED_VALUE"""),93303)</f>
        <v>93303</v>
      </c>
      <c r="I63" s="140">
        <f ca="1">IFERROR(__xludf.DUMMYFUNCTION("""COMPUTED_VALUE"""),0)</f>
        <v>0</v>
      </c>
      <c r="J63" s="140">
        <f ca="1">IFERROR(__xludf.DUMMYFUNCTION("""COMPUTED_VALUE"""),0)</f>
        <v>0</v>
      </c>
      <c r="K63" s="140">
        <f ca="1">IFERROR(__xludf.DUMMYFUNCTION("""COMPUTED_VALUE"""),0)</f>
        <v>0</v>
      </c>
      <c r="L63" s="140">
        <f ca="1">IFERROR(__xludf.DUMMYFUNCTION("""COMPUTED_VALUE"""),0)</f>
        <v>0</v>
      </c>
      <c r="M63" s="140">
        <f ca="1">IFERROR(__xludf.DUMMYFUNCTION("""COMPUTED_VALUE"""),0)</f>
        <v>0</v>
      </c>
      <c r="N63" s="140">
        <f ca="1">IFERROR(__xludf.DUMMYFUNCTION("""COMPUTED_VALUE"""),0)</f>
        <v>0</v>
      </c>
      <c r="O63" s="140">
        <f ca="1">IFERROR(__xludf.DUMMYFUNCTION("""COMPUTED_VALUE"""),0)</f>
        <v>0</v>
      </c>
      <c r="P63" s="140">
        <f ca="1">IFERROR(__xludf.DUMMYFUNCTION("""COMPUTED_VALUE"""),0)</f>
        <v>0</v>
      </c>
      <c r="Q63" s="140">
        <f ca="1">IFERROR(__xludf.DUMMYFUNCTION("""COMPUTED_VALUE"""),0)</f>
        <v>0</v>
      </c>
      <c r="R63" s="140">
        <f ca="1">IFERROR(__xludf.DUMMYFUNCTION("""COMPUTED_VALUE"""),0)</f>
        <v>0</v>
      </c>
      <c r="S63" s="140">
        <f ca="1">IFERROR(__xludf.DUMMYFUNCTION("""COMPUTED_VALUE"""),0)</f>
        <v>0</v>
      </c>
      <c r="T63" s="140">
        <f ca="1">IFERROR(__xludf.DUMMYFUNCTION("""COMPUTED_VALUE"""),0)</f>
        <v>0</v>
      </c>
      <c r="U63" s="140">
        <f ca="1">IFERROR(__xludf.DUMMYFUNCTION("""COMPUTED_VALUE"""),0)</f>
        <v>0</v>
      </c>
      <c r="V63" s="100"/>
      <c r="W63" s="140">
        <f ca="1">IFERROR(__xludf.DUMMYFUNCTION("""COMPUTED_VALUE"""),0)</f>
        <v>0</v>
      </c>
      <c r="X63" s="140"/>
      <c r="Y63" s="147">
        <f t="shared" ca="1" si="2"/>
        <v>0</v>
      </c>
    </row>
    <row r="64" spans="1:25" ht="15.75" customHeight="1" x14ac:dyDescent="0.25">
      <c r="A64" s="148" t="str">
        <f ca="1">IFERROR(__xludf.DUMMYFUNCTION("""COMPUTED_VALUE"""),"India ")</f>
        <v xml:space="preserve">India </v>
      </c>
      <c r="B64" s="81" t="str">
        <f ca="1">IFERROR(__xludf.DUMMYFUNCTION("""COMPUTED_VALUE"""),"NHIPLC")</f>
        <v>NHIPLC</v>
      </c>
      <c r="C64" s="81" t="str">
        <f ca="1">IFERROR(__xludf.DUMMYFUNCTION("""COMPUTED_VALUE"""),"Country Digital Product")</f>
        <v>Country Digital Product</v>
      </c>
      <c r="D64" s="81" t="str">
        <f ca="1">IFERROR(__xludf.DUMMYFUNCTION("""COMPUTED_VALUE"""),"Country Product")</f>
        <v>Country Product</v>
      </c>
      <c r="E64" s="81" t="str">
        <f ca="1">IFERROR(__xludf.DUMMYFUNCTION("""COMPUTED_VALUE"""),"Direct Cost")</f>
        <v>Direct Cost</v>
      </c>
      <c r="F64" s="81" t="str">
        <f ca="1">IFERROR(__xludf.DUMMYFUNCTION("""COMPUTED_VALUE"""),"Office Expenses")</f>
        <v>Office Expenses</v>
      </c>
      <c r="G64" s="81" t="str">
        <f ca="1">IFERROR(__xludf.DUMMYFUNCTION("""COMPUTED_VALUE"""),"Software and Subscriptions")</f>
        <v>Software and Subscriptions</v>
      </c>
      <c r="H64" s="35">
        <f ca="1">IFERROR(__xludf.DUMMYFUNCTION("""COMPUTED_VALUE"""),93401)</f>
        <v>93401</v>
      </c>
      <c r="I64" s="140">
        <f ca="1">IFERROR(__xludf.DUMMYFUNCTION("""COMPUTED_VALUE"""),0)</f>
        <v>0</v>
      </c>
      <c r="J64" s="140">
        <f ca="1">IFERROR(__xludf.DUMMYFUNCTION("""COMPUTED_VALUE"""),0)</f>
        <v>0</v>
      </c>
      <c r="K64" s="140">
        <f ca="1">IFERROR(__xludf.DUMMYFUNCTION("""COMPUTED_VALUE"""),0)</f>
        <v>0</v>
      </c>
      <c r="L64" s="140">
        <f ca="1">IFERROR(__xludf.DUMMYFUNCTION("""COMPUTED_VALUE"""),0)</f>
        <v>0</v>
      </c>
      <c r="M64" s="140">
        <f ca="1">IFERROR(__xludf.DUMMYFUNCTION("""COMPUTED_VALUE"""),0)</f>
        <v>0</v>
      </c>
      <c r="N64" s="140">
        <f ca="1">IFERROR(__xludf.DUMMYFUNCTION("""COMPUTED_VALUE"""),0)</f>
        <v>0</v>
      </c>
      <c r="O64" s="140">
        <f ca="1">IFERROR(__xludf.DUMMYFUNCTION("""COMPUTED_VALUE"""),0)</f>
        <v>0</v>
      </c>
      <c r="P64" s="140">
        <f ca="1">IFERROR(__xludf.DUMMYFUNCTION("""COMPUTED_VALUE"""),0)</f>
        <v>0</v>
      </c>
      <c r="Q64" s="140">
        <f ca="1">IFERROR(__xludf.DUMMYFUNCTION("""COMPUTED_VALUE"""),0)</f>
        <v>0</v>
      </c>
      <c r="R64" s="140">
        <f ca="1">IFERROR(__xludf.DUMMYFUNCTION("""COMPUTED_VALUE"""),0)</f>
        <v>0</v>
      </c>
      <c r="S64" s="140">
        <f ca="1">IFERROR(__xludf.DUMMYFUNCTION("""COMPUTED_VALUE"""),0)</f>
        <v>0</v>
      </c>
      <c r="T64" s="140">
        <f ca="1">IFERROR(__xludf.DUMMYFUNCTION("""COMPUTED_VALUE"""),0)</f>
        <v>0</v>
      </c>
      <c r="U64" s="140">
        <f ca="1">IFERROR(__xludf.DUMMYFUNCTION("""COMPUTED_VALUE"""),0)</f>
        <v>0</v>
      </c>
      <c r="V64" s="100"/>
      <c r="W64" s="140">
        <f ca="1">IFERROR(__xludf.DUMMYFUNCTION("""COMPUTED_VALUE"""),0)</f>
        <v>0</v>
      </c>
      <c r="X64" s="140"/>
      <c r="Y64" s="147">
        <f t="shared" ca="1" si="2"/>
        <v>0</v>
      </c>
    </row>
    <row r="65" spans="1:25" ht="15.75" customHeight="1" x14ac:dyDescent="0.25">
      <c r="A65" s="148" t="str">
        <f ca="1">IFERROR(__xludf.DUMMYFUNCTION("""COMPUTED_VALUE"""),"India ")</f>
        <v xml:space="preserve">India </v>
      </c>
      <c r="B65" s="81" t="str">
        <f ca="1">IFERROR(__xludf.DUMMYFUNCTION("""COMPUTED_VALUE"""),"NHIPLC")</f>
        <v>NHIPLC</v>
      </c>
      <c r="C65" s="81" t="str">
        <f ca="1">IFERROR(__xludf.DUMMYFUNCTION("""COMPUTED_VALUE"""),"Country Digital Product")</f>
        <v>Country Digital Product</v>
      </c>
      <c r="D65" s="81" t="str">
        <f ca="1">IFERROR(__xludf.DUMMYFUNCTION("""COMPUTED_VALUE"""),"Country Product")</f>
        <v>Country Product</v>
      </c>
      <c r="E65" s="81" t="str">
        <f ca="1">IFERROR(__xludf.DUMMYFUNCTION("""COMPUTED_VALUE"""),"Direct Cost")</f>
        <v>Direct Cost</v>
      </c>
      <c r="F65" s="81" t="str">
        <f ca="1">IFERROR(__xludf.DUMMYFUNCTION("""COMPUTED_VALUE"""),"Office Expenses")</f>
        <v>Office Expenses</v>
      </c>
      <c r="G65" s="81" t="str">
        <f ca="1">IFERROR(__xludf.DUMMYFUNCTION("""COMPUTED_VALUE"""),"Stationery &amp; Consumables")</f>
        <v>Stationery &amp; Consumables</v>
      </c>
      <c r="H65" s="35">
        <f ca="1">IFERROR(__xludf.DUMMYFUNCTION("""COMPUTED_VALUE"""),93404)</f>
        <v>93404</v>
      </c>
      <c r="I65" s="140">
        <f ca="1">IFERROR(__xludf.DUMMYFUNCTION("""COMPUTED_VALUE"""),0)</f>
        <v>0</v>
      </c>
      <c r="J65" s="140">
        <f ca="1">IFERROR(__xludf.DUMMYFUNCTION("""COMPUTED_VALUE"""),0)</f>
        <v>0</v>
      </c>
      <c r="K65" s="140">
        <f ca="1">IFERROR(__xludf.DUMMYFUNCTION("""COMPUTED_VALUE"""),0)</f>
        <v>0</v>
      </c>
      <c r="L65" s="140">
        <f ca="1">IFERROR(__xludf.DUMMYFUNCTION("""COMPUTED_VALUE"""),0)</f>
        <v>0</v>
      </c>
      <c r="M65" s="140">
        <f ca="1">IFERROR(__xludf.DUMMYFUNCTION("""COMPUTED_VALUE"""),0)</f>
        <v>0</v>
      </c>
      <c r="N65" s="140">
        <f ca="1">IFERROR(__xludf.DUMMYFUNCTION("""COMPUTED_VALUE"""),0)</f>
        <v>0</v>
      </c>
      <c r="O65" s="140">
        <f ca="1">IFERROR(__xludf.DUMMYFUNCTION("""COMPUTED_VALUE"""),0)</f>
        <v>0</v>
      </c>
      <c r="P65" s="140">
        <f ca="1">IFERROR(__xludf.DUMMYFUNCTION("""COMPUTED_VALUE"""),0)</f>
        <v>0</v>
      </c>
      <c r="Q65" s="140">
        <f ca="1">IFERROR(__xludf.DUMMYFUNCTION("""COMPUTED_VALUE"""),0)</f>
        <v>0</v>
      </c>
      <c r="R65" s="140">
        <f ca="1">IFERROR(__xludf.DUMMYFUNCTION("""COMPUTED_VALUE"""),0)</f>
        <v>0</v>
      </c>
      <c r="S65" s="140">
        <f ca="1">IFERROR(__xludf.DUMMYFUNCTION("""COMPUTED_VALUE"""),0)</f>
        <v>0</v>
      </c>
      <c r="T65" s="140">
        <f ca="1">IFERROR(__xludf.DUMMYFUNCTION("""COMPUTED_VALUE"""),0)</f>
        <v>0</v>
      </c>
      <c r="U65" s="140">
        <f ca="1">IFERROR(__xludf.DUMMYFUNCTION("""COMPUTED_VALUE"""),0)</f>
        <v>0</v>
      </c>
      <c r="V65" s="100"/>
      <c r="W65" s="140">
        <f ca="1">IFERROR(__xludf.DUMMYFUNCTION("""COMPUTED_VALUE"""),0)</f>
        <v>0</v>
      </c>
      <c r="X65" s="140"/>
      <c r="Y65" s="147">
        <f t="shared" ca="1" si="2"/>
        <v>0</v>
      </c>
    </row>
    <row r="66" spans="1:25" ht="15.75" customHeight="1" x14ac:dyDescent="0.25">
      <c r="A66" s="148" t="str">
        <f ca="1">IFERROR(__xludf.DUMMYFUNCTION("""COMPUTED_VALUE"""),"India ")</f>
        <v xml:space="preserve">India </v>
      </c>
      <c r="B66" s="81" t="str">
        <f ca="1">IFERROR(__xludf.DUMMYFUNCTION("""COMPUTED_VALUE"""),"NHIPLC")</f>
        <v>NHIPLC</v>
      </c>
      <c r="C66" s="81" t="str">
        <f ca="1">IFERROR(__xludf.DUMMYFUNCTION("""COMPUTED_VALUE"""),"Country Digital Product")</f>
        <v>Country Digital Product</v>
      </c>
      <c r="D66" s="81" t="str">
        <f ca="1">IFERROR(__xludf.DUMMYFUNCTION("""COMPUTED_VALUE"""),"Country Product")</f>
        <v>Country Product</v>
      </c>
      <c r="E66" s="81" t="str">
        <f ca="1">IFERROR(__xludf.DUMMYFUNCTION("""COMPUTED_VALUE"""),"Direct Cost")</f>
        <v>Direct Cost</v>
      </c>
      <c r="F66" s="81" t="str">
        <f ca="1">IFERROR(__xludf.DUMMYFUNCTION("""COMPUTED_VALUE"""),"Office Expenses")</f>
        <v>Office Expenses</v>
      </c>
      <c r="G66" s="81" t="str">
        <f ca="1">IFERROR(__xludf.DUMMYFUNCTION("""COMPUTED_VALUE"""),"Office Equipment Expense")</f>
        <v>Office Equipment Expense</v>
      </c>
      <c r="H66" s="35">
        <f ca="1">IFERROR(__xludf.DUMMYFUNCTION("""COMPUTED_VALUE"""),93405)</f>
        <v>93405</v>
      </c>
      <c r="I66" s="140">
        <f ca="1">IFERROR(__xludf.DUMMYFUNCTION("""COMPUTED_VALUE"""),0)</f>
        <v>0</v>
      </c>
      <c r="J66" s="140">
        <f ca="1">IFERROR(__xludf.DUMMYFUNCTION("""COMPUTED_VALUE"""),0)</f>
        <v>0</v>
      </c>
      <c r="K66" s="140">
        <f ca="1">IFERROR(__xludf.DUMMYFUNCTION("""COMPUTED_VALUE"""),0)</f>
        <v>0</v>
      </c>
      <c r="L66" s="140">
        <f ca="1">IFERROR(__xludf.DUMMYFUNCTION("""COMPUTED_VALUE"""),0)</f>
        <v>0</v>
      </c>
      <c r="M66" s="140">
        <f ca="1">IFERROR(__xludf.DUMMYFUNCTION("""COMPUTED_VALUE"""),0)</f>
        <v>0</v>
      </c>
      <c r="N66" s="140">
        <f ca="1">IFERROR(__xludf.DUMMYFUNCTION("""COMPUTED_VALUE"""),0)</f>
        <v>0</v>
      </c>
      <c r="O66" s="140">
        <f ca="1">IFERROR(__xludf.DUMMYFUNCTION("""COMPUTED_VALUE"""),0)</f>
        <v>0</v>
      </c>
      <c r="P66" s="140">
        <f ca="1">IFERROR(__xludf.DUMMYFUNCTION("""COMPUTED_VALUE"""),0)</f>
        <v>0</v>
      </c>
      <c r="Q66" s="140">
        <f ca="1">IFERROR(__xludf.DUMMYFUNCTION("""COMPUTED_VALUE"""),0)</f>
        <v>0</v>
      </c>
      <c r="R66" s="140">
        <f ca="1">IFERROR(__xludf.DUMMYFUNCTION("""COMPUTED_VALUE"""),0)</f>
        <v>0</v>
      </c>
      <c r="S66" s="140">
        <f ca="1">IFERROR(__xludf.DUMMYFUNCTION("""COMPUTED_VALUE"""),0)</f>
        <v>0</v>
      </c>
      <c r="T66" s="140">
        <f ca="1">IFERROR(__xludf.DUMMYFUNCTION("""COMPUTED_VALUE"""),0)</f>
        <v>0</v>
      </c>
      <c r="U66" s="140">
        <f ca="1">IFERROR(__xludf.DUMMYFUNCTION("""COMPUTED_VALUE"""),0)</f>
        <v>0</v>
      </c>
      <c r="V66" s="100"/>
      <c r="W66" s="140">
        <f ca="1">IFERROR(__xludf.DUMMYFUNCTION("""COMPUTED_VALUE"""),0)</f>
        <v>0</v>
      </c>
      <c r="X66" s="140"/>
      <c r="Y66" s="147">
        <f t="shared" ca="1" si="2"/>
        <v>0</v>
      </c>
    </row>
    <row r="67" spans="1:25" ht="15.75" customHeight="1" x14ac:dyDescent="0.25">
      <c r="A67" s="148" t="str">
        <f ca="1">IFERROR(__xludf.DUMMYFUNCTION("""COMPUTED_VALUE"""),"India ")</f>
        <v xml:space="preserve">India </v>
      </c>
      <c r="B67" s="81" t="str">
        <f ca="1">IFERROR(__xludf.DUMMYFUNCTION("""COMPUTED_VALUE"""),"NHIPLC")</f>
        <v>NHIPLC</v>
      </c>
      <c r="C67" s="81" t="str">
        <f ca="1">IFERROR(__xludf.DUMMYFUNCTION("""COMPUTED_VALUE"""),"Country Digital Product")</f>
        <v>Country Digital Product</v>
      </c>
      <c r="D67" s="81" t="str">
        <f ca="1">IFERROR(__xludf.DUMMYFUNCTION("""COMPUTED_VALUE"""),"Country Product")</f>
        <v>Country Product</v>
      </c>
      <c r="E67" s="81" t="str">
        <f ca="1">IFERROR(__xludf.DUMMYFUNCTION("""COMPUTED_VALUE"""),"Indirect Cost")</f>
        <v>Indirect Cost</v>
      </c>
      <c r="F67" s="81" t="str">
        <f ca="1">IFERROR(__xludf.DUMMYFUNCTION("""COMPUTED_VALUE"""),"Professional &amp; Consultancy Charges")</f>
        <v>Professional &amp; Consultancy Charges</v>
      </c>
      <c r="G67" s="81" t="str">
        <f ca="1">IFERROR(__xludf.DUMMYFUNCTION("""COMPUTED_VALUE"""),"Admin Consultants")</f>
        <v>Admin Consultants</v>
      </c>
      <c r="H67" s="35">
        <f ca="1">IFERROR(__xludf.DUMMYFUNCTION("""COMPUTED_VALUE"""),93703)</f>
        <v>93703</v>
      </c>
      <c r="I67" s="140">
        <f ca="1">IFERROR(__xludf.DUMMYFUNCTION("""COMPUTED_VALUE"""),0)</f>
        <v>0</v>
      </c>
      <c r="J67" s="140">
        <f ca="1">IFERROR(__xludf.DUMMYFUNCTION("""COMPUTED_VALUE"""),0)</f>
        <v>0</v>
      </c>
      <c r="K67" s="140">
        <f ca="1">IFERROR(__xludf.DUMMYFUNCTION("""COMPUTED_VALUE"""),0)</f>
        <v>0</v>
      </c>
      <c r="L67" s="140">
        <f ca="1">IFERROR(__xludf.DUMMYFUNCTION("""COMPUTED_VALUE"""),0)</f>
        <v>0</v>
      </c>
      <c r="M67" s="140">
        <f ca="1">IFERROR(__xludf.DUMMYFUNCTION("""COMPUTED_VALUE"""),0)</f>
        <v>0</v>
      </c>
      <c r="N67" s="140">
        <f ca="1">IFERROR(__xludf.DUMMYFUNCTION("""COMPUTED_VALUE"""),0)</f>
        <v>0</v>
      </c>
      <c r="O67" s="140">
        <f ca="1">IFERROR(__xludf.DUMMYFUNCTION("""COMPUTED_VALUE"""),0)</f>
        <v>0</v>
      </c>
      <c r="P67" s="140">
        <f ca="1">IFERROR(__xludf.DUMMYFUNCTION("""COMPUTED_VALUE"""),0)</f>
        <v>0</v>
      </c>
      <c r="Q67" s="140">
        <f ca="1">IFERROR(__xludf.DUMMYFUNCTION("""COMPUTED_VALUE"""),0)</f>
        <v>0</v>
      </c>
      <c r="R67" s="140">
        <f ca="1">IFERROR(__xludf.DUMMYFUNCTION("""COMPUTED_VALUE"""),0)</f>
        <v>0</v>
      </c>
      <c r="S67" s="140">
        <f ca="1">IFERROR(__xludf.DUMMYFUNCTION("""COMPUTED_VALUE"""),0)</f>
        <v>0</v>
      </c>
      <c r="T67" s="140">
        <f ca="1">IFERROR(__xludf.DUMMYFUNCTION("""COMPUTED_VALUE"""),0)</f>
        <v>0</v>
      </c>
      <c r="U67" s="140">
        <f ca="1">IFERROR(__xludf.DUMMYFUNCTION("""COMPUTED_VALUE"""),0)</f>
        <v>0</v>
      </c>
      <c r="V67" s="100"/>
      <c r="W67" s="140">
        <f ca="1">IFERROR(__xludf.DUMMYFUNCTION("""COMPUTED_VALUE"""),0)</f>
        <v>0</v>
      </c>
      <c r="X67" s="140"/>
      <c r="Y67" s="147">
        <f t="shared" ca="1" si="2"/>
        <v>0</v>
      </c>
    </row>
    <row r="68" spans="1:25" ht="15.75" customHeight="1" x14ac:dyDescent="0.25">
      <c r="A68" s="148" t="str">
        <f ca="1">IFERROR(__xludf.DUMMYFUNCTION("""COMPUTED_VALUE"""),"India ")</f>
        <v xml:space="preserve">India </v>
      </c>
      <c r="B68" s="81" t="str">
        <f ca="1">IFERROR(__xludf.DUMMYFUNCTION("""COMPUTED_VALUE"""),"NHIPLC")</f>
        <v>NHIPLC</v>
      </c>
      <c r="C68" s="139" t="str">
        <f ca="1">IFERROR(__xludf.DUMMYFUNCTION("""COMPUTED_VALUE"""),"Country Digital Product")</f>
        <v>Country Digital Product</v>
      </c>
      <c r="D68" s="139" t="str">
        <f ca="1">IFERROR(__xludf.DUMMYFUNCTION("""COMPUTED_VALUE"""),"Country Product")</f>
        <v>Country Product</v>
      </c>
      <c r="E68" s="81" t="str">
        <f ca="1">IFERROR(__xludf.DUMMYFUNCTION("""COMPUTED_VALUE"""),"Direct Cost")</f>
        <v>Direct Cost</v>
      </c>
      <c r="F68" s="81" t="str">
        <f ca="1">IFERROR(__xludf.DUMMYFUNCTION("""COMPUTED_VALUE"""),"Supplies &amp; Printing Costs")</f>
        <v>Supplies &amp; Printing Costs</v>
      </c>
      <c r="G68" s="81" t="str">
        <f ca="1">IFERROR(__xludf.DUMMYFUNCTION("""COMPUTED_VALUE"""),"RES (Exotel Expensess)")</f>
        <v>RES (Exotel Expensess)</v>
      </c>
      <c r="H68" s="35">
        <f ca="1">IFERROR(__xludf.DUMMYFUNCTION("""COMPUTED_VALUE"""),93202)</f>
        <v>93202</v>
      </c>
      <c r="I68" s="140">
        <f ca="1">IFERROR(__xludf.DUMMYFUNCTION("""COMPUTED_VALUE"""),0)</f>
        <v>0</v>
      </c>
      <c r="J68" s="140">
        <f ca="1">IFERROR(__xludf.DUMMYFUNCTION("""COMPUTED_VALUE"""),0)</f>
        <v>0</v>
      </c>
      <c r="K68" s="140">
        <f ca="1">IFERROR(__xludf.DUMMYFUNCTION("""COMPUTED_VALUE"""),0)</f>
        <v>0</v>
      </c>
      <c r="L68" s="140">
        <f ca="1">IFERROR(__xludf.DUMMYFUNCTION("""COMPUTED_VALUE"""),0)</f>
        <v>0</v>
      </c>
      <c r="M68" s="140">
        <f ca="1">IFERROR(__xludf.DUMMYFUNCTION("""COMPUTED_VALUE"""),0)</f>
        <v>0</v>
      </c>
      <c r="N68" s="140">
        <f ca="1">IFERROR(__xludf.DUMMYFUNCTION("""COMPUTED_VALUE"""),0)</f>
        <v>0</v>
      </c>
      <c r="O68" s="140">
        <f ca="1">IFERROR(__xludf.DUMMYFUNCTION("""COMPUTED_VALUE"""),0)</f>
        <v>0</v>
      </c>
      <c r="P68" s="140">
        <f ca="1">IFERROR(__xludf.DUMMYFUNCTION("""COMPUTED_VALUE"""),0)</f>
        <v>0</v>
      </c>
      <c r="Q68" s="140">
        <f ca="1">IFERROR(__xludf.DUMMYFUNCTION("""COMPUTED_VALUE"""),0)</f>
        <v>0</v>
      </c>
      <c r="R68" s="140">
        <f ca="1">IFERROR(__xludf.DUMMYFUNCTION("""COMPUTED_VALUE"""),0)</f>
        <v>0</v>
      </c>
      <c r="S68" s="140">
        <f ca="1">IFERROR(__xludf.DUMMYFUNCTION("""COMPUTED_VALUE"""),0)</f>
        <v>0</v>
      </c>
      <c r="T68" s="140">
        <f ca="1">IFERROR(__xludf.DUMMYFUNCTION("""COMPUTED_VALUE"""),0)</f>
        <v>0</v>
      </c>
      <c r="U68" s="140">
        <f ca="1">IFERROR(__xludf.DUMMYFUNCTION("""COMPUTED_VALUE"""),0)</f>
        <v>0</v>
      </c>
      <c r="V68" s="100"/>
      <c r="W68" s="140">
        <f ca="1">IFERROR(__xludf.DUMMYFUNCTION("""COMPUTED_VALUE"""),0)</f>
        <v>0</v>
      </c>
      <c r="X68" s="140"/>
      <c r="Y68" s="147">
        <f t="shared" ca="1" si="2"/>
        <v>0</v>
      </c>
    </row>
    <row r="69" spans="1:25" ht="15.75" customHeight="1" x14ac:dyDescent="0.25">
      <c r="A69" s="148" t="str">
        <f ca="1">IFERROR(__xludf.DUMMYFUNCTION("""COMPUTED_VALUE"""),"India")</f>
        <v>India</v>
      </c>
      <c r="B69" s="81" t="str">
        <f ca="1">IFERROR(__xludf.DUMMYFUNCTION("""COMPUTED_VALUE"""),"NHIPLC")</f>
        <v>NHIPLC</v>
      </c>
      <c r="C69" s="81" t="str">
        <f ca="1">IFERROR(__xludf.DUMMYFUNCTION("""COMPUTED_VALUE"""),"Country Digital Product")</f>
        <v>Country Digital Product</v>
      </c>
      <c r="D69" s="81" t="str">
        <f ca="1">IFERROR(__xludf.DUMMYFUNCTION("""COMPUTED_VALUE"""),"Country Product")</f>
        <v>Country Product</v>
      </c>
      <c r="E69" s="81" t="str">
        <f ca="1">IFERROR(__xludf.DUMMYFUNCTION("""COMPUTED_VALUE"""),"Fixed Assets")</f>
        <v>Fixed Assets</v>
      </c>
      <c r="F69" s="81" t="str">
        <f ca="1">IFERROR(__xludf.DUMMYFUNCTION("""COMPUTED_VALUE"""),"Fixed Assets")</f>
        <v>Fixed Assets</v>
      </c>
      <c r="G69" s="81" t="str">
        <f ca="1">IFERROR(__xludf.DUMMYFUNCTION("""COMPUTED_VALUE"""),"Laptop/ Printer")</f>
        <v>Laptop/ Printer</v>
      </c>
      <c r="H69" s="35">
        <f ca="1">IFERROR(__xludf.DUMMYFUNCTION("""COMPUTED_VALUE"""),11301)</f>
        <v>11301</v>
      </c>
      <c r="I69" s="140">
        <f ca="1">IFERROR(__xludf.DUMMYFUNCTION("""COMPUTED_VALUE"""),980000)</f>
        <v>980000</v>
      </c>
      <c r="J69" s="140">
        <f ca="1">IFERROR(__xludf.DUMMYFUNCTION("""COMPUTED_VALUE"""),0)</f>
        <v>0</v>
      </c>
      <c r="K69" s="140">
        <f ca="1">IFERROR(__xludf.DUMMYFUNCTION("""COMPUTED_VALUE"""),0)</f>
        <v>0</v>
      </c>
      <c r="L69" s="140">
        <f ca="1">IFERROR(__xludf.DUMMYFUNCTION("""COMPUTED_VALUE"""),0)</f>
        <v>0</v>
      </c>
      <c r="M69" s="140">
        <f ca="1">IFERROR(__xludf.DUMMYFUNCTION("""COMPUTED_VALUE"""),980000)</f>
        <v>980000</v>
      </c>
      <c r="N69" s="140">
        <f ca="1">IFERROR(__xludf.DUMMYFUNCTION("""COMPUTED_VALUE"""),0)</f>
        <v>0</v>
      </c>
      <c r="O69" s="140">
        <f ca="1">IFERROR(__xludf.DUMMYFUNCTION("""COMPUTED_VALUE"""),0)</f>
        <v>0</v>
      </c>
      <c r="P69" s="140">
        <f ca="1">IFERROR(__xludf.DUMMYFUNCTION("""COMPUTED_VALUE"""),0)</f>
        <v>0</v>
      </c>
      <c r="Q69" s="140">
        <f ca="1">IFERROR(__xludf.DUMMYFUNCTION("""COMPUTED_VALUE"""),0)</f>
        <v>0</v>
      </c>
      <c r="R69" s="140">
        <f ca="1">IFERROR(__xludf.DUMMYFUNCTION("""COMPUTED_VALUE"""),0)</f>
        <v>0</v>
      </c>
      <c r="S69" s="140">
        <f ca="1">IFERROR(__xludf.DUMMYFUNCTION("""COMPUTED_VALUE"""),0)</f>
        <v>0</v>
      </c>
      <c r="T69" s="140">
        <f ca="1">IFERROR(__xludf.DUMMYFUNCTION("""COMPUTED_VALUE"""),0)</f>
        <v>0</v>
      </c>
      <c r="U69" s="140">
        <f ca="1">IFERROR(__xludf.DUMMYFUNCTION("""COMPUTED_VALUE"""),0)</f>
        <v>0</v>
      </c>
      <c r="V69" s="100"/>
      <c r="W69" s="140">
        <f ca="1">IFERROR(__xludf.DUMMYFUNCTION("""COMPUTED_VALUE"""),980000)</f>
        <v>980000</v>
      </c>
      <c r="X69" s="140">
        <f ca="1">IFERROR(__xludf.DUMMYFUNCTION("""COMPUTED_VALUE"""),0)</f>
        <v>0</v>
      </c>
      <c r="Y69" s="147">
        <f t="shared" ca="1" si="2"/>
        <v>0</v>
      </c>
    </row>
    <row r="70" spans="1:25" ht="15.75" customHeight="1" x14ac:dyDescent="0.3">
      <c r="A70" s="170"/>
      <c r="B70" s="170"/>
      <c r="C70" s="170"/>
      <c r="D70" s="170"/>
      <c r="E70" s="170"/>
      <c r="F70" s="170"/>
      <c r="G70" s="170" t="str">
        <f ca="1">IFERROR(__xludf.DUMMYFUNCTION("""COMPUTED_VALUE"""),"Total expenses ")</f>
        <v xml:space="preserve">Total expenses </v>
      </c>
      <c r="H70" s="170"/>
      <c r="I70" s="171">
        <f ca="1">IFERROR(__xludf.DUMMYFUNCTION("""COMPUTED_VALUE"""),19425661.3333333)</f>
        <v>19425661.333333299</v>
      </c>
      <c r="J70" s="171">
        <f ca="1">IFERROR(__xludf.DUMMYFUNCTION("""COMPUTED_VALUE"""),896979.75)</f>
        <v>896979.75</v>
      </c>
      <c r="K70" s="171">
        <f ca="1">IFERROR(__xludf.DUMMYFUNCTION("""COMPUTED_VALUE"""),966513.75)</f>
        <v>966513.75</v>
      </c>
      <c r="L70" s="171">
        <f ca="1">IFERROR(__xludf.DUMMYFUNCTION("""COMPUTED_VALUE"""),1309747.08333333)</f>
        <v>1309747.08333333</v>
      </c>
      <c r="M70" s="171">
        <f ca="1">IFERROR(__xludf.DUMMYFUNCTION("""COMPUTED_VALUE"""),2686646.75)</f>
        <v>2686646.75</v>
      </c>
      <c r="N70" s="171">
        <f ca="1">IFERROR(__xludf.DUMMYFUNCTION("""COMPUTED_VALUE"""),1762846.75)</f>
        <v>1762846.75</v>
      </c>
      <c r="O70" s="171">
        <f ca="1">IFERROR(__xludf.DUMMYFUNCTION("""COMPUTED_VALUE"""),1684746.75)</f>
        <v>1684746.75</v>
      </c>
      <c r="P70" s="171">
        <f ca="1">IFERROR(__xludf.DUMMYFUNCTION("""COMPUTED_VALUE"""),1806646.75)</f>
        <v>1806646.75</v>
      </c>
      <c r="Q70" s="171">
        <f ca="1">IFERROR(__xludf.DUMMYFUNCTION("""COMPUTED_VALUE"""),1662846.75)</f>
        <v>1662846.75</v>
      </c>
      <c r="R70" s="171">
        <f ca="1">IFERROR(__xludf.DUMMYFUNCTION("""COMPUTED_VALUE"""),1912746.75)</f>
        <v>1912746.75</v>
      </c>
      <c r="S70" s="171">
        <f ca="1">IFERROR(__xludf.DUMMYFUNCTION("""COMPUTED_VALUE"""),1578646.75)</f>
        <v>1578646.75</v>
      </c>
      <c r="T70" s="171">
        <f ca="1">IFERROR(__xludf.DUMMYFUNCTION("""COMPUTED_VALUE"""),1578646.75)</f>
        <v>1578646.75</v>
      </c>
      <c r="U70" s="171">
        <f ca="1">IFERROR(__xludf.DUMMYFUNCTION("""COMPUTED_VALUE"""),1578646.75)</f>
        <v>1578646.75</v>
      </c>
      <c r="V70" s="100">
        <f ca="1">IFERROR(__xludf.DUMMYFUNCTION("""COMPUTED_VALUE"""),2026)</f>
        <v>2026</v>
      </c>
      <c r="W70" s="171">
        <f ca="1">IFERROR(__xludf.DUMMYFUNCTION("""COMPUTED_VALUE"""),19425661.3333333)</f>
        <v>19425661.333333299</v>
      </c>
      <c r="X70" s="171">
        <f ca="1">IFERROR(__xludf.DUMMYFUNCTION("""COMPUTED_VALUE"""),0)</f>
        <v>0</v>
      </c>
    </row>
    <row r="71" spans="1:25" ht="15.75" customHeight="1" x14ac:dyDescent="0.25">
      <c r="M71" s="15"/>
      <c r="Y71" s="69">
        <f t="shared" ref="Y71:Y91" si="3">W71-I71</f>
        <v>0</v>
      </c>
    </row>
    <row r="72" spans="1:25" ht="15.75" customHeight="1" x14ac:dyDescent="0.25">
      <c r="A72" s="136" t="str">
        <f ca="1">IFERROR(__xludf.DUMMYFUNCTION("importrange(""https://docs.google.com/spreadsheets/d/1RW0_MIkhEBigB6Qa_RHL16BvVC85wIxUie7tOCN8ReM/edit?gid=31447059#"",""Summary!A3:X23"")"),"India ")</f>
        <v xml:space="preserve">India </v>
      </c>
      <c r="B72" s="81" t="str">
        <f ca="1">IFERROR(__xludf.DUMMYFUNCTION("""COMPUTED_VALUE"""),"NHIPLC")</f>
        <v>NHIPLC</v>
      </c>
      <c r="C72" s="139" t="str">
        <f ca="1">IFERROR(__xludf.DUMMYFUNCTION("""COMPUTED_VALUE"""),"Country Digital Product")</f>
        <v>Country Digital Product</v>
      </c>
      <c r="D72" s="139" t="str">
        <f ca="1">IFERROR(__xludf.DUMMYFUNCTION("""COMPUTED_VALUE"""),"Country Engineering")</f>
        <v>Country Engineering</v>
      </c>
      <c r="E72" s="139" t="str">
        <f ca="1">IFERROR(__xludf.DUMMYFUNCTION("""COMPUTED_VALUE"""),"Payroll Cost")</f>
        <v>Payroll Cost</v>
      </c>
      <c r="F72" s="139" t="str">
        <f ca="1">IFERROR(__xludf.DUMMYFUNCTION("""COMPUTED_VALUE"""),"Salaries and Wages")</f>
        <v>Salaries and Wages</v>
      </c>
      <c r="G72" s="139" t="str">
        <f ca="1">IFERROR(__xludf.DUMMYFUNCTION("""COMPUTED_VALUE"""),"Salaries and Wages")</f>
        <v>Salaries and Wages</v>
      </c>
      <c r="H72" s="141" t="str">
        <f ca="1">IFERROR(__xludf.DUMMYFUNCTION("""COMPUTED_VALUE"""),"91101-91107")</f>
        <v>91101-91107</v>
      </c>
      <c r="I72" s="140">
        <f ca="1">IFERROR(__xludf.DUMMYFUNCTION("""COMPUTED_VALUE"""),1599999.99999999)</f>
        <v>1599999.99999999</v>
      </c>
      <c r="J72" s="140">
        <f ca="1">IFERROR(__xludf.DUMMYFUNCTION("""COMPUTED_VALUE"""),133333.333333333)</f>
        <v>133333.33333333299</v>
      </c>
      <c r="K72" s="140">
        <f ca="1">IFERROR(__xludf.DUMMYFUNCTION("""COMPUTED_VALUE"""),133333.333333333)</f>
        <v>133333.33333333299</v>
      </c>
      <c r="L72" s="140">
        <f ca="1">IFERROR(__xludf.DUMMYFUNCTION("""COMPUTED_VALUE"""),133333.333333333)</f>
        <v>133333.33333333299</v>
      </c>
      <c r="M72" s="143">
        <f ca="1">IFERROR(__xludf.DUMMYFUNCTION("""COMPUTED_VALUE"""),133333.333333333)</f>
        <v>133333.33333333299</v>
      </c>
      <c r="N72" s="140">
        <f ca="1">IFERROR(__xludf.DUMMYFUNCTION("""COMPUTED_VALUE"""),133333.333333333)</f>
        <v>133333.33333333299</v>
      </c>
      <c r="O72" s="140">
        <f ca="1">IFERROR(__xludf.DUMMYFUNCTION("""COMPUTED_VALUE"""),133333.333333333)</f>
        <v>133333.33333333299</v>
      </c>
      <c r="P72" s="140">
        <f ca="1">IFERROR(__xludf.DUMMYFUNCTION("""COMPUTED_VALUE"""),133333.333333333)</f>
        <v>133333.33333333299</v>
      </c>
      <c r="Q72" s="140">
        <f ca="1">IFERROR(__xludf.DUMMYFUNCTION("""COMPUTED_VALUE"""),133333.333333333)</f>
        <v>133333.33333333299</v>
      </c>
      <c r="R72" s="140">
        <f ca="1">IFERROR(__xludf.DUMMYFUNCTION("""COMPUTED_VALUE"""),133333.333333333)</f>
        <v>133333.33333333299</v>
      </c>
      <c r="S72" s="140">
        <f ca="1">IFERROR(__xludf.DUMMYFUNCTION("""COMPUTED_VALUE"""),133333.333333333)</f>
        <v>133333.33333333299</v>
      </c>
      <c r="T72" s="140">
        <f ca="1">IFERROR(__xludf.DUMMYFUNCTION("""COMPUTED_VALUE"""),133333.333333333)</f>
        <v>133333.33333333299</v>
      </c>
      <c r="U72" s="140">
        <f ca="1">IFERROR(__xludf.DUMMYFUNCTION("""COMPUTED_VALUE"""),133333.333333333)</f>
        <v>133333.33333333299</v>
      </c>
      <c r="V72" s="100"/>
      <c r="W72" s="140">
        <f ca="1">IFERROR(__xludf.DUMMYFUNCTION("""COMPUTED_VALUE"""),1599999.99999999)</f>
        <v>1599999.99999999</v>
      </c>
      <c r="X72" s="140">
        <f ca="1">IFERROR(__xludf.DUMMYFUNCTION("""COMPUTED_VALUE"""),0)</f>
        <v>0</v>
      </c>
      <c r="Y72" s="147">
        <f t="shared" ca="1" si="3"/>
        <v>0</v>
      </c>
    </row>
    <row r="73" spans="1:25" ht="15.75" customHeight="1" x14ac:dyDescent="0.25">
      <c r="A73" s="148" t="str">
        <f ca="1">IFERROR(__xludf.DUMMYFUNCTION("""COMPUTED_VALUE"""),"India ")</f>
        <v xml:space="preserve">India </v>
      </c>
      <c r="B73" s="81" t="str">
        <f ca="1">IFERROR(__xludf.DUMMYFUNCTION("""COMPUTED_VALUE"""),"NHIPLC")</f>
        <v>NHIPLC</v>
      </c>
      <c r="C73" s="139" t="str">
        <f ca="1">IFERROR(__xludf.DUMMYFUNCTION("""COMPUTED_VALUE"""),"Country Digital Product")</f>
        <v>Country Digital Product</v>
      </c>
      <c r="D73" s="139" t="str">
        <f ca="1">IFERROR(__xludf.DUMMYFUNCTION("""COMPUTED_VALUE"""),"Country Engineering")</f>
        <v>Country Engineering</v>
      </c>
      <c r="E73" s="139" t="str">
        <f ca="1">IFERROR(__xludf.DUMMYFUNCTION("""COMPUTED_VALUE"""),"Payroll Cost")</f>
        <v>Payroll Cost</v>
      </c>
      <c r="F73" s="139" t="str">
        <f ca="1">IFERROR(__xludf.DUMMYFUNCTION("""COMPUTED_VALUE"""),"Health and Retirement Benefits")</f>
        <v>Health and Retirement Benefits</v>
      </c>
      <c r="G73" s="139" t="str">
        <f ca="1">IFERROR(__xludf.DUMMYFUNCTION("""COMPUTED_VALUE"""),"Gratuity &amp; Bonus")</f>
        <v>Gratuity &amp; Bonus</v>
      </c>
      <c r="H73" s="141" t="str">
        <f ca="1">IFERROR(__xludf.DUMMYFUNCTION("""COMPUTED_VALUE"""),"91201-91207")</f>
        <v>91201-91207</v>
      </c>
      <c r="I73" s="140">
        <f ca="1">IFERROR(__xludf.DUMMYFUNCTION("""COMPUTED_VALUE"""),0)</f>
        <v>0</v>
      </c>
      <c r="J73" s="140">
        <f ca="1">IFERROR(__xludf.DUMMYFUNCTION("""COMPUTED_VALUE"""),0)</f>
        <v>0</v>
      </c>
      <c r="K73" s="140">
        <f ca="1">IFERROR(__xludf.DUMMYFUNCTION("""COMPUTED_VALUE"""),0)</f>
        <v>0</v>
      </c>
      <c r="L73" s="140">
        <f ca="1">IFERROR(__xludf.DUMMYFUNCTION("""COMPUTED_VALUE"""),0)</f>
        <v>0</v>
      </c>
      <c r="M73" s="143">
        <f ca="1">IFERROR(__xludf.DUMMYFUNCTION("""COMPUTED_VALUE"""),0)</f>
        <v>0</v>
      </c>
      <c r="N73" s="140">
        <f ca="1">IFERROR(__xludf.DUMMYFUNCTION("""COMPUTED_VALUE"""),0)</f>
        <v>0</v>
      </c>
      <c r="O73" s="140">
        <f ca="1">IFERROR(__xludf.DUMMYFUNCTION("""COMPUTED_VALUE"""),0)</f>
        <v>0</v>
      </c>
      <c r="P73" s="140">
        <f ca="1">IFERROR(__xludf.DUMMYFUNCTION("""COMPUTED_VALUE"""),0)</f>
        <v>0</v>
      </c>
      <c r="Q73" s="140">
        <f ca="1">IFERROR(__xludf.DUMMYFUNCTION("""COMPUTED_VALUE"""),0)</f>
        <v>0</v>
      </c>
      <c r="R73" s="140">
        <f ca="1">IFERROR(__xludf.DUMMYFUNCTION("""COMPUTED_VALUE"""),0)</f>
        <v>0</v>
      </c>
      <c r="S73" s="140">
        <f ca="1">IFERROR(__xludf.DUMMYFUNCTION("""COMPUTED_VALUE"""),0)</f>
        <v>0</v>
      </c>
      <c r="T73" s="140">
        <f ca="1">IFERROR(__xludf.DUMMYFUNCTION("""COMPUTED_VALUE"""),0)</f>
        <v>0</v>
      </c>
      <c r="U73" s="140">
        <f ca="1">IFERROR(__xludf.DUMMYFUNCTION("""COMPUTED_VALUE"""),0)</f>
        <v>0</v>
      </c>
      <c r="V73" s="100"/>
      <c r="W73" s="140">
        <f ca="1">IFERROR(__xludf.DUMMYFUNCTION("""COMPUTED_VALUE"""),0)</f>
        <v>0</v>
      </c>
      <c r="X73" s="140">
        <f ca="1">IFERROR(__xludf.DUMMYFUNCTION("""COMPUTED_VALUE"""),0)</f>
        <v>0</v>
      </c>
      <c r="Y73" s="147">
        <f t="shared" ca="1" si="3"/>
        <v>0</v>
      </c>
    </row>
    <row r="74" spans="1:25" ht="15.75" customHeight="1" x14ac:dyDescent="0.25">
      <c r="A74" s="148" t="str">
        <f ca="1">IFERROR(__xludf.DUMMYFUNCTION("""COMPUTED_VALUE"""),"India ")</f>
        <v xml:space="preserve">India </v>
      </c>
      <c r="B74" s="81" t="str">
        <f ca="1">IFERROR(__xludf.DUMMYFUNCTION("""COMPUTED_VALUE"""),"NHIPLC")</f>
        <v>NHIPLC</v>
      </c>
      <c r="C74" s="139" t="str">
        <f ca="1">IFERROR(__xludf.DUMMYFUNCTION("""COMPUTED_VALUE"""),"Country Digital Product")</f>
        <v>Country Digital Product</v>
      </c>
      <c r="D74" s="139" t="str">
        <f ca="1">IFERROR(__xludf.DUMMYFUNCTION("""COMPUTED_VALUE"""),"Country Engineering")</f>
        <v>Country Engineering</v>
      </c>
      <c r="E74" s="139" t="str">
        <f ca="1">IFERROR(__xludf.DUMMYFUNCTION("""COMPUTED_VALUE"""),"Payroll Cost")</f>
        <v>Payroll Cost</v>
      </c>
      <c r="F74" s="139" t="str">
        <f ca="1">IFERROR(__xludf.DUMMYFUNCTION("""COMPUTED_VALUE"""),"Other Staff Expenses")</f>
        <v>Other Staff Expenses</v>
      </c>
      <c r="G74" s="139" t="str">
        <f ca="1">IFERROR(__xludf.DUMMYFUNCTION("""COMPUTED_VALUE"""),"Staff Training, Learning &amp; Development Exp")</f>
        <v>Staff Training, Learning &amp; Development Exp</v>
      </c>
      <c r="H74" s="141">
        <f ca="1">IFERROR(__xludf.DUMMYFUNCTION("""COMPUTED_VALUE"""),91302)</f>
        <v>91302</v>
      </c>
      <c r="I74" s="140">
        <f ca="1">IFERROR(__xludf.DUMMYFUNCTION("""COMPUTED_VALUE"""),0)</f>
        <v>0</v>
      </c>
      <c r="J74" s="140">
        <f ca="1">IFERROR(__xludf.DUMMYFUNCTION("""COMPUTED_VALUE"""),0)</f>
        <v>0</v>
      </c>
      <c r="K74" s="140">
        <f ca="1">IFERROR(__xludf.DUMMYFUNCTION("""COMPUTED_VALUE"""),0)</f>
        <v>0</v>
      </c>
      <c r="L74" s="140">
        <f ca="1">IFERROR(__xludf.DUMMYFUNCTION("""COMPUTED_VALUE"""),0)</f>
        <v>0</v>
      </c>
      <c r="M74" s="143">
        <f ca="1">IFERROR(__xludf.DUMMYFUNCTION("""COMPUTED_VALUE"""),0)</f>
        <v>0</v>
      </c>
      <c r="N74" s="140">
        <f ca="1">IFERROR(__xludf.DUMMYFUNCTION("""COMPUTED_VALUE"""),0)</f>
        <v>0</v>
      </c>
      <c r="O74" s="140">
        <f ca="1">IFERROR(__xludf.DUMMYFUNCTION("""COMPUTED_VALUE"""),0)</f>
        <v>0</v>
      </c>
      <c r="P74" s="140">
        <f ca="1">IFERROR(__xludf.DUMMYFUNCTION("""COMPUTED_VALUE"""),0)</f>
        <v>0</v>
      </c>
      <c r="Q74" s="140">
        <f ca="1">IFERROR(__xludf.DUMMYFUNCTION("""COMPUTED_VALUE"""),0)</f>
        <v>0</v>
      </c>
      <c r="R74" s="140">
        <f ca="1">IFERROR(__xludf.DUMMYFUNCTION("""COMPUTED_VALUE"""),0)</f>
        <v>0</v>
      </c>
      <c r="S74" s="140">
        <f ca="1">IFERROR(__xludf.DUMMYFUNCTION("""COMPUTED_VALUE"""),0)</f>
        <v>0</v>
      </c>
      <c r="T74" s="140">
        <f ca="1">IFERROR(__xludf.DUMMYFUNCTION("""COMPUTED_VALUE"""),0)</f>
        <v>0</v>
      </c>
      <c r="U74" s="140">
        <f ca="1">IFERROR(__xludf.DUMMYFUNCTION("""COMPUTED_VALUE"""),0)</f>
        <v>0</v>
      </c>
      <c r="V74" s="100"/>
      <c r="W74" s="140">
        <f ca="1">IFERROR(__xludf.DUMMYFUNCTION("""COMPUTED_VALUE"""),0)</f>
        <v>0</v>
      </c>
      <c r="X74" s="140">
        <f ca="1">IFERROR(__xludf.DUMMYFUNCTION("""COMPUTED_VALUE"""),0)</f>
        <v>0</v>
      </c>
      <c r="Y74" s="147">
        <f t="shared" ca="1" si="3"/>
        <v>0</v>
      </c>
    </row>
    <row r="75" spans="1:25" ht="15.75" customHeight="1" x14ac:dyDescent="0.25">
      <c r="A75" s="148" t="str">
        <f ca="1">IFERROR(__xludf.DUMMYFUNCTION("""COMPUTED_VALUE"""),"India ")</f>
        <v xml:space="preserve">India </v>
      </c>
      <c r="B75" s="81" t="str">
        <f ca="1">IFERROR(__xludf.DUMMYFUNCTION("""COMPUTED_VALUE"""),"NHIPLC")</f>
        <v>NHIPLC</v>
      </c>
      <c r="C75" s="139" t="str">
        <f ca="1">IFERROR(__xludf.DUMMYFUNCTION("""COMPUTED_VALUE"""),"Country Digital Product")</f>
        <v>Country Digital Product</v>
      </c>
      <c r="D75" s="139" t="str">
        <f ca="1">IFERROR(__xludf.DUMMYFUNCTION("""COMPUTED_VALUE"""),"Country Engineering")</f>
        <v>Country Engineering</v>
      </c>
      <c r="E75" s="139" t="str">
        <f ca="1">IFERROR(__xludf.DUMMYFUNCTION("""COMPUTED_VALUE"""),"Direct Consultants")</f>
        <v>Direct Consultants</v>
      </c>
      <c r="F75" s="139" t="str">
        <f ca="1">IFERROR(__xludf.DUMMYFUNCTION("""COMPUTED_VALUE"""),"Resource Persons")</f>
        <v>Resource Persons</v>
      </c>
      <c r="G75" s="139" t="str">
        <f ca="1">IFERROR(__xludf.DUMMYFUNCTION("""COMPUTED_VALUE"""),"Program Resource Consultant (EHA)")</f>
        <v>Program Resource Consultant (EHA)</v>
      </c>
      <c r="H75" s="141">
        <f ca="1">IFERROR(__xludf.DUMMYFUNCTION("""COMPUTED_VALUE"""),92101)</f>
        <v>92101</v>
      </c>
      <c r="I75" s="140">
        <f ca="1">IFERROR(__xludf.DUMMYFUNCTION("""COMPUTED_VALUE"""),0)</f>
        <v>0</v>
      </c>
      <c r="J75" s="140">
        <f ca="1">IFERROR(__xludf.DUMMYFUNCTION("""COMPUTED_VALUE"""),0)</f>
        <v>0</v>
      </c>
      <c r="K75" s="140">
        <f ca="1">IFERROR(__xludf.DUMMYFUNCTION("""COMPUTED_VALUE"""),0)</f>
        <v>0</v>
      </c>
      <c r="L75" s="140">
        <f ca="1">IFERROR(__xludf.DUMMYFUNCTION("""COMPUTED_VALUE"""),0)</f>
        <v>0</v>
      </c>
      <c r="M75" s="143">
        <f ca="1">IFERROR(__xludf.DUMMYFUNCTION("""COMPUTED_VALUE"""),0)</f>
        <v>0</v>
      </c>
      <c r="N75" s="140">
        <f ca="1">IFERROR(__xludf.DUMMYFUNCTION("""COMPUTED_VALUE"""),0)</f>
        <v>0</v>
      </c>
      <c r="O75" s="140">
        <f ca="1">IFERROR(__xludf.DUMMYFUNCTION("""COMPUTED_VALUE"""),0)</f>
        <v>0</v>
      </c>
      <c r="P75" s="140">
        <f ca="1">IFERROR(__xludf.DUMMYFUNCTION("""COMPUTED_VALUE"""),0)</f>
        <v>0</v>
      </c>
      <c r="Q75" s="140">
        <f ca="1">IFERROR(__xludf.DUMMYFUNCTION("""COMPUTED_VALUE"""),0)</f>
        <v>0</v>
      </c>
      <c r="R75" s="140">
        <f ca="1">IFERROR(__xludf.DUMMYFUNCTION("""COMPUTED_VALUE"""),0)</f>
        <v>0</v>
      </c>
      <c r="S75" s="140">
        <f ca="1">IFERROR(__xludf.DUMMYFUNCTION("""COMPUTED_VALUE"""),0)</f>
        <v>0</v>
      </c>
      <c r="T75" s="140">
        <f ca="1">IFERROR(__xludf.DUMMYFUNCTION("""COMPUTED_VALUE"""),0)</f>
        <v>0</v>
      </c>
      <c r="U75" s="140">
        <f ca="1">IFERROR(__xludf.DUMMYFUNCTION("""COMPUTED_VALUE"""),0)</f>
        <v>0</v>
      </c>
      <c r="V75" s="100"/>
      <c r="W75" s="140">
        <f ca="1">IFERROR(__xludf.DUMMYFUNCTION("""COMPUTED_VALUE"""),0)</f>
        <v>0</v>
      </c>
      <c r="X75" s="140">
        <f ca="1">IFERROR(__xludf.DUMMYFUNCTION("""COMPUTED_VALUE"""),0)</f>
        <v>0</v>
      </c>
      <c r="Y75" s="147">
        <f t="shared" ca="1" si="3"/>
        <v>0</v>
      </c>
    </row>
    <row r="76" spans="1:25" ht="15.75" customHeight="1" x14ac:dyDescent="0.25">
      <c r="A76" s="148" t="str">
        <f ca="1">IFERROR(__xludf.DUMMYFUNCTION("""COMPUTED_VALUE"""),"India ")</f>
        <v xml:space="preserve">India </v>
      </c>
      <c r="B76" s="81" t="str">
        <f ca="1">IFERROR(__xludf.DUMMYFUNCTION("""COMPUTED_VALUE"""),"NHIPLC")</f>
        <v>NHIPLC</v>
      </c>
      <c r="C76" s="81" t="str">
        <f ca="1">IFERROR(__xludf.DUMMYFUNCTION("""COMPUTED_VALUE"""),"Country Digital Product")</f>
        <v>Country Digital Product</v>
      </c>
      <c r="D76" s="81" t="str">
        <f ca="1">IFERROR(__xludf.DUMMYFUNCTION("""COMPUTED_VALUE"""),"Country Engineering")</f>
        <v>Country Engineering</v>
      </c>
      <c r="E76" s="139" t="str">
        <f ca="1">IFERROR(__xludf.DUMMYFUNCTION("""COMPUTED_VALUE"""),"Direct Cost")</f>
        <v>Direct Cost</v>
      </c>
      <c r="F76" s="139" t="str">
        <f ca="1">IFERROR(__xludf.DUMMYFUNCTION("""COMPUTED_VALUE"""),"Travel &amp; Lodging Expenses")</f>
        <v>Travel &amp; Lodging Expenses</v>
      </c>
      <c r="G76" s="139" t="str">
        <f ca="1">IFERROR(__xludf.DUMMYFUNCTION("""COMPUTED_VALUE"""),"Hotel Accomodation")</f>
        <v>Hotel Accomodation</v>
      </c>
      <c r="H76" s="141">
        <f ca="1">IFERROR(__xludf.DUMMYFUNCTION("""COMPUTED_VALUE"""),93101)</f>
        <v>93101</v>
      </c>
      <c r="I76" s="140">
        <f ca="1">IFERROR(__xludf.DUMMYFUNCTION("""COMPUTED_VALUE"""),0)</f>
        <v>0</v>
      </c>
      <c r="J76" s="140">
        <f ca="1">IFERROR(__xludf.DUMMYFUNCTION("""COMPUTED_VALUE"""),0)</f>
        <v>0</v>
      </c>
      <c r="K76" s="140">
        <f ca="1">IFERROR(__xludf.DUMMYFUNCTION("""COMPUTED_VALUE"""),0)</f>
        <v>0</v>
      </c>
      <c r="L76" s="140">
        <f ca="1">IFERROR(__xludf.DUMMYFUNCTION("""COMPUTED_VALUE"""),0)</f>
        <v>0</v>
      </c>
      <c r="M76" s="143">
        <f ca="1">IFERROR(__xludf.DUMMYFUNCTION("""COMPUTED_VALUE"""),0)</f>
        <v>0</v>
      </c>
      <c r="N76" s="140">
        <f ca="1">IFERROR(__xludf.DUMMYFUNCTION("""COMPUTED_VALUE"""),0)</f>
        <v>0</v>
      </c>
      <c r="O76" s="140">
        <f ca="1">IFERROR(__xludf.DUMMYFUNCTION("""COMPUTED_VALUE"""),0)</f>
        <v>0</v>
      </c>
      <c r="P76" s="140">
        <f ca="1">IFERROR(__xludf.DUMMYFUNCTION("""COMPUTED_VALUE"""),0)</f>
        <v>0</v>
      </c>
      <c r="Q76" s="140">
        <f ca="1">IFERROR(__xludf.DUMMYFUNCTION("""COMPUTED_VALUE"""),0)</f>
        <v>0</v>
      </c>
      <c r="R76" s="140">
        <f ca="1">IFERROR(__xludf.DUMMYFUNCTION("""COMPUTED_VALUE"""),0)</f>
        <v>0</v>
      </c>
      <c r="S76" s="140">
        <f ca="1">IFERROR(__xludf.DUMMYFUNCTION("""COMPUTED_VALUE"""),0)</f>
        <v>0</v>
      </c>
      <c r="T76" s="140">
        <f ca="1">IFERROR(__xludf.DUMMYFUNCTION("""COMPUTED_VALUE"""),0)</f>
        <v>0</v>
      </c>
      <c r="U76" s="140">
        <f ca="1">IFERROR(__xludf.DUMMYFUNCTION("""COMPUTED_VALUE"""),0)</f>
        <v>0</v>
      </c>
      <c r="V76" s="100"/>
      <c r="W76" s="140">
        <f ca="1">IFERROR(__xludf.DUMMYFUNCTION("""COMPUTED_VALUE"""),0)</f>
        <v>0</v>
      </c>
      <c r="X76" s="140"/>
      <c r="Y76" s="147">
        <f t="shared" ca="1" si="3"/>
        <v>0</v>
      </c>
    </row>
    <row r="77" spans="1:25" ht="15.75" customHeight="1" x14ac:dyDescent="0.25">
      <c r="A77" s="148" t="str">
        <f ca="1">IFERROR(__xludf.DUMMYFUNCTION("""COMPUTED_VALUE"""),"India ")</f>
        <v xml:space="preserve">India </v>
      </c>
      <c r="B77" s="81" t="str">
        <f ca="1">IFERROR(__xludf.DUMMYFUNCTION("""COMPUTED_VALUE"""),"NHIPLC")</f>
        <v>NHIPLC</v>
      </c>
      <c r="C77" s="81" t="str">
        <f ca="1">IFERROR(__xludf.DUMMYFUNCTION("""COMPUTED_VALUE"""),"Country Digital Product")</f>
        <v>Country Digital Product</v>
      </c>
      <c r="D77" s="81" t="str">
        <f ca="1">IFERROR(__xludf.DUMMYFUNCTION("""COMPUTED_VALUE"""),"Country Engineering")</f>
        <v>Country Engineering</v>
      </c>
      <c r="E77" s="139" t="str">
        <f ca="1">IFERROR(__xludf.DUMMYFUNCTION("""COMPUTED_VALUE"""),"Direct Cost")</f>
        <v>Direct Cost</v>
      </c>
      <c r="F77" s="139" t="str">
        <f ca="1">IFERROR(__xludf.DUMMYFUNCTION("""COMPUTED_VALUE"""),"Travel &amp; Lodging Expenses")</f>
        <v>Travel &amp; Lodging Expenses</v>
      </c>
      <c r="G77" s="139" t="str">
        <f ca="1">IFERROR(__xludf.DUMMYFUNCTION("""COMPUTED_VALUE"""),"Food Expenses")</f>
        <v>Food Expenses</v>
      </c>
      <c r="H77" s="141">
        <f ca="1">IFERROR(__xludf.DUMMYFUNCTION("""COMPUTED_VALUE"""),93102)</f>
        <v>93102</v>
      </c>
      <c r="I77" s="140">
        <f ca="1">IFERROR(__xludf.DUMMYFUNCTION("""COMPUTED_VALUE"""),0)</f>
        <v>0</v>
      </c>
      <c r="J77" s="140">
        <f ca="1">IFERROR(__xludf.DUMMYFUNCTION("""COMPUTED_VALUE"""),0)</f>
        <v>0</v>
      </c>
      <c r="K77" s="140">
        <f ca="1">IFERROR(__xludf.DUMMYFUNCTION("""COMPUTED_VALUE"""),0)</f>
        <v>0</v>
      </c>
      <c r="L77" s="140">
        <f ca="1">IFERROR(__xludf.DUMMYFUNCTION("""COMPUTED_VALUE"""),0)</f>
        <v>0</v>
      </c>
      <c r="M77" s="143">
        <f ca="1">IFERROR(__xludf.DUMMYFUNCTION("""COMPUTED_VALUE"""),0)</f>
        <v>0</v>
      </c>
      <c r="N77" s="140">
        <f ca="1">IFERROR(__xludf.DUMMYFUNCTION("""COMPUTED_VALUE"""),0)</f>
        <v>0</v>
      </c>
      <c r="O77" s="140">
        <f ca="1">IFERROR(__xludf.DUMMYFUNCTION("""COMPUTED_VALUE"""),0)</f>
        <v>0</v>
      </c>
      <c r="P77" s="140">
        <f ca="1">IFERROR(__xludf.DUMMYFUNCTION("""COMPUTED_VALUE"""),0)</f>
        <v>0</v>
      </c>
      <c r="Q77" s="140">
        <f ca="1">IFERROR(__xludf.DUMMYFUNCTION("""COMPUTED_VALUE"""),0)</f>
        <v>0</v>
      </c>
      <c r="R77" s="140">
        <f ca="1">IFERROR(__xludf.DUMMYFUNCTION("""COMPUTED_VALUE"""),0)</f>
        <v>0</v>
      </c>
      <c r="S77" s="140">
        <f ca="1">IFERROR(__xludf.DUMMYFUNCTION("""COMPUTED_VALUE"""),0)</f>
        <v>0</v>
      </c>
      <c r="T77" s="140">
        <f ca="1">IFERROR(__xludf.DUMMYFUNCTION("""COMPUTED_VALUE"""),0)</f>
        <v>0</v>
      </c>
      <c r="U77" s="140">
        <f ca="1">IFERROR(__xludf.DUMMYFUNCTION("""COMPUTED_VALUE"""),0)</f>
        <v>0</v>
      </c>
      <c r="V77" s="100"/>
      <c r="W77" s="140">
        <f ca="1">IFERROR(__xludf.DUMMYFUNCTION("""COMPUTED_VALUE"""),0)</f>
        <v>0</v>
      </c>
      <c r="X77" s="140"/>
      <c r="Y77" s="147">
        <f t="shared" ca="1" si="3"/>
        <v>0</v>
      </c>
    </row>
    <row r="78" spans="1:25" ht="15.75" customHeight="1" x14ac:dyDescent="0.25">
      <c r="A78" s="148" t="str">
        <f ca="1">IFERROR(__xludf.DUMMYFUNCTION("""COMPUTED_VALUE"""),"India ")</f>
        <v xml:space="preserve">India </v>
      </c>
      <c r="B78" s="81" t="str">
        <f ca="1">IFERROR(__xludf.DUMMYFUNCTION("""COMPUTED_VALUE"""),"NHIPLC")</f>
        <v>NHIPLC</v>
      </c>
      <c r="C78" s="81" t="str">
        <f ca="1">IFERROR(__xludf.DUMMYFUNCTION("""COMPUTED_VALUE"""),"Country Digital Product")</f>
        <v>Country Digital Product</v>
      </c>
      <c r="D78" s="81" t="str">
        <f ca="1">IFERROR(__xludf.DUMMYFUNCTION("""COMPUTED_VALUE"""),"Country Engineering")</f>
        <v>Country Engineering</v>
      </c>
      <c r="E78" s="139" t="str">
        <f ca="1">IFERROR(__xludf.DUMMYFUNCTION("""COMPUTED_VALUE"""),"Direct Cost")</f>
        <v>Direct Cost</v>
      </c>
      <c r="F78" s="139" t="str">
        <f ca="1">IFERROR(__xludf.DUMMYFUNCTION("""COMPUTED_VALUE"""),"Travel &amp; Lodging Expenses")</f>
        <v>Travel &amp; Lodging Expenses</v>
      </c>
      <c r="G78" s="139" t="str">
        <f ca="1">IFERROR(__xludf.DUMMYFUNCTION("""COMPUTED_VALUE"""),"Air fare")</f>
        <v>Air fare</v>
      </c>
      <c r="H78" s="141">
        <f ca="1">IFERROR(__xludf.DUMMYFUNCTION("""COMPUTED_VALUE"""),93103)</f>
        <v>93103</v>
      </c>
      <c r="I78" s="140">
        <f ca="1">IFERROR(__xludf.DUMMYFUNCTION("""COMPUTED_VALUE"""),0)</f>
        <v>0</v>
      </c>
      <c r="J78" s="140">
        <f ca="1">IFERROR(__xludf.DUMMYFUNCTION("""COMPUTED_VALUE"""),0)</f>
        <v>0</v>
      </c>
      <c r="K78" s="140">
        <f ca="1">IFERROR(__xludf.DUMMYFUNCTION("""COMPUTED_VALUE"""),0)</f>
        <v>0</v>
      </c>
      <c r="L78" s="140">
        <f ca="1">IFERROR(__xludf.DUMMYFUNCTION("""COMPUTED_VALUE"""),0)</f>
        <v>0</v>
      </c>
      <c r="M78" s="143">
        <f ca="1">IFERROR(__xludf.DUMMYFUNCTION("""COMPUTED_VALUE"""),0)</f>
        <v>0</v>
      </c>
      <c r="N78" s="140">
        <f ca="1">IFERROR(__xludf.DUMMYFUNCTION("""COMPUTED_VALUE"""),0)</f>
        <v>0</v>
      </c>
      <c r="O78" s="140">
        <f ca="1">IFERROR(__xludf.DUMMYFUNCTION("""COMPUTED_VALUE"""),0)</f>
        <v>0</v>
      </c>
      <c r="P78" s="140">
        <f ca="1">IFERROR(__xludf.DUMMYFUNCTION("""COMPUTED_VALUE"""),0)</f>
        <v>0</v>
      </c>
      <c r="Q78" s="140">
        <f ca="1">IFERROR(__xludf.DUMMYFUNCTION("""COMPUTED_VALUE"""),0)</f>
        <v>0</v>
      </c>
      <c r="R78" s="140">
        <f ca="1">IFERROR(__xludf.DUMMYFUNCTION("""COMPUTED_VALUE"""),0)</f>
        <v>0</v>
      </c>
      <c r="S78" s="140">
        <f ca="1">IFERROR(__xludf.DUMMYFUNCTION("""COMPUTED_VALUE"""),0)</f>
        <v>0</v>
      </c>
      <c r="T78" s="140">
        <f ca="1">IFERROR(__xludf.DUMMYFUNCTION("""COMPUTED_VALUE"""),0)</f>
        <v>0</v>
      </c>
      <c r="U78" s="140">
        <f ca="1">IFERROR(__xludf.DUMMYFUNCTION("""COMPUTED_VALUE"""),0)</f>
        <v>0</v>
      </c>
      <c r="V78" s="100"/>
      <c r="W78" s="140">
        <f ca="1">IFERROR(__xludf.DUMMYFUNCTION("""COMPUTED_VALUE"""),0)</f>
        <v>0</v>
      </c>
      <c r="X78" s="140"/>
      <c r="Y78" s="147">
        <f t="shared" ca="1" si="3"/>
        <v>0</v>
      </c>
    </row>
    <row r="79" spans="1:25" ht="15.75" customHeight="1" x14ac:dyDescent="0.25">
      <c r="A79" s="148" t="str">
        <f ca="1">IFERROR(__xludf.DUMMYFUNCTION("""COMPUTED_VALUE"""),"India ")</f>
        <v xml:space="preserve">India </v>
      </c>
      <c r="B79" s="81" t="str">
        <f ca="1">IFERROR(__xludf.DUMMYFUNCTION("""COMPUTED_VALUE"""),"NHIPLC")</f>
        <v>NHIPLC</v>
      </c>
      <c r="C79" s="81" t="str">
        <f ca="1">IFERROR(__xludf.DUMMYFUNCTION("""COMPUTED_VALUE"""),"Country Digital Product")</f>
        <v>Country Digital Product</v>
      </c>
      <c r="D79" s="81" t="str">
        <f ca="1">IFERROR(__xludf.DUMMYFUNCTION("""COMPUTED_VALUE"""),"Country Engineering")</f>
        <v>Country Engineering</v>
      </c>
      <c r="E79" s="139" t="str">
        <f ca="1">IFERROR(__xludf.DUMMYFUNCTION("""COMPUTED_VALUE"""),"Direct Cost")</f>
        <v>Direct Cost</v>
      </c>
      <c r="F79" s="139" t="str">
        <f ca="1">IFERROR(__xludf.DUMMYFUNCTION("""COMPUTED_VALUE"""),"Travel &amp; Lodging Expenses")</f>
        <v>Travel &amp; Lodging Expenses</v>
      </c>
      <c r="G79" s="139" t="str">
        <f ca="1">IFERROR(__xludf.DUMMYFUNCTION("""COMPUTED_VALUE"""),"Cab/Auto")</f>
        <v>Cab/Auto</v>
      </c>
      <c r="H79" s="141">
        <f ca="1">IFERROR(__xludf.DUMMYFUNCTION("""COMPUTED_VALUE"""),93104)</f>
        <v>93104</v>
      </c>
      <c r="I79" s="140">
        <f ca="1">IFERROR(__xludf.DUMMYFUNCTION("""COMPUTED_VALUE"""),0)</f>
        <v>0</v>
      </c>
      <c r="J79" s="140">
        <f ca="1">IFERROR(__xludf.DUMMYFUNCTION("""COMPUTED_VALUE"""),0)</f>
        <v>0</v>
      </c>
      <c r="K79" s="140">
        <f ca="1">IFERROR(__xludf.DUMMYFUNCTION("""COMPUTED_VALUE"""),0)</f>
        <v>0</v>
      </c>
      <c r="L79" s="140">
        <f ca="1">IFERROR(__xludf.DUMMYFUNCTION("""COMPUTED_VALUE"""),0)</f>
        <v>0</v>
      </c>
      <c r="M79" s="143">
        <f ca="1">IFERROR(__xludf.DUMMYFUNCTION("""COMPUTED_VALUE"""),0)</f>
        <v>0</v>
      </c>
      <c r="N79" s="140">
        <f ca="1">IFERROR(__xludf.DUMMYFUNCTION("""COMPUTED_VALUE"""),0)</f>
        <v>0</v>
      </c>
      <c r="O79" s="140">
        <f ca="1">IFERROR(__xludf.DUMMYFUNCTION("""COMPUTED_VALUE"""),0)</f>
        <v>0</v>
      </c>
      <c r="P79" s="140">
        <f ca="1">IFERROR(__xludf.DUMMYFUNCTION("""COMPUTED_VALUE"""),0)</f>
        <v>0</v>
      </c>
      <c r="Q79" s="140">
        <f ca="1">IFERROR(__xludf.DUMMYFUNCTION("""COMPUTED_VALUE"""),0)</f>
        <v>0</v>
      </c>
      <c r="R79" s="140">
        <f ca="1">IFERROR(__xludf.DUMMYFUNCTION("""COMPUTED_VALUE"""),0)</f>
        <v>0</v>
      </c>
      <c r="S79" s="140">
        <f ca="1">IFERROR(__xludf.DUMMYFUNCTION("""COMPUTED_VALUE"""),0)</f>
        <v>0</v>
      </c>
      <c r="T79" s="140">
        <f ca="1">IFERROR(__xludf.DUMMYFUNCTION("""COMPUTED_VALUE"""),0)</f>
        <v>0</v>
      </c>
      <c r="U79" s="140">
        <f ca="1">IFERROR(__xludf.DUMMYFUNCTION("""COMPUTED_VALUE"""),0)</f>
        <v>0</v>
      </c>
      <c r="V79" s="100"/>
      <c r="W79" s="140">
        <f ca="1">IFERROR(__xludf.DUMMYFUNCTION("""COMPUTED_VALUE"""),0)</f>
        <v>0</v>
      </c>
      <c r="X79" s="140"/>
      <c r="Y79" s="147">
        <f t="shared" ca="1" si="3"/>
        <v>0</v>
      </c>
    </row>
    <row r="80" spans="1:25" ht="15.75" customHeight="1" x14ac:dyDescent="0.25">
      <c r="A80" s="148" t="str">
        <f ca="1">IFERROR(__xludf.DUMMYFUNCTION("""COMPUTED_VALUE"""),"India ")</f>
        <v xml:space="preserve">India </v>
      </c>
      <c r="B80" s="81" t="str">
        <f ca="1">IFERROR(__xludf.DUMMYFUNCTION("""COMPUTED_VALUE"""),"NHIPLC")</f>
        <v>NHIPLC</v>
      </c>
      <c r="C80" s="81" t="str">
        <f ca="1">IFERROR(__xludf.DUMMYFUNCTION("""COMPUTED_VALUE"""),"Country Digital Product")</f>
        <v>Country Digital Product</v>
      </c>
      <c r="D80" s="81" t="str">
        <f ca="1">IFERROR(__xludf.DUMMYFUNCTION("""COMPUTED_VALUE"""),"Country Engineering")</f>
        <v>Country Engineering</v>
      </c>
      <c r="E80" s="139" t="str">
        <f ca="1">IFERROR(__xludf.DUMMYFUNCTION("""COMPUTED_VALUE"""),"Direct Cost")</f>
        <v>Direct Cost</v>
      </c>
      <c r="F80" s="139" t="str">
        <f ca="1">IFERROR(__xludf.DUMMYFUNCTION("""COMPUTED_VALUE"""),"Travel &amp; Lodging Expenses")</f>
        <v>Travel &amp; Lodging Expenses</v>
      </c>
      <c r="G80" s="139" t="str">
        <f ca="1">IFERROR(__xludf.DUMMYFUNCTION("""COMPUTED_VALUE"""),"Bus/Train")</f>
        <v>Bus/Train</v>
      </c>
      <c r="H80" s="141">
        <f ca="1">IFERROR(__xludf.DUMMYFUNCTION("""COMPUTED_VALUE"""),93105)</f>
        <v>93105</v>
      </c>
      <c r="I80" s="140">
        <f ca="1">IFERROR(__xludf.DUMMYFUNCTION("""COMPUTED_VALUE"""),0)</f>
        <v>0</v>
      </c>
      <c r="J80" s="140">
        <f ca="1">IFERROR(__xludf.DUMMYFUNCTION("""COMPUTED_VALUE"""),0)</f>
        <v>0</v>
      </c>
      <c r="K80" s="140">
        <f ca="1">IFERROR(__xludf.DUMMYFUNCTION("""COMPUTED_VALUE"""),0)</f>
        <v>0</v>
      </c>
      <c r="L80" s="140">
        <f ca="1">IFERROR(__xludf.DUMMYFUNCTION("""COMPUTED_VALUE"""),0)</f>
        <v>0</v>
      </c>
      <c r="M80" s="143">
        <f ca="1">IFERROR(__xludf.DUMMYFUNCTION("""COMPUTED_VALUE"""),0)</f>
        <v>0</v>
      </c>
      <c r="N80" s="140">
        <f ca="1">IFERROR(__xludf.DUMMYFUNCTION("""COMPUTED_VALUE"""),0)</f>
        <v>0</v>
      </c>
      <c r="O80" s="140">
        <f ca="1">IFERROR(__xludf.DUMMYFUNCTION("""COMPUTED_VALUE"""),0)</f>
        <v>0</v>
      </c>
      <c r="P80" s="140">
        <f ca="1">IFERROR(__xludf.DUMMYFUNCTION("""COMPUTED_VALUE"""),0)</f>
        <v>0</v>
      </c>
      <c r="Q80" s="140">
        <f ca="1">IFERROR(__xludf.DUMMYFUNCTION("""COMPUTED_VALUE"""),0)</f>
        <v>0</v>
      </c>
      <c r="R80" s="140">
        <f ca="1">IFERROR(__xludf.DUMMYFUNCTION("""COMPUTED_VALUE"""),0)</f>
        <v>0</v>
      </c>
      <c r="S80" s="140">
        <f ca="1">IFERROR(__xludf.DUMMYFUNCTION("""COMPUTED_VALUE"""),0)</f>
        <v>0</v>
      </c>
      <c r="T80" s="140">
        <f ca="1">IFERROR(__xludf.DUMMYFUNCTION("""COMPUTED_VALUE"""),0)</f>
        <v>0</v>
      </c>
      <c r="U80" s="140">
        <f ca="1">IFERROR(__xludf.DUMMYFUNCTION("""COMPUTED_VALUE"""),0)</f>
        <v>0</v>
      </c>
      <c r="V80" s="100"/>
      <c r="W80" s="140">
        <f ca="1">IFERROR(__xludf.DUMMYFUNCTION("""COMPUTED_VALUE"""),0)</f>
        <v>0</v>
      </c>
      <c r="X80" s="140"/>
      <c r="Y80" s="147">
        <f t="shared" ca="1" si="3"/>
        <v>0</v>
      </c>
    </row>
    <row r="81" spans="1:25" ht="15.75" customHeight="1" x14ac:dyDescent="0.25">
      <c r="A81" s="148" t="str">
        <f ca="1">IFERROR(__xludf.DUMMYFUNCTION("""COMPUTED_VALUE"""),"India ")</f>
        <v xml:space="preserve">India </v>
      </c>
      <c r="B81" s="81" t="str">
        <f ca="1">IFERROR(__xludf.DUMMYFUNCTION("""COMPUTED_VALUE"""),"NHIPLC")</f>
        <v>NHIPLC</v>
      </c>
      <c r="C81" s="81" t="str">
        <f ca="1">IFERROR(__xludf.DUMMYFUNCTION("""COMPUTED_VALUE"""),"Country Digital Product")</f>
        <v>Country Digital Product</v>
      </c>
      <c r="D81" s="81" t="str">
        <f ca="1">IFERROR(__xludf.DUMMYFUNCTION("""COMPUTED_VALUE"""),"Country Engineering")</f>
        <v>Country Engineering</v>
      </c>
      <c r="E81" s="139" t="str">
        <f ca="1">IFERROR(__xludf.DUMMYFUNCTION("""COMPUTED_VALUE"""),"Direct Cost")</f>
        <v>Direct Cost</v>
      </c>
      <c r="F81" s="139" t="str">
        <f ca="1">IFERROR(__xludf.DUMMYFUNCTION("""COMPUTED_VALUE"""),"Travel &amp; Lodging Expenses")</f>
        <v>Travel &amp; Lodging Expenses</v>
      </c>
      <c r="G81" s="139" t="str">
        <f ca="1">IFERROR(__xludf.DUMMYFUNCTION("""COMPUTED_VALUE"""),"Other incidental travel costs")</f>
        <v>Other incidental travel costs</v>
      </c>
      <c r="H81" s="141">
        <f ca="1">IFERROR(__xludf.DUMMYFUNCTION("""COMPUTED_VALUE"""),93106)</f>
        <v>93106</v>
      </c>
      <c r="I81" s="140">
        <f ca="1">IFERROR(__xludf.DUMMYFUNCTION("""COMPUTED_VALUE"""),0)</f>
        <v>0</v>
      </c>
      <c r="J81" s="140">
        <f ca="1">IFERROR(__xludf.DUMMYFUNCTION("""COMPUTED_VALUE"""),0)</f>
        <v>0</v>
      </c>
      <c r="K81" s="140">
        <f ca="1">IFERROR(__xludf.DUMMYFUNCTION("""COMPUTED_VALUE"""),0)</f>
        <v>0</v>
      </c>
      <c r="L81" s="140">
        <f ca="1">IFERROR(__xludf.DUMMYFUNCTION("""COMPUTED_VALUE"""),0)</f>
        <v>0</v>
      </c>
      <c r="M81" s="143">
        <f ca="1">IFERROR(__xludf.DUMMYFUNCTION("""COMPUTED_VALUE"""),0)</f>
        <v>0</v>
      </c>
      <c r="N81" s="140">
        <f ca="1">IFERROR(__xludf.DUMMYFUNCTION("""COMPUTED_VALUE"""),0)</f>
        <v>0</v>
      </c>
      <c r="O81" s="140">
        <f ca="1">IFERROR(__xludf.DUMMYFUNCTION("""COMPUTED_VALUE"""),0)</f>
        <v>0</v>
      </c>
      <c r="P81" s="140">
        <f ca="1">IFERROR(__xludf.DUMMYFUNCTION("""COMPUTED_VALUE"""),0)</f>
        <v>0</v>
      </c>
      <c r="Q81" s="140">
        <f ca="1">IFERROR(__xludf.DUMMYFUNCTION("""COMPUTED_VALUE"""),0)</f>
        <v>0</v>
      </c>
      <c r="R81" s="140">
        <f ca="1">IFERROR(__xludf.DUMMYFUNCTION("""COMPUTED_VALUE"""),0)</f>
        <v>0</v>
      </c>
      <c r="S81" s="140">
        <f ca="1">IFERROR(__xludf.DUMMYFUNCTION("""COMPUTED_VALUE"""),0)</f>
        <v>0</v>
      </c>
      <c r="T81" s="140">
        <f ca="1">IFERROR(__xludf.DUMMYFUNCTION("""COMPUTED_VALUE"""),0)</f>
        <v>0</v>
      </c>
      <c r="U81" s="140">
        <f ca="1">IFERROR(__xludf.DUMMYFUNCTION("""COMPUTED_VALUE"""),0)</f>
        <v>0</v>
      </c>
      <c r="V81" s="100"/>
      <c r="W81" s="140">
        <f ca="1">IFERROR(__xludf.DUMMYFUNCTION("""COMPUTED_VALUE"""),0)</f>
        <v>0</v>
      </c>
      <c r="X81" s="140"/>
      <c r="Y81" s="147">
        <f t="shared" ca="1" si="3"/>
        <v>0</v>
      </c>
    </row>
    <row r="82" spans="1:25" ht="15.75" customHeight="1" x14ac:dyDescent="0.25">
      <c r="A82" s="148" t="str">
        <f ca="1">IFERROR(__xludf.DUMMYFUNCTION("""COMPUTED_VALUE"""),"India ")</f>
        <v xml:space="preserve">India </v>
      </c>
      <c r="B82" s="81" t="str">
        <f ca="1">IFERROR(__xludf.DUMMYFUNCTION("""COMPUTED_VALUE"""),"NHIPLC")</f>
        <v>NHIPLC</v>
      </c>
      <c r="C82" s="81" t="str">
        <f ca="1">IFERROR(__xludf.DUMMYFUNCTION("""COMPUTED_VALUE"""),"Country Digital Product")</f>
        <v>Country Digital Product</v>
      </c>
      <c r="D82" s="81" t="str">
        <f ca="1">IFERROR(__xludf.DUMMYFUNCTION("""COMPUTED_VALUE"""),"Country Engineering")</f>
        <v>Country Engineering</v>
      </c>
      <c r="E82" s="139" t="str">
        <f ca="1">IFERROR(__xludf.DUMMYFUNCTION("""COMPUTED_VALUE"""),"Direct Cost")</f>
        <v>Direct Cost</v>
      </c>
      <c r="F82" s="139" t="str">
        <f ca="1">IFERROR(__xludf.DUMMYFUNCTION("""COMPUTED_VALUE"""),"Supplies &amp; Printing Costs")</f>
        <v>Supplies &amp; Printing Costs</v>
      </c>
      <c r="G82" s="139" t="str">
        <f ca="1">IFERROR(__xludf.DUMMYFUNCTION("""COMPUTED_VALUE"""),"Other Direct Expenses")</f>
        <v>Other Direct Expenses</v>
      </c>
      <c r="H82" s="141">
        <f ca="1">IFERROR(__xludf.DUMMYFUNCTION("""COMPUTED_VALUE"""),93201)</f>
        <v>93201</v>
      </c>
      <c r="I82" s="140">
        <f ca="1">IFERROR(__xludf.DUMMYFUNCTION("""COMPUTED_VALUE"""),0)</f>
        <v>0</v>
      </c>
      <c r="J82" s="140"/>
      <c r="K82" s="140"/>
      <c r="L82" s="140"/>
      <c r="M82" s="143"/>
      <c r="N82" s="140"/>
      <c r="O82" s="140"/>
      <c r="P82" s="140"/>
      <c r="Q82" s="140"/>
      <c r="R82" s="140"/>
      <c r="S82" s="140"/>
      <c r="T82" s="140"/>
      <c r="U82" s="140"/>
      <c r="V82" s="100"/>
      <c r="W82" s="140">
        <f ca="1">IFERROR(__xludf.DUMMYFUNCTION("""COMPUTED_VALUE"""),0)</f>
        <v>0</v>
      </c>
      <c r="X82" s="140"/>
      <c r="Y82" s="147">
        <f t="shared" ca="1" si="3"/>
        <v>0</v>
      </c>
    </row>
    <row r="83" spans="1:25" ht="15.75" customHeight="1" x14ac:dyDescent="0.25">
      <c r="A83" s="148" t="str">
        <f ca="1">IFERROR(__xludf.DUMMYFUNCTION("""COMPUTED_VALUE"""),"India ")</f>
        <v xml:space="preserve">India </v>
      </c>
      <c r="B83" s="81" t="str">
        <f ca="1">IFERROR(__xludf.DUMMYFUNCTION("""COMPUTED_VALUE"""),"NHIPLC")</f>
        <v>NHIPLC</v>
      </c>
      <c r="C83" s="81" t="str">
        <f ca="1">IFERROR(__xludf.DUMMYFUNCTION("""COMPUTED_VALUE"""),"Country Digital Product")</f>
        <v>Country Digital Product</v>
      </c>
      <c r="D83" s="81" t="str">
        <f ca="1">IFERROR(__xludf.DUMMYFUNCTION("""COMPUTED_VALUE"""),"Country Engineering")</f>
        <v>Country Engineering</v>
      </c>
      <c r="E83" s="139" t="str">
        <f ca="1">IFERROR(__xludf.DUMMYFUNCTION("""COMPUTED_VALUE"""),"Direct Cost")</f>
        <v>Direct Cost</v>
      </c>
      <c r="F83" s="139" t="str">
        <f ca="1">IFERROR(__xludf.DUMMYFUNCTION("""COMPUTED_VALUE"""),"Supplies &amp; Printing Costs")</f>
        <v>Supplies &amp; Printing Costs</v>
      </c>
      <c r="G83" s="139" t="str">
        <f ca="1">IFERROR(__xludf.DUMMYFUNCTION("""COMPUTED_VALUE"""),"Printing expenses")</f>
        <v>Printing expenses</v>
      </c>
      <c r="H83" s="141">
        <f ca="1">IFERROR(__xludf.DUMMYFUNCTION("""COMPUTED_VALUE"""),93204)</f>
        <v>93204</v>
      </c>
      <c r="I83" s="140">
        <f ca="1">IFERROR(__xludf.DUMMYFUNCTION("""COMPUTED_VALUE"""),0)</f>
        <v>0</v>
      </c>
      <c r="J83" s="140"/>
      <c r="K83" s="140"/>
      <c r="L83" s="140"/>
      <c r="M83" s="143"/>
      <c r="N83" s="140"/>
      <c r="O83" s="140"/>
      <c r="P83" s="140"/>
      <c r="Q83" s="140"/>
      <c r="R83" s="140"/>
      <c r="S83" s="140"/>
      <c r="T83" s="140"/>
      <c r="U83" s="140"/>
      <c r="V83" s="100"/>
      <c r="W83" s="140">
        <f ca="1">IFERROR(__xludf.DUMMYFUNCTION("""COMPUTED_VALUE"""),0)</f>
        <v>0</v>
      </c>
      <c r="X83" s="140"/>
      <c r="Y83" s="147">
        <f t="shared" ca="1" si="3"/>
        <v>0</v>
      </c>
    </row>
    <row r="84" spans="1:25" ht="15.75" customHeight="1" x14ac:dyDescent="0.25">
      <c r="A84" s="148" t="str">
        <f ca="1">IFERROR(__xludf.DUMMYFUNCTION("""COMPUTED_VALUE"""),"India ")</f>
        <v xml:space="preserve">India </v>
      </c>
      <c r="B84" s="81" t="str">
        <f ca="1">IFERROR(__xludf.DUMMYFUNCTION("""COMPUTED_VALUE"""),"NHIPLC")</f>
        <v>NHIPLC</v>
      </c>
      <c r="C84" s="81" t="str">
        <f ca="1">IFERROR(__xludf.DUMMYFUNCTION("""COMPUTED_VALUE"""),"Country Digital Product")</f>
        <v>Country Digital Product</v>
      </c>
      <c r="D84" s="81" t="str">
        <f ca="1">IFERROR(__xludf.DUMMYFUNCTION("""COMPUTED_VALUE"""),"Country Engineering")</f>
        <v>Country Engineering</v>
      </c>
      <c r="E84" s="139" t="str">
        <f ca="1">IFERROR(__xludf.DUMMYFUNCTION("""COMPUTED_VALUE"""),"Direct Cost")</f>
        <v>Direct Cost</v>
      </c>
      <c r="F84" s="139" t="str">
        <f ca="1">IFERROR(__xludf.DUMMYFUNCTION("""COMPUTED_VALUE"""),"Communication Cost")</f>
        <v>Communication Cost</v>
      </c>
      <c r="G84" s="139" t="str">
        <f ca="1">IFERROR(__xludf.DUMMYFUNCTION("""COMPUTED_VALUE"""),"Internet Expenses")</f>
        <v>Internet Expenses</v>
      </c>
      <c r="H84" s="141">
        <f ca="1">IFERROR(__xludf.DUMMYFUNCTION("""COMPUTED_VALUE"""),93301)</f>
        <v>93301</v>
      </c>
      <c r="I84" s="140">
        <f ca="1">IFERROR(__xludf.DUMMYFUNCTION("""COMPUTED_VALUE"""),0)</f>
        <v>0</v>
      </c>
      <c r="J84" s="140"/>
      <c r="K84" s="140"/>
      <c r="L84" s="140"/>
      <c r="M84" s="143"/>
      <c r="N84" s="140"/>
      <c r="O84" s="140"/>
      <c r="P84" s="140"/>
      <c r="Q84" s="140"/>
      <c r="R84" s="140"/>
      <c r="S84" s="140"/>
      <c r="T84" s="140"/>
      <c r="U84" s="140"/>
      <c r="V84" s="100"/>
      <c r="W84" s="140">
        <f ca="1">IFERROR(__xludf.DUMMYFUNCTION("""COMPUTED_VALUE"""),0)</f>
        <v>0</v>
      </c>
      <c r="X84" s="140"/>
      <c r="Y84" s="147">
        <f t="shared" ca="1" si="3"/>
        <v>0</v>
      </c>
    </row>
    <row r="85" spans="1:25" ht="15.75" customHeight="1" x14ac:dyDescent="0.25">
      <c r="A85" s="148" t="str">
        <f ca="1">IFERROR(__xludf.DUMMYFUNCTION("""COMPUTED_VALUE"""),"India ")</f>
        <v xml:space="preserve">India </v>
      </c>
      <c r="B85" s="81" t="str">
        <f ca="1">IFERROR(__xludf.DUMMYFUNCTION("""COMPUTED_VALUE"""),"NHIPLC")</f>
        <v>NHIPLC</v>
      </c>
      <c r="C85" s="81" t="str">
        <f ca="1">IFERROR(__xludf.DUMMYFUNCTION("""COMPUTED_VALUE"""),"Country Digital Product")</f>
        <v>Country Digital Product</v>
      </c>
      <c r="D85" s="81" t="str">
        <f ca="1">IFERROR(__xludf.DUMMYFUNCTION("""COMPUTED_VALUE"""),"Country Engineering")</f>
        <v>Country Engineering</v>
      </c>
      <c r="E85" s="139" t="str">
        <f ca="1">IFERROR(__xludf.DUMMYFUNCTION("""COMPUTED_VALUE"""),"Direct Cost")</f>
        <v>Direct Cost</v>
      </c>
      <c r="F85" s="139" t="str">
        <f ca="1">IFERROR(__xludf.DUMMYFUNCTION("""COMPUTED_VALUE"""),"Communication Cost")</f>
        <v>Communication Cost</v>
      </c>
      <c r="G85" s="139" t="str">
        <f ca="1">IFERROR(__xludf.DUMMYFUNCTION("""COMPUTED_VALUE"""),"Postage &amp; Courier Expenses")</f>
        <v>Postage &amp; Courier Expenses</v>
      </c>
      <c r="H85" s="141">
        <f ca="1">IFERROR(__xludf.DUMMYFUNCTION("""COMPUTED_VALUE"""),93302)</f>
        <v>93302</v>
      </c>
      <c r="I85" s="140">
        <f ca="1">IFERROR(__xludf.DUMMYFUNCTION("""COMPUTED_VALUE"""),0)</f>
        <v>0</v>
      </c>
      <c r="J85" s="140"/>
      <c r="K85" s="140"/>
      <c r="L85" s="140"/>
      <c r="M85" s="143"/>
      <c r="N85" s="140"/>
      <c r="O85" s="140"/>
      <c r="P85" s="140"/>
      <c r="Q85" s="140"/>
      <c r="R85" s="140"/>
      <c r="S85" s="140"/>
      <c r="T85" s="140"/>
      <c r="U85" s="140"/>
      <c r="V85" s="100"/>
      <c r="W85" s="140">
        <f ca="1">IFERROR(__xludf.DUMMYFUNCTION("""COMPUTED_VALUE"""),0)</f>
        <v>0</v>
      </c>
      <c r="X85" s="140"/>
      <c r="Y85" s="147">
        <f t="shared" ca="1" si="3"/>
        <v>0</v>
      </c>
    </row>
    <row r="86" spans="1:25" ht="15.75" customHeight="1" x14ac:dyDescent="0.25">
      <c r="A86" s="148" t="str">
        <f ca="1">IFERROR(__xludf.DUMMYFUNCTION("""COMPUTED_VALUE"""),"India ")</f>
        <v xml:space="preserve">India </v>
      </c>
      <c r="B86" s="81" t="str">
        <f ca="1">IFERROR(__xludf.DUMMYFUNCTION("""COMPUTED_VALUE"""),"NHIPLC")</f>
        <v>NHIPLC</v>
      </c>
      <c r="C86" s="81" t="str">
        <f ca="1">IFERROR(__xludf.DUMMYFUNCTION("""COMPUTED_VALUE"""),"Country Digital Product")</f>
        <v>Country Digital Product</v>
      </c>
      <c r="D86" s="81" t="str">
        <f ca="1">IFERROR(__xludf.DUMMYFUNCTION("""COMPUTED_VALUE"""),"Country Engineering")</f>
        <v>Country Engineering</v>
      </c>
      <c r="E86" s="139" t="str">
        <f ca="1">IFERROR(__xludf.DUMMYFUNCTION("""COMPUTED_VALUE"""),"Direct Cost")</f>
        <v>Direct Cost</v>
      </c>
      <c r="F86" s="139" t="str">
        <f ca="1">IFERROR(__xludf.DUMMYFUNCTION("""COMPUTED_VALUE"""),"Communication Cost")</f>
        <v>Communication Cost</v>
      </c>
      <c r="G86" s="139" t="str">
        <f ca="1">IFERROR(__xludf.DUMMYFUNCTION("""COMPUTED_VALUE"""),"Telecommunication expenses")</f>
        <v>Telecommunication expenses</v>
      </c>
      <c r="H86" s="141">
        <f ca="1">IFERROR(__xludf.DUMMYFUNCTION("""COMPUTED_VALUE"""),93303)</f>
        <v>93303</v>
      </c>
      <c r="I86" s="140">
        <f ca="1">IFERROR(__xludf.DUMMYFUNCTION("""COMPUTED_VALUE"""),0)</f>
        <v>0</v>
      </c>
      <c r="J86" s="140"/>
      <c r="K86" s="140"/>
      <c r="L86" s="140"/>
      <c r="M86" s="143"/>
      <c r="N86" s="140"/>
      <c r="O86" s="140"/>
      <c r="P86" s="140"/>
      <c r="Q86" s="140"/>
      <c r="R86" s="140"/>
      <c r="S86" s="140"/>
      <c r="T86" s="140"/>
      <c r="U86" s="140"/>
      <c r="V86" s="100"/>
      <c r="W86" s="140">
        <f ca="1">IFERROR(__xludf.DUMMYFUNCTION("""COMPUTED_VALUE"""),0)</f>
        <v>0</v>
      </c>
      <c r="X86" s="140"/>
      <c r="Y86" s="147">
        <f t="shared" ca="1" si="3"/>
        <v>0</v>
      </c>
    </row>
    <row r="87" spans="1:25" ht="15.75" customHeight="1" x14ac:dyDescent="0.25">
      <c r="A87" s="148" t="str">
        <f ca="1">IFERROR(__xludf.DUMMYFUNCTION("""COMPUTED_VALUE"""),"India ")</f>
        <v xml:space="preserve">India </v>
      </c>
      <c r="B87" s="81" t="str">
        <f ca="1">IFERROR(__xludf.DUMMYFUNCTION("""COMPUTED_VALUE"""),"NHIPLC")</f>
        <v>NHIPLC</v>
      </c>
      <c r="C87" s="81" t="str">
        <f ca="1">IFERROR(__xludf.DUMMYFUNCTION("""COMPUTED_VALUE"""),"Country Digital Product")</f>
        <v>Country Digital Product</v>
      </c>
      <c r="D87" s="81" t="str">
        <f ca="1">IFERROR(__xludf.DUMMYFUNCTION("""COMPUTED_VALUE"""),"Country Engineering")</f>
        <v>Country Engineering</v>
      </c>
      <c r="E87" s="139" t="str">
        <f ca="1">IFERROR(__xludf.DUMMYFUNCTION("""COMPUTED_VALUE"""),"Direct Cost")</f>
        <v>Direct Cost</v>
      </c>
      <c r="F87" s="139" t="str">
        <f ca="1">IFERROR(__xludf.DUMMYFUNCTION("""COMPUTED_VALUE"""),"Office Expenses")</f>
        <v>Office Expenses</v>
      </c>
      <c r="G87" s="139" t="str">
        <f ca="1">IFERROR(__xludf.DUMMYFUNCTION("""COMPUTED_VALUE"""),"Software and Subscriptions")</f>
        <v>Software and Subscriptions</v>
      </c>
      <c r="H87" s="141">
        <f ca="1">IFERROR(__xludf.DUMMYFUNCTION("""COMPUTED_VALUE"""),93401)</f>
        <v>93401</v>
      </c>
      <c r="I87" s="140">
        <f ca="1">IFERROR(__xludf.DUMMYFUNCTION("""COMPUTED_VALUE"""),0)</f>
        <v>0</v>
      </c>
      <c r="J87" s="140"/>
      <c r="K87" s="140"/>
      <c r="L87" s="140"/>
      <c r="M87" s="143"/>
      <c r="N87" s="140"/>
      <c r="O87" s="140"/>
      <c r="P87" s="140"/>
      <c r="Q87" s="140"/>
      <c r="R87" s="140"/>
      <c r="S87" s="140"/>
      <c r="T87" s="140"/>
      <c r="U87" s="140"/>
      <c r="V87" s="100"/>
      <c r="W87" s="140">
        <f ca="1">IFERROR(__xludf.DUMMYFUNCTION("""COMPUTED_VALUE"""),0)</f>
        <v>0</v>
      </c>
      <c r="X87" s="140"/>
      <c r="Y87" s="147">
        <f t="shared" ca="1" si="3"/>
        <v>0</v>
      </c>
    </row>
    <row r="88" spans="1:25" ht="15.75" customHeight="1" x14ac:dyDescent="0.25">
      <c r="A88" s="148" t="str">
        <f ca="1">IFERROR(__xludf.DUMMYFUNCTION("""COMPUTED_VALUE"""),"India ")</f>
        <v xml:space="preserve">India </v>
      </c>
      <c r="B88" s="81" t="str">
        <f ca="1">IFERROR(__xludf.DUMMYFUNCTION("""COMPUTED_VALUE"""),"NHIPLC")</f>
        <v>NHIPLC</v>
      </c>
      <c r="C88" s="81" t="str">
        <f ca="1">IFERROR(__xludf.DUMMYFUNCTION("""COMPUTED_VALUE"""),"Country Digital Product")</f>
        <v>Country Digital Product</v>
      </c>
      <c r="D88" s="81" t="str">
        <f ca="1">IFERROR(__xludf.DUMMYFUNCTION("""COMPUTED_VALUE"""),"Country Engineering")</f>
        <v>Country Engineering</v>
      </c>
      <c r="E88" s="139" t="str">
        <f ca="1">IFERROR(__xludf.DUMMYFUNCTION("""COMPUTED_VALUE"""),"Direct Cost")</f>
        <v>Direct Cost</v>
      </c>
      <c r="F88" s="139" t="str">
        <f ca="1">IFERROR(__xludf.DUMMYFUNCTION("""COMPUTED_VALUE"""),"Office Expenses")</f>
        <v>Office Expenses</v>
      </c>
      <c r="G88" s="139" t="str">
        <f ca="1">IFERROR(__xludf.DUMMYFUNCTION("""COMPUTED_VALUE"""),"Stationery &amp; Consumables")</f>
        <v>Stationery &amp; Consumables</v>
      </c>
      <c r="H88" s="141">
        <f ca="1">IFERROR(__xludf.DUMMYFUNCTION("""COMPUTED_VALUE"""),93404)</f>
        <v>93404</v>
      </c>
      <c r="I88" s="140">
        <f ca="1">IFERROR(__xludf.DUMMYFUNCTION("""COMPUTED_VALUE"""),0)</f>
        <v>0</v>
      </c>
      <c r="J88" s="140"/>
      <c r="K88" s="140"/>
      <c r="L88" s="140"/>
      <c r="M88" s="143"/>
      <c r="N88" s="140"/>
      <c r="O88" s="140"/>
      <c r="P88" s="140"/>
      <c r="Q88" s="140"/>
      <c r="R88" s="140"/>
      <c r="S88" s="140"/>
      <c r="T88" s="140"/>
      <c r="U88" s="140"/>
      <c r="V88" s="100"/>
      <c r="W88" s="140">
        <f ca="1">IFERROR(__xludf.DUMMYFUNCTION("""COMPUTED_VALUE"""),0)</f>
        <v>0</v>
      </c>
      <c r="X88" s="140"/>
      <c r="Y88" s="147">
        <f t="shared" ca="1" si="3"/>
        <v>0</v>
      </c>
    </row>
    <row r="89" spans="1:25" ht="15.75" customHeight="1" x14ac:dyDescent="0.25">
      <c r="A89" s="148" t="str">
        <f ca="1">IFERROR(__xludf.DUMMYFUNCTION("""COMPUTED_VALUE"""),"India ")</f>
        <v xml:space="preserve">India </v>
      </c>
      <c r="B89" s="81" t="str">
        <f ca="1">IFERROR(__xludf.DUMMYFUNCTION("""COMPUTED_VALUE"""),"NHIPLC")</f>
        <v>NHIPLC</v>
      </c>
      <c r="C89" s="81" t="str">
        <f ca="1">IFERROR(__xludf.DUMMYFUNCTION("""COMPUTED_VALUE"""),"Country Digital Product")</f>
        <v>Country Digital Product</v>
      </c>
      <c r="D89" s="81" t="str">
        <f ca="1">IFERROR(__xludf.DUMMYFUNCTION("""COMPUTED_VALUE"""),"Country Engineering")</f>
        <v>Country Engineering</v>
      </c>
      <c r="E89" s="139" t="str">
        <f ca="1">IFERROR(__xludf.DUMMYFUNCTION("""COMPUTED_VALUE"""),"Direct Cost")</f>
        <v>Direct Cost</v>
      </c>
      <c r="F89" s="139" t="str">
        <f ca="1">IFERROR(__xludf.DUMMYFUNCTION("""COMPUTED_VALUE"""),"Office Expenses")</f>
        <v>Office Expenses</v>
      </c>
      <c r="G89" s="139" t="str">
        <f ca="1">IFERROR(__xludf.DUMMYFUNCTION("""COMPUTED_VALUE"""),"Office Equipment Expense")</f>
        <v>Office Equipment Expense</v>
      </c>
      <c r="H89" s="141">
        <f ca="1">IFERROR(__xludf.DUMMYFUNCTION("""COMPUTED_VALUE"""),93405)</f>
        <v>93405</v>
      </c>
      <c r="I89" s="140">
        <f ca="1">IFERROR(__xludf.DUMMYFUNCTION("""COMPUTED_VALUE"""),0)</f>
        <v>0</v>
      </c>
      <c r="J89" s="140"/>
      <c r="K89" s="140"/>
      <c r="L89" s="140"/>
      <c r="M89" s="143"/>
      <c r="N89" s="140"/>
      <c r="O89" s="140"/>
      <c r="P89" s="140"/>
      <c r="Q89" s="140"/>
      <c r="R89" s="140"/>
      <c r="S89" s="140"/>
      <c r="T89" s="140"/>
      <c r="U89" s="140"/>
      <c r="V89" s="100"/>
      <c r="W89" s="140">
        <f ca="1">IFERROR(__xludf.DUMMYFUNCTION("""COMPUTED_VALUE"""),0)</f>
        <v>0</v>
      </c>
      <c r="X89" s="140"/>
      <c r="Y89" s="147">
        <f t="shared" ca="1" si="3"/>
        <v>0</v>
      </c>
    </row>
    <row r="90" spans="1:25" ht="15.75" customHeight="1" x14ac:dyDescent="0.25">
      <c r="A90" s="148" t="str">
        <f ca="1">IFERROR(__xludf.DUMMYFUNCTION("""COMPUTED_VALUE"""),"India ")</f>
        <v xml:space="preserve">India </v>
      </c>
      <c r="B90" s="81" t="str">
        <f ca="1">IFERROR(__xludf.DUMMYFUNCTION("""COMPUTED_VALUE"""),"NHIPLC")</f>
        <v>NHIPLC</v>
      </c>
      <c r="C90" s="81" t="str">
        <f ca="1">IFERROR(__xludf.DUMMYFUNCTION("""COMPUTED_VALUE"""),"Country Digital Product")</f>
        <v>Country Digital Product</v>
      </c>
      <c r="D90" s="81" t="str">
        <f ca="1">IFERROR(__xludf.DUMMYFUNCTION("""COMPUTED_VALUE"""),"Country Engineering")</f>
        <v>Country Engineering</v>
      </c>
      <c r="E90" s="139" t="str">
        <f ca="1">IFERROR(__xludf.DUMMYFUNCTION("""COMPUTED_VALUE"""),"Indirect Cost")</f>
        <v>Indirect Cost</v>
      </c>
      <c r="F90" s="139" t="str">
        <f ca="1">IFERROR(__xludf.DUMMYFUNCTION("""COMPUTED_VALUE"""),"Professional &amp; Consultancy Charges")</f>
        <v>Professional &amp; Consultancy Charges</v>
      </c>
      <c r="G90" s="139" t="str">
        <f ca="1">IFERROR(__xludf.DUMMYFUNCTION("""COMPUTED_VALUE"""),"Admin Consultants")</f>
        <v>Admin Consultants</v>
      </c>
      <c r="H90" s="141">
        <f ca="1">IFERROR(__xludf.DUMMYFUNCTION("""COMPUTED_VALUE"""),93703)</f>
        <v>93703</v>
      </c>
      <c r="I90" s="140">
        <f ca="1">IFERROR(__xludf.DUMMYFUNCTION("""COMPUTED_VALUE"""),0)</f>
        <v>0</v>
      </c>
      <c r="J90" s="140"/>
      <c r="K90" s="140"/>
      <c r="L90" s="140"/>
      <c r="M90" s="143"/>
      <c r="N90" s="140"/>
      <c r="O90" s="140"/>
      <c r="P90" s="140"/>
      <c r="Q90" s="140"/>
      <c r="R90" s="140"/>
      <c r="S90" s="140"/>
      <c r="T90" s="140"/>
      <c r="U90" s="140"/>
      <c r="V90" s="100"/>
      <c r="W90" s="140">
        <f ca="1">IFERROR(__xludf.DUMMYFUNCTION("""COMPUTED_VALUE"""),0)</f>
        <v>0</v>
      </c>
      <c r="X90" s="140"/>
      <c r="Y90" s="147">
        <f t="shared" ca="1" si="3"/>
        <v>0</v>
      </c>
    </row>
    <row r="91" spans="1:25" ht="15.75" customHeight="1" x14ac:dyDescent="0.25">
      <c r="A91" s="148" t="str">
        <f ca="1">IFERROR(__xludf.DUMMYFUNCTION("""COMPUTED_VALUE"""),"India")</f>
        <v>India</v>
      </c>
      <c r="B91" s="81" t="str">
        <f ca="1">IFERROR(__xludf.DUMMYFUNCTION("""COMPUTED_VALUE"""),"NHIPLC")</f>
        <v>NHIPLC</v>
      </c>
      <c r="C91" s="139" t="str">
        <f ca="1">IFERROR(__xludf.DUMMYFUNCTION("""COMPUTED_VALUE"""),"Country Digital Product")</f>
        <v>Country Digital Product</v>
      </c>
      <c r="D91" s="139" t="str">
        <f ca="1">IFERROR(__xludf.DUMMYFUNCTION("""COMPUTED_VALUE"""),"Country Engineering")</f>
        <v>Country Engineering</v>
      </c>
      <c r="E91" s="139" t="str">
        <f ca="1">IFERROR(__xludf.DUMMYFUNCTION("""COMPUTED_VALUE"""),"Fixed Assets")</f>
        <v>Fixed Assets</v>
      </c>
      <c r="F91" s="139" t="str">
        <f ca="1">IFERROR(__xludf.DUMMYFUNCTION("""COMPUTED_VALUE"""),"Fixed Assets")</f>
        <v>Fixed Assets</v>
      </c>
      <c r="G91" s="139" t="str">
        <f ca="1">IFERROR(__xludf.DUMMYFUNCTION("""COMPUTED_VALUE"""),"Laptop/ Printer")</f>
        <v>Laptop/ Printer</v>
      </c>
      <c r="H91" s="141">
        <f ca="1">IFERROR(__xludf.DUMMYFUNCTION("""COMPUTED_VALUE"""),11301)</f>
        <v>11301</v>
      </c>
      <c r="I91" s="140">
        <f ca="1">IFERROR(__xludf.DUMMYFUNCTION("""COMPUTED_VALUE"""),0)</f>
        <v>0</v>
      </c>
      <c r="J91" s="140">
        <f ca="1">IFERROR(__xludf.DUMMYFUNCTION("""COMPUTED_VALUE"""),0)</f>
        <v>0</v>
      </c>
      <c r="K91" s="140">
        <f ca="1">IFERROR(__xludf.DUMMYFUNCTION("""COMPUTED_VALUE"""),0)</f>
        <v>0</v>
      </c>
      <c r="L91" s="140">
        <f ca="1">IFERROR(__xludf.DUMMYFUNCTION("""COMPUTED_VALUE"""),0)</f>
        <v>0</v>
      </c>
      <c r="M91" s="143">
        <f ca="1">IFERROR(__xludf.DUMMYFUNCTION("""COMPUTED_VALUE"""),0)</f>
        <v>0</v>
      </c>
      <c r="N91" s="140">
        <f ca="1">IFERROR(__xludf.DUMMYFUNCTION("""COMPUTED_VALUE"""),0)</f>
        <v>0</v>
      </c>
      <c r="O91" s="140">
        <f ca="1">IFERROR(__xludf.DUMMYFUNCTION("""COMPUTED_VALUE"""),0)</f>
        <v>0</v>
      </c>
      <c r="P91" s="140">
        <f ca="1">IFERROR(__xludf.DUMMYFUNCTION("""COMPUTED_VALUE"""),0)</f>
        <v>0</v>
      </c>
      <c r="Q91" s="140">
        <f ca="1">IFERROR(__xludf.DUMMYFUNCTION("""COMPUTED_VALUE"""),0)</f>
        <v>0</v>
      </c>
      <c r="R91" s="140">
        <f ca="1">IFERROR(__xludf.DUMMYFUNCTION("""COMPUTED_VALUE"""),0)</f>
        <v>0</v>
      </c>
      <c r="S91" s="140">
        <f ca="1">IFERROR(__xludf.DUMMYFUNCTION("""COMPUTED_VALUE"""),0)</f>
        <v>0</v>
      </c>
      <c r="T91" s="140">
        <f ca="1">IFERROR(__xludf.DUMMYFUNCTION("""COMPUTED_VALUE"""),0)</f>
        <v>0</v>
      </c>
      <c r="U91" s="140">
        <f ca="1">IFERROR(__xludf.DUMMYFUNCTION("""COMPUTED_VALUE"""),0)</f>
        <v>0</v>
      </c>
      <c r="V91" s="100"/>
      <c r="W91" s="140">
        <f ca="1">IFERROR(__xludf.DUMMYFUNCTION("""COMPUTED_VALUE"""),0)</f>
        <v>0</v>
      </c>
      <c r="X91" s="140">
        <f ca="1">IFERROR(__xludf.DUMMYFUNCTION("""COMPUTED_VALUE"""),0)</f>
        <v>0</v>
      </c>
      <c r="Y91" s="147">
        <f t="shared" ca="1" si="3"/>
        <v>0</v>
      </c>
    </row>
    <row r="92" spans="1:25" ht="15.75" customHeight="1" x14ac:dyDescent="0.3">
      <c r="A92" s="170"/>
      <c r="B92" s="170"/>
      <c r="C92" s="170"/>
      <c r="D92" s="170"/>
      <c r="E92" s="170"/>
      <c r="F92" s="170"/>
      <c r="G92" s="170" t="str">
        <f ca="1">IFERROR(__xludf.DUMMYFUNCTION("""COMPUTED_VALUE"""),"Total expenses ")</f>
        <v xml:space="preserve">Total expenses </v>
      </c>
      <c r="H92" s="170"/>
      <c r="I92" s="171">
        <f ca="1">IFERROR(__xludf.DUMMYFUNCTION("""COMPUTED_VALUE"""),1599999.99999999)</f>
        <v>1599999.99999999</v>
      </c>
      <c r="J92" s="171">
        <f ca="1">IFERROR(__xludf.DUMMYFUNCTION("""COMPUTED_VALUE"""),133333.333333333)</f>
        <v>133333.33333333299</v>
      </c>
      <c r="K92" s="171">
        <f ca="1">IFERROR(__xludf.DUMMYFUNCTION("""COMPUTED_VALUE"""),133333.333333333)</f>
        <v>133333.33333333299</v>
      </c>
      <c r="L92" s="171">
        <f ca="1">IFERROR(__xludf.DUMMYFUNCTION("""COMPUTED_VALUE"""),133333.333333333)</f>
        <v>133333.33333333299</v>
      </c>
      <c r="M92" s="171">
        <f ca="1">IFERROR(__xludf.DUMMYFUNCTION("""COMPUTED_VALUE"""),133333.333333333)</f>
        <v>133333.33333333299</v>
      </c>
      <c r="N92" s="171">
        <f ca="1">IFERROR(__xludf.DUMMYFUNCTION("""COMPUTED_VALUE"""),133333.333333333)</f>
        <v>133333.33333333299</v>
      </c>
      <c r="O92" s="171">
        <f ca="1">IFERROR(__xludf.DUMMYFUNCTION("""COMPUTED_VALUE"""),133333.333333333)</f>
        <v>133333.33333333299</v>
      </c>
      <c r="P92" s="171">
        <f ca="1">IFERROR(__xludf.DUMMYFUNCTION("""COMPUTED_VALUE"""),133333.333333333)</f>
        <v>133333.33333333299</v>
      </c>
      <c r="Q92" s="171">
        <f ca="1">IFERROR(__xludf.DUMMYFUNCTION("""COMPUTED_VALUE"""),133333.333333333)</f>
        <v>133333.33333333299</v>
      </c>
      <c r="R92" s="171">
        <f ca="1">IFERROR(__xludf.DUMMYFUNCTION("""COMPUTED_VALUE"""),133333.333333333)</f>
        <v>133333.33333333299</v>
      </c>
      <c r="S92" s="171">
        <f ca="1">IFERROR(__xludf.DUMMYFUNCTION("""COMPUTED_VALUE"""),133333.333333333)</f>
        <v>133333.33333333299</v>
      </c>
      <c r="T92" s="171">
        <f ca="1">IFERROR(__xludf.DUMMYFUNCTION("""COMPUTED_VALUE"""),133333.333333333)</f>
        <v>133333.33333333299</v>
      </c>
      <c r="U92" s="171">
        <f ca="1">IFERROR(__xludf.DUMMYFUNCTION("""COMPUTED_VALUE"""),133333.333333333)</f>
        <v>133333.33333333299</v>
      </c>
      <c r="V92" s="100">
        <f ca="1">IFERROR(__xludf.DUMMYFUNCTION("""COMPUTED_VALUE"""),2026)</f>
        <v>2026</v>
      </c>
      <c r="W92" s="171">
        <f ca="1">IFERROR(__xludf.DUMMYFUNCTION("""COMPUTED_VALUE"""),1599999.99999999)</f>
        <v>1599999.99999999</v>
      </c>
      <c r="X92" s="171">
        <f ca="1">IFERROR(__xludf.DUMMYFUNCTION("""COMPUTED_VALUE"""),0)</f>
        <v>0</v>
      </c>
    </row>
    <row r="93" spans="1:25" ht="15.75" customHeight="1" x14ac:dyDescent="0.25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5"/>
      <c r="N93" s="100"/>
      <c r="O93" s="100"/>
      <c r="P93" s="100"/>
      <c r="Q93" s="100"/>
      <c r="R93" s="100"/>
      <c r="S93" s="100"/>
      <c r="T93" s="100"/>
      <c r="U93" s="100"/>
      <c r="V93" s="100"/>
      <c r="W93" s="100"/>
    </row>
    <row r="94" spans="1:25" ht="15.75" customHeight="1" x14ac:dyDescent="0.25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5"/>
      <c r="N94" s="100"/>
      <c r="O94" s="100"/>
      <c r="P94" s="100"/>
      <c r="Q94" s="100"/>
      <c r="R94" s="100"/>
      <c r="S94" s="100"/>
      <c r="T94" s="100"/>
      <c r="U94" s="100"/>
      <c r="V94" s="100"/>
      <c r="W94" s="100"/>
    </row>
    <row r="95" spans="1:25" ht="15.75" customHeight="1" x14ac:dyDescent="0.25">
      <c r="A95" s="136" t="str">
        <f ca="1">IFERROR(__xludf.DUMMYFUNCTION("importrange(""https://docs.google.com/spreadsheets/d/1XSlWJJ38Z_NdyQ1r2shWJIQVKNiRmaQA7gil4fnnRXk/edit?gid=31447059#"",""Summary!A3:X23"")"),"India ")</f>
        <v xml:space="preserve">India </v>
      </c>
      <c r="B95" s="81" t="str">
        <f ca="1">IFERROR(__xludf.DUMMYFUNCTION("""COMPUTED_VALUE"""),"NHIPLC")</f>
        <v>NHIPLC</v>
      </c>
      <c r="C95" s="139" t="str">
        <f ca="1">IFERROR(__xludf.DUMMYFUNCTION("""COMPUTED_VALUE"""),"Global Digital Product")</f>
        <v>Global Digital Product</v>
      </c>
      <c r="D95" s="139" t="str">
        <f ca="1">IFERROR(__xludf.DUMMYFUNCTION("""COMPUTED_VALUE"""),"Global Product")</f>
        <v>Global Product</v>
      </c>
      <c r="E95" s="139" t="str">
        <f ca="1">IFERROR(__xludf.DUMMYFUNCTION("""COMPUTED_VALUE"""),"Payroll Cost")</f>
        <v>Payroll Cost</v>
      </c>
      <c r="F95" s="139" t="str">
        <f ca="1">IFERROR(__xludf.DUMMYFUNCTION("""COMPUTED_VALUE"""),"Salaries and Wages")</f>
        <v>Salaries and Wages</v>
      </c>
      <c r="G95" s="139" t="str">
        <f ca="1">IFERROR(__xludf.DUMMYFUNCTION("""COMPUTED_VALUE"""),"Salaries and Wages")</f>
        <v>Salaries and Wages</v>
      </c>
      <c r="H95" s="141" t="str">
        <f ca="1">IFERROR(__xludf.DUMMYFUNCTION("""COMPUTED_VALUE"""),"91101-91107")</f>
        <v>91101-91107</v>
      </c>
      <c r="I95" s="140">
        <f ca="1">IFERROR(__xludf.DUMMYFUNCTION("""COMPUTED_VALUE"""),12989575.9999999)</f>
        <v>12989575.999999899</v>
      </c>
      <c r="J95" s="140">
        <f ca="1">IFERROR(__xludf.DUMMYFUNCTION("""COMPUTED_VALUE"""),1215127.16666666)</f>
        <v>1215127.16666666</v>
      </c>
      <c r="K95" s="140">
        <f ca="1">IFERROR(__xludf.DUMMYFUNCTION("""COMPUTED_VALUE"""),1215127.16666666)</f>
        <v>1215127.16666666</v>
      </c>
      <c r="L95" s="140">
        <f ca="1">IFERROR(__xludf.DUMMYFUNCTION("""COMPUTED_VALUE"""),1215127.16666666)</f>
        <v>1215127.16666666</v>
      </c>
      <c r="M95" s="143">
        <f ca="1">IFERROR(__xludf.DUMMYFUNCTION("""COMPUTED_VALUE"""),1215127.16666666)</f>
        <v>1215127.16666666</v>
      </c>
      <c r="N95" s="140">
        <f ca="1">IFERROR(__xludf.DUMMYFUNCTION("""COMPUTED_VALUE"""),1215127.16666666)</f>
        <v>1215127.16666666</v>
      </c>
      <c r="O95" s="140">
        <f ca="1">IFERROR(__xludf.DUMMYFUNCTION("""COMPUTED_VALUE"""),1215127.16666666)</f>
        <v>1215127.16666666</v>
      </c>
      <c r="P95" s="140">
        <f ca="1">IFERROR(__xludf.DUMMYFUNCTION("""COMPUTED_VALUE"""),949802.166666666)</f>
        <v>949802.16666666605</v>
      </c>
      <c r="Q95" s="140">
        <f ca="1">IFERROR(__xludf.DUMMYFUNCTION("""COMPUTED_VALUE"""),949802.166666666)</f>
        <v>949802.16666666605</v>
      </c>
      <c r="R95" s="140">
        <f ca="1">IFERROR(__xludf.DUMMYFUNCTION("""COMPUTED_VALUE"""),949802.166666666)</f>
        <v>949802.16666666605</v>
      </c>
      <c r="S95" s="140">
        <f ca="1">IFERROR(__xludf.DUMMYFUNCTION("""COMPUTED_VALUE"""),949802.166666666)</f>
        <v>949802.16666666605</v>
      </c>
      <c r="T95" s="140">
        <f ca="1">IFERROR(__xludf.DUMMYFUNCTION("""COMPUTED_VALUE"""),949802.166666666)</f>
        <v>949802.16666666605</v>
      </c>
      <c r="U95" s="140">
        <f ca="1">IFERROR(__xludf.DUMMYFUNCTION("""COMPUTED_VALUE"""),949802.166666666)</f>
        <v>949802.16666666605</v>
      </c>
      <c r="V95" s="100"/>
      <c r="W95" s="140">
        <f ca="1">IFERROR(__xludf.DUMMYFUNCTION("""COMPUTED_VALUE"""),12989575.9999999)</f>
        <v>12989575.999999899</v>
      </c>
      <c r="X95" s="140">
        <f ca="1">IFERROR(__xludf.DUMMYFUNCTION("""COMPUTED_VALUE"""),0)</f>
        <v>0</v>
      </c>
      <c r="Y95" s="147">
        <f t="shared" ref="Y95:Y115" ca="1" si="4">W95-I95</f>
        <v>0</v>
      </c>
    </row>
    <row r="96" spans="1:25" ht="15.75" customHeight="1" x14ac:dyDescent="0.25">
      <c r="A96" s="148" t="str">
        <f ca="1">IFERROR(__xludf.DUMMYFUNCTION("""COMPUTED_VALUE"""),"India ")</f>
        <v xml:space="preserve">India </v>
      </c>
      <c r="B96" s="81" t="str">
        <f ca="1">IFERROR(__xludf.DUMMYFUNCTION("""COMPUTED_VALUE"""),"NHIPLC")</f>
        <v>NHIPLC</v>
      </c>
      <c r="C96" s="139" t="str">
        <f ca="1">IFERROR(__xludf.DUMMYFUNCTION("""COMPUTED_VALUE"""),"Global Digital Product")</f>
        <v>Global Digital Product</v>
      </c>
      <c r="D96" s="139" t="str">
        <f ca="1">IFERROR(__xludf.DUMMYFUNCTION("""COMPUTED_VALUE"""),"Global Product")</f>
        <v>Global Product</v>
      </c>
      <c r="E96" s="139" t="str">
        <f ca="1">IFERROR(__xludf.DUMMYFUNCTION("""COMPUTED_VALUE"""),"Payroll Cost")</f>
        <v>Payroll Cost</v>
      </c>
      <c r="F96" s="139" t="str">
        <f ca="1">IFERROR(__xludf.DUMMYFUNCTION("""COMPUTED_VALUE"""),"Health and Retirement Benefits")</f>
        <v>Health and Retirement Benefits</v>
      </c>
      <c r="G96" s="139" t="str">
        <f ca="1">IFERROR(__xludf.DUMMYFUNCTION("""COMPUTED_VALUE"""),"Gratuity &amp; Bonus")</f>
        <v>Gratuity &amp; Bonus</v>
      </c>
      <c r="H96" s="141" t="str">
        <f ca="1">IFERROR(__xludf.DUMMYFUNCTION("""COMPUTED_VALUE"""),"91201-91207")</f>
        <v>91201-91207</v>
      </c>
      <c r="I96" s="140">
        <f ca="1">IFERROR(__xludf.DUMMYFUNCTION("""COMPUTED_VALUE"""),277559.416666666)</f>
        <v>277559.41666666599</v>
      </c>
      <c r="J96" s="140">
        <f ca="1">IFERROR(__xludf.DUMMYFUNCTION("""COMPUTED_VALUE"""),0)</f>
        <v>0</v>
      </c>
      <c r="K96" s="140">
        <f ca="1">IFERROR(__xludf.DUMMYFUNCTION("""COMPUTED_VALUE"""),0)</f>
        <v>0</v>
      </c>
      <c r="L96" s="140">
        <f ca="1">IFERROR(__xludf.DUMMYFUNCTION("""COMPUTED_VALUE"""),0)</f>
        <v>0</v>
      </c>
      <c r="M96" s="143">
        <f ca="1">IFERROR(__xludf.DUMMYFUNCTION("""COMPUTED_VALUE"""),0)</f>
        <v>0</v>
      </c>
      <c r="N96" s="140">
        <f ca="1">IFERROR(__xludf.DUMMYFUNCTION("""COMPUTED_VALUE"""),0)</f>
        <v>0</v>
      </c>
      <c r="O96" s="140">
        <f ca="1">IFERROR(__xludf.DUMMYFUNCTION("""COMPUTED_VALUE"""),277559.416666666)</f>
        <v>277559.41666666599</v>
      </c>
      <c r="P96" s="140">
        <f ca="1">IFERROR(__xludf.DUMMYFUNCTION("""COMPUTED_VALUE"""),0)</f>
        <v>0</v>
      </c>
      <c r="Q96" s="140">
        <f ca="1">IFERROR(__xludf.DUMMYFUNCTION("""COMPUTED_VALUE"""),0)</f>
        <v>0</v>
      </c>
      <c r="R96" s="140">
        <f ca="1">IFERROR(__xludf.DUMMYFUNCTION("""COMPUTED_VALUE"""),0)</f>
        <v>0</v>
      </c>
      <c r="S96" s="140">
        <f ca="1">IFERROR(__xludf.DUMMYFUNCTION("""COMPUTED_VALUE"""),0)</f>
        <v>0</v>
      </c>
      <c r="T96" s="140">
        <f ca="1">IFERROR(__xludf.DUMMYFUNCTION("""COMPUTED_VALUE"""),0)</f>
        <v>0</v>
      </c>
      <c r="U96" s="140">
        <f ca="1">IFERROR(__xludf.DUMMYFUNCTION("""COMPUTED_VALUE"""),0)</f>
        <v>0</v>
      </c>
      <c r="V96" s="100"/>
      <c r="W96" s="140">
        <f ca="1">IFERROR(__xludf.DUMMYFUNCTION("""COMPUTED_VALUE"""),277559.416666666)</f>
        <v>277559.41666666599</v>
      </c>
      <c r="X96" s="140">
        <f ca="1">IFERROR(__xludf.DUMMYFUNCTION("""COMPUTED_VALUE"""),0)</f>
        <v>0</v>
      </c>
      <c r="Y96" s="147">
        <f t="shared" ca="1" si="4"/>
        <v>0</v>
      </c>
    </row>
    <row r="97" spans="1:25" ht="15.75" customHeight="1" x14ac:dyDescent="0.25">
      <c r="A97" s="148" t="str">
        <f ca="1">IFERROR(__xludf.DUMMYFUNCTION("""COMPUTED_VALUE"""),"India ")</f>
        <v xml:space="preserve">India </v>
      </c>
      <c r="B97" s="81" t="str">
        <f ca="1">IFERROR(__xludf.DUMMYFUNCTION("""COMPUTED_VALUE"""),"NHIPLC")</f>
        <v>NHIPLC</v>
      </c>
      <c r="C97" s="139" t="str">
        <f ca="1">IFERROR(__xludf.DUMMYFUNCTION("""COMPUTED_VALUE"""),"Global Digital Product")</f>
        <v>Global Digital Product</v>
      </c>
      <c r="D97" s="139" t="str">
        <f ca="1">IFERROR(__xludf.DUMMYFUNCTION("""COMPUTED_VALUE"""),"Global Product")</f>
        <v>Global Product</v>
      </c>
      <c r="E97" s="139" t="str">
        <f ca="1">IFERROR(__xludf.DUMMYFUNCTION("""COMPUTED_VALUE"""),"Payroll Cost")</f>
        <v>Payroll Cost</v>
      </c>
      <c r="F97" s="139" t="str">
        <f ca="1">IFERROR(__xludf.DUMMYFUNCTION("""COMPUTED_VALUE"""),"Other Staff Expenses")</f>
        <v>Other Staff Expenses</v>
      </c>
      <c r="G97" s="139" t="str">
        <f ca="1">IFERROR(__xludf.DUMMYFUNCTION("""COMPUTED_VALUE"""),"Staff Training, Learning &amp; Development Exp")</f>
        <v>Staff Training, Learning &amp; Development Exp</v>
      </c>
      <c r="H97" s="141">
        <f ca="1">IFERROR(__xludf.DUMMYFUNCTION("""COMPUTED_VALUE"""),91302)</f>
        <v>91302</v>
      </c>
      <c r="I97" s="140">
        <f ca="1">IFERROR(__xludf.DUMMYFUNCTION("""COMPUTED_VALUE"""),0)</f>
        <v>0</v>
      </c>
      <c r="J97" s="140">
        <f ca="1">IFERROR(__xludf.DUMMYFUNCTION("""COMPUTED_VALUE"""),0)</f>
        <v>0</v>
      </c>
      <c r="K97" s="140">
        <f ca="1">IFERROR(__xludf.DUMMYFUNCTION("""COMPUTED_VALUE"""),0)</f>
        <v>0</v>
      </c>
      <c r="L97" s="140">
        <f ca="1">IFERROR(__xludf.DUMMYFUNCTION("""COMPUTED_VALUE"""),0)</f>
        <v>0</v>
      </c>
      <c r="M97" s="143">
        <f ca="1">IFERROR(__xludf.DUMMYFUNCTION("""COMPUTED_VALUE"""),0)</f>
        <v>0</v>
      </c>
      <c r="N97" s="140">
        <f ca="1">IFERROR(__xludf.DUMMYFUNCTION("""COMPUTED_VALUE"""),0)</f>
        <v>0</v>
      </c>
      <c r="O97" s="140">
        <f ca="1">IFERROR(__xludf.DUMMYFUNCTION("""COMPUTED_VALUE"""),0)</f>
        <v>0</v>
      </c>
      <c r="P97" s="140">
        <f ca="1">IFERROR(__xludf.DUMMYFUNCTION("""COMPUTED_VALUE"""),0)</f>
        <v>0</v>
      </c>
      <c r="Q97" s="140">
        <f ca="1">IFERROR(__xludf.DUMMYFUNCTION("""COMPUTED_VALUE"""),0)</f>
        <v>0</v>
      </c>
      <c r="R97" s="140">
        <f ca="1">IFERROR(__xludf.DUMMYFUNCTION("""COMPUTED_VALUE"""),0)</f>
        <v>0</v>
      </c>
      <c r="S97" s="140">
        <f ca="1">IFERROR(__xludf.DUMMYFUNCTION("""COMPUTED_VALUE"""),0)</f>
        <v>0</v>
      </c>
      <c r="T97" s="140">
        <f ca="1">IFERROR(__xludf.DUMMYFUNCTION("""COMPUTED_VALUE"""),0)</f>
        <v>0</v>
      </c>
      <c r="U97" s="140">
        <f ca="1">IFERROR(__xludf.DUMMYFUNCTION("""COMPUTED_VALUE"""),0)</f>
        <v>0</v>
      </c>
      <c r="V97" s="100"/>
      <c r="W97" s="140">
        <f ca="1">IFERROR(__xludf.DUMMYFUNCTION("""COMPUTED_VALUE"""),0)</f>
        <v>0</v>
      </c>
      <c r="X97" s="140">
        <f ca="1">IFERROR(__xludf.DUMMYFUNCTION("""COMPUTED_VALUE"""),0)</f>
        <v>0</v>
      </c>
      <c r="Y97" s="147">
        <f t="shared" ca="1" si="4"/>
        <v>0</v>
      </c>
    </row>
    <row r="98" spans="1:25" ht="15.75" customHeight="1" x14ac:dyDescent="0.25">
      <c r="A98" s="148" t="str">
        <f ca="1">IFERROR(__xludf.DUMMYFUNCTION("""COMPUTED_VALUE"""),"India ")</f>
        <v xml:space="preserve">India </v>
      </c>
      <c r="B98" s="81" t="str">
        <f ca="1">IFERROR(__xludf.DUMMYFUNCTION("""COMPUTED_VALUE"""),"NHIPLC")</f>
        <v>NHIPLC</v>
      </c>
      <c r="C98" s="139" t="str">
        <f ca="1">IFERROR(__xludf.DUMMYFUNCTION("""COMPUTED_VALUE"""),"Global Digital Product")</f>
        <v>Global Digital Product</v>
      </c>
      <c r="D98" s="139" t="str">
        <f ca="1">IFERROR(__xludf.DUMMYFUNCTION("""COMPUTED_VALUE"""),"Global Product")</f>
        <v>Global Product</v>
      </c>
      <c r="E98" s="139" t="str">
        <f ca="1">IFERROR(__xludf.DUMMYFUNCTION("""COMPUTED_VALUE"""),"Direct Consultants")</f>
        <v>Direct Consultants</v>
      </c>
      <c r="F98" s="139" t="str">
        <f ca="1">IFERROR(__xludf.DUMMYFUNCTION("""COMPUTED_VALUE"""),"Resource Persons")</f>
        <v>Resource Persons</v>
      </c>
      <c r="G98" s="139" t="str">
        <f ca="1">IFERROR(__xludf.DUMMYFUNCTION("""COMPUTED_VALUE"""),"Program Resource Consultant (EHA)")</f>
        <v>Program Resource Consultant (EHA)</v>
      </c>
      <c r="H98" s="141">
        <f ca="1">IFERROR(__xludf.DUMMYFUNCTION("""COMPUTED_VALUE"""),92101)</f>
        <v>92101</v>
      </c>
      <c r="I98" s="140">
        <f ca="1">IFERROR(__xludf.DUMMYFUNCTION("""COMPUTED_VALUE"""),13636117.9999999)</f>
        <v>13636117.999999899</v>
      </c>
      <c r="J98" s="140">
        <f ca="1">IFERROR(__xludf.DUMMYFUNCTION("""COMPUTED_VALUE"""),1136343.16666666)</f>
        <v>1136343.16666666</v>
      </c>
      <c r="K98" s="140">
        <f ca="1">IFERROR(__xludf.DUMMYFUNCTION("""COMPUTED_VALUE"""),1136343.16666666)</f>
        <v>1136343.16666666</v>
      </c>
      <c r="L98" s="140">
        <f ca="1">IFERROR(__xludf.DUMMYFUNCTION("""COMPUTED_VALUE"""),1136343.16666666)</f>
        <v>1136343.16666666</v>
      </c>
      <c r="M98" s="143">
        <f ca="1">IFERROR(__xludf.DUMMYFUNCTION("""COMPUTED_VALUE"""),1136343.16666666)</f>
        <v>1136343.16666666</v>
      </c>
      <c r="N98" s="140">
        <f ca="1">IFERROR(__xludf.DUMMYFUNCTION("""COMPUTED_VALUE"""),1136343.16666666)</f>
        <v>1136343.16666666</v>
      </c>
      <c r="O98" s="140">
        <f ca="1">IFERROR(__xludf.DUMMYFUNCTION("""COMPUTED_VALUE"""),1136343.16666666)</f>
        <v>1136343.16666666</v>
      </c>
      <c r="P98" s="140">
        <f ca="1">IFERROR(__xludf.DUMMYFUNCTION("""COMPUTED_VALUE"""),1136343.16666666)</f>
        <v>1136343.16666666</v>
      </c>
      <c r="Q98" s="140">
        <f ca="1">IFERROR(__xludf.DUMMYFUNCTION("""COMPUTED_VALUE"""),1136343.16666666)</f>
        <v>1136343.16666666</v>
      </c>
      <c r="R98" s="140">
        <f ca="1">IFERROR(__xludf.DUMMYFUNCTION("""COMPUTED_VALUE"""),1136343.16666666)</f>
        <v>1136343.16666666</v>
      </c>
      <c r="S98" s="140">
        <f ca="1">IFERROR(__xludf.DUMMYFUNCTION("""COMPUTED_VALUE"""),1136343.16666666)</f>
        <v>1136343.16666666</v>
      </c>
      <c r="T98" s="140">
        <f ca="1">IFERROR(__xludf.DUMMYFUNCTION("""COMPUTED_VALUE"""),1136343.16666666)</f>
        <v>1136343.16666666</v>
      </c>
      <c r="U98" s="140">
        <f ca="1">IFERROR(__xludf.DUMMYFUNCTION("""COMPUTED_VALUE"""),1136343.16666666)</f>
        <v>1136343.16666666</v>
      </c>
      <c r="V98" s="100"/>
      <c r="W98" s="140">
        <f ca="1">IFERROR(__xludf.DUMMYFUNCTION("""COMPUTED_VALUE"""),13636117.9999999)</f>
        <v>13636117.999999899</v>
      </c>
      <c r="X98" s="140">
        <f ca="1">IFERROR(__xludf.DUMMYFUNCTION("""COMPUTED_VALUE"""),0)</f>
        <v>0</v>
      </c>
      <c r="Y98" s="147">
        <f t="shared" ca="1" si="4"/>
        <v>0</v>
      </c>
    </row>
    <row r="99" spans="1:25" ht="15.75" customHeight="1" x14ac:dyDescent="0.25">
      <c r="A99" s="148" t="str">
        <f ca="1">IFERROR(__xludf.DUMMYFUNCTION("""COMPUTED_VALUE"""),"India ")</f>
        <v xml:space="preserve">India </v>
      </c>
      <c r="B99" s="81" t="str">
        <f ca="1">IFERROR(__xludf.DUMMYFUNCTION("""COMPUTED_VALUE"""),"NHIPLC")</f>
        <v>NHIPLC</v>
      </c>
      <c r="C99" s="139" t="str">
        <f ca="1">IFERROR(__xludf.DUMMYFUNCTION("""COMPUTED_VALUE"""),"Global Digital Product")</f>
        <v>Global Digital Product</v>
      </c>
      <c r="D99" s="81" t="str">
        <f ca="1">IFERROR(__xludf.DUMMYFUNCTION("""COMPUTED_VALUE"""),"Global Product")</f>
        <v>Global Product</v>
      </c>
      <c r="E99" s="139" t="str">
        <f ca="1">IFERROR(__xludf.DUMMYFUNCTION("""COMPUTED_VALUE"""),"Direct Cost")</f>
        <v>Direct Cost</v>
      </c>
      <c r="F99" s="139" t="str">
        <f ca="1">IFERROR(__xludf.DUMMYFUNCTION("""COMPUTED_VALUE"""),"Travel &amp; Lodging Expenses")</f>
        <v>Travel &amp; Lodging Expenses</v>
      </c>
      <c r="G99" s="139" t="str">
        <f ca="1">IFERROR(__xludf.DUMMYFUNCTION("""COMPUTED_VALUE"""),"Hotel Accomodation")</f>
        <v>Hotel Accomodation</v>
      </c>
      <c r="H99" s="141">
        <f ca="1">IFERROR(__xludf.DUMMYFUNCTION("""COMPUTED_VALUE"""),93101)</f>
        <v>93101</v>
      </c>
      <c r="I99" s="140">
        <f ca="1">IFERROR(__xludf.DUMMYFUNCTION("""COMPUTED_VALUE"""),403500)</f>
        <v>403500</v>
      </c>
      <c r="J99" s="140">
        <f ca="1">IFERROR(__xludf.DUMMYFUNCTION("""COMPUTED_VALUE"""),0)</f>
        <v>0</v>
      </c>
      <c r="K99" s="140">
        <f ca="1">IFERROR(__xludf.DUMMYFUNCTION("""COMPUTED_VALUE"""),0)</f>
        <v>0</v>
      </c>
      <c r="L99" s="140">
        <f ca="1">IFERROR(__xludf.DUMMYFUNCTION("""COMPUTED_VALUE"""),61500)</f>
        <v>61500</v>
      </c>
      <c r="M99" s="143">
        <f ca="1">IFERROR(__xludf.DUMMYFUNCTION("""COMPUTED_VALUE"""),105000)</f>
        <v>105000</v>
      </c>
      <c r="N99" s="140">
        <f ca="1">IFERROR(__xludf.DUMMYFUNCTION("""COMPUTED_VALUE"""),174000)</f>
        <v>174000</v>
      </c>
      <c r="O99" s="140">
        <f ca="1">IFERROR(__xludf.DUMMYFUNCTION("""COMPUTED_VALUE"""),31500)</f>
        <v>31500</v>
      </c>
      <c r="P99" s="140">
        <f ca="1">IFERROR(__xludf.DUMMYFUNCTION("""COMPUTED_VALUE"""),0)</f>
        <v>0</v>
      </c>
      <c r="Q99" s="140">
        <f ca="1">IFERROR(__xludf.DUMMYFUNCTION("""COMPUTED_VALUE"""),0)</f>
        <v>0</v>
      </c>
      <c r="R99" s="140">
        <f ca="1">IFERROR(__xludf.DUMMYFUNCTION("""COMPUTED_VALUE"""),31500)</f>
        <v>31500</v>
      </c>
      <c r="S99" s="140">
        <f ca="1">IFERROR(__xludf.DUMMYFUNCTION("""COMPUTED_VALUE"""),0)</f>
        <v>0</v>
      </c>
      <c r="T99" s="140">
        <f ca="1">IFERROR(__xludf.DUMMYFUNCTION("""COMPUTED_VALUE"""),0)</f>
        <v>0</v>
      </c>
      <c r="U99" s="140">
        <f ca="1">IFERROR(__xludf.DUMMYFUNCTION("""COMPUTED_VALUE"""),0)</f>
        <v>0</v>
      </c>
      <c r="V99" s="100"/>
      <c r="W99" s="140">
        <f ca="1">IFERROR(__xludf.DUMMYFUNCTION("""COMPUTED_VALUE"""),403500)</f>
        <v>403500</v>
      </c>
      <c r="X99" s="140"/>
      <c r="Y99" s="147">
        <f t="shared" ca="1" si="4"/>
        <v>0</v>
      </c>
    </row>
    <row r="100" spans="1:25" ht="15.75" customHeight="1" x14ac:dyDescent="0.25">
      <c r="A100" s="148" t="str">
        <f ca="1">IFERROR(__xludf.DUMMYFUNCTION("""COMPUTED_VALUE"""),"India ")</f>
        <v xml:space="preserve">India </v>
      </c>
      <c r="B100" s="81" t="str">
        <f ca="1">IFERROR(__xludf.DUMMYFUNCTION("""COMPUTED_VALUE"""),"NHIPLC")</f>
        <v>NHIPLC</v>
      </c>
      <c r="C100" s="139" t="str">
        <f ca="1">IFERROR(__xludf.DUMMYFUNCTION("""COMPUTED_VALUE"""),"Global Digital Product")</f>
        <v>Global Digital Product</v>
      </c>
      <c r="D100" s="81" t="str">
        <f ca="1">IFERROR(__xludf.DUMMYFUNCTION("""COMPUTED_VALUE"""),"Global Product")</f>
        <v>Global Product</v>
      </c>
      <c r="E100" s="139" t="str">
        <f ca="1">IFERROR(__xludf.DUMMYFUNCTION("""COMPUTED_VALUE"""),"Direct Cost")</f>
        <v>Direct Cost</v>
      </c>
      <c r="F100" s="139" t="str">
        <f ca="1">IFERROR(__xludf.DUMMYFUNCTION("""COMPUTED_VALUE"""),"Travel &amp; Lodging Expenses")</f>
        <v>Travel &amp; Lodging Expenses</v>
      </c>
      <c r="G100" s="139" t="str">
        <f ca="1">IFERROR(__xludf.DUMMYFUNCTION("""COMPUTED_VALUE"""),"Food Expenses")</f>
        <v>Food Expenses</v>
      </c>
      <c r="H100" s="141">
        <f ca="1">IFERROR(__xludf.DUMMYFUNCTION("""COMPUTED_VALUE"""),93102)</f>
        <v>93102</v>
      </c>
      <c r="I100" s="140">
        <f ca="1">IFERROR(__xludf.DUMMYFUNCTION("""COMPUTED_VALUE"""),135500)</f>
        <v>135500</v>
      </c>
      <c r="J100" s="140">
        <f ca="1">IFERROR(__xludf.DUMMYFUNCTION("""COMPUTED_VALUE"""),0)</f>
        <v>0</v>
      </c>
      <c r="K100" s="140">
        <f ca="1">IFERROR(__xludf.DUMMYFUNCTION("""COMPUTED_VALUE"""),0)</f>
        <v>0</v>
      </c>
      <c r="L100" s="140">
        <f ca="1">IFERROR(__xludf.DUMMYFUNCTION("""COMPUTED_VALUE"""),21500)</f>
        <v>21500</v>
      </c>
      <c r="M100" s="143">
        <f ca="1">IFERROR(__xludf.DUMMYFUNCTION("""COMPUTED_VALUE"""),35000)</f>
        <v>35000</v>
      </c>
      <c r="N100" s="140">
        <f ca="1">IFERROR(__xludf.DUMMYFUNCTION("""COMPUTED_VALUE"""),61000)</f>
        <v>61000</v>
      </c>
      <c r="O100" s="140">
        <f ca="1">IFERROR(__xludf.DUMMYFUNCTION("""COMPUTED_VALUE"""),9000)</f>
        <v>9000</v>
      </c>
      <c r="P100" s="140">
        <f ca="1">IFERROR(__xludf.DUMMYFUNCTION("""COMPUTED_VALUE"""),0)</f>
        <v>0</v>
      </c>
      <c r="Q100" s="140">
        <f ca="1">IFERROR(__xludf.DUMMYFUNCTION("""COMPUTED_VALUE"""),0)</f>
        <v>0</v>
      </c>
      <c r="R100" s="140">
        <f ca="1">IFERROR(__xludf.DUMMYFUNCTION("""COMPUTED_VALUE"""),9000)</f>
        <v>9000</v>
      </c>
      <c r="S100" s="140">
        <f ca="1">IFERROR(__xludf.DUMMYFUNCTION("""COMPUTED_VALUE"""),0)</f>
        <v>0</v>
      </c>
      <c r="T100" s="140">
        <f ca="1">IFERROR(__xludf.DUMMYFUNCTION("""COMPUTED_VALUE"""),0)</f>
        <v>0</v>
      </c>
      <c r="U100" s="140">
        <f ca="1">IFERROR(__xludf.DUMMYFUNCTION("""COMPUTED_VALUE"""),0)</f>
        <v>0</v>
      </c>
      <c r="V100" s="100"/>
      <c r="W100" s="140">
        <f ca="1">IFERROR(__xludf.DUMMYFUNCTION("""COMPUTED_VALUE"""),135500)</f>
        <v>135500</v>
      </c>
      <c r="X100" s="140"/>
      <c r="Y100" s="147">
        <f t="shared" ca="1" si="4"/>
        <v>0</v>
      </c>
    </row>
    <row r="101" spans="1:25" ht="15.75" customHeight="1" x14ac:dyDescent="0.25">
      <c r="A101" s="148" t="str">
        <f ca="1">IFERROR(__xludf.DUMMYFUNCTION("""COMPUTED_VALUE"""),"India ")</f>
        <v xml:space="preserve">India </v>
      </c>
      <c r="B101" s="81" t="str">
        <f ca="1">IFERROR(__xludf.DUMMYFUNCTION("""COMPUTED_VALUE"""),"NHIPLC")</f>
        <v>NHIPLC</v>
      </c>
      <c r="C101" s="139" t="str">
        <f ca="1">IFERROR(__xludf.DUMMYFUNCTION("""COMPUTED_VALUE"""),"Global Digital Product")</f>
        <v>Global Digital Product</v>
      </c>
      <c r="D101" s="81" t="str">
        <f ca="1">IFERROR(__xludf.DUMMYFUNCTION("""COMPUTED_VALUE"""),"Global Product")</f>
        <v>Global Product</v>
      </c>
      <c r="E101" s="139" t="str">
        <f ca="1">IFERROR(__xludf.DUMMYFUNCTION("""COMPUTED_VALUE"""),"Direct Cost")</f>
        <v>Direct Cost</v>
      </c>
      <c r="F101" s="139" t="str">
        <f ca="1">IFERROR(__xludf.DUMMYFUNCTION("""COMPUTED_VALUE"""),"Travel &amp; Lodging Expenses")</f>
        <v>Travel &amp; Lodging Expenses</v>
      </c>
      <c r="G101" s="139" t="str">
        <f ca="1">IFERROR(__xludf.DUMMYFUNCTION("""COMPUTED_VALUE"""),"Air fare")</f>
        <v>Air fare</v>
      </c>
      <c r="H101" s="141">
        <f ca="1">IFERROR(__xludf.DUMMYFUNCTION("""COMPUTED_VALUE"""),93103)</f>
        <v>93103</v>
      </c>
      <c r="I101" s="140">
        <f ca="1">IFERROR(__xludf.DUMMYFUNCTION("""COMPUTED_VALUE"""),628000)</f>
        <v>628000</v>
      </c>
      <c r="J101" s="140">
        <f ca="1">IFERROR(__xludf.DUMMYFUNCTION("""COMPUTED_VALUE"""),0)</f>
        <v>0</v>
      </c>
      <c r="K101" s="140">
        <f ca="1">IFERROR(__xludf.DUMMYFUNCTION("""COMPUTED_VALUE"""),0)</f>
        <v>0</v>
      </c>
      <c r="L101" s="140">
        <f ca="1">IFERROR(__xludf.DUMMYFUNCTION("""COMPUTED_VALUE"""),124000)</f>
        <v>124000</v>
      </c>
      <c r="M101" s="143">
        <f ca="1">IFERROR(__xludf.DUMMYFUNCTION("""COMPUTED_VALUE"""),130000)</f>
        <v>130000</v>
      </c>
      <c r="N101" s="140">
        <f ca="1">IFERROR(__xludf.DUMMYFUNCTION("""COMPUTED_VALUE"""),246000)</f>
        <v>246000</v>
      </c>
      <c r="O101" s="140">
        <f ca="1">IFERROR(__xludf.DUMMYFUNCTION("""COMPUTED_VALUE"""),36000)</f>
        <v>36000</v>
      </c>
      <c r="P101" s="140">
        <f ca="1">IFERROR(__xludf.DUMMYFUNCTION("""COMPUTED_VALUE"""),0)</f>
        <v>0</v>
      </c>
      <c r="Q101" s="140">
        <f ca="1">IFERROR(__xludf.DUMMYFUNCTION("""COMPUTED_VALUE"""),0)</f>
        <v>0</v>
      </c>
      <c r="R101" s="140">
        <f ca="1">IFERROR(__xludf.DUMMYFUNCTION("""COMPUTED_VALUE"""),92000)</f>
        <v>92000</v>
      </c>
      <c r="S101" s="140">
        <f ca="1">IFERROR(__xludf.DUMMYFUNCTION("""COMPUTED_VALUE"""),0)</f>
        <v>0</v>
      </c>
      <c r="T101" s="140">
        <f ca="1">IFERROR(__xludf.DUMMYFUNCTION("""COMPUTED_VALUE"""),0)</f>
        <v>0</v>
      </c>
      <c r="U101" s="140">
        <f ca="1">IFERROR(__xludf.DUMMYFUNCTION("""COMPUTED_VALUE"""),0)</f>
        <v>0</v>
      </c>
      <c r="V101" s="100"/>
      <c r="W101" s="140">
        <f ca="1">IFERROR(__xludf.DUMMYFUNCTION("""COMPUTED_VALUE"""),628000)</f>
        <v>628000</v>
      </c>
      <c r="X101" s="140"/>
      <c r="Y101" s="147">
        <f t="shared" ca="1" si="4"/>
        <v>0</v>
      </c>
    </row>
    <row r="102" spans="1:25" ht="15.75" customHeight="1" x14ac:dyDescent="0.25">
      <c r="A102" s="148" t="str">
        <f ca="1">IFERROR(__xludf.DUMMYFUNCTION("""COMPUTED_VALUE"""),"India ")</f>
        <v xml:space="preserve">India </v>
      </c>
      <c r="B102" s="81" t="str">
        <f ca="1">IFERROR(__xludf.DUMMYFUNCTION("""COMPUTED_VALUE"""),"NHIPLC")</f>
        <v>NHIPLC</v>
      </c>
      <c r="C102" s="139" t="str">
        <f ca="1">IFERROR(__xludf.DUMMYFUNCTION("""COMPUTED_VALUE"""),"Global Digital Product")</f>
        <v>Global Digital Product</v>
      </c>
      <c r="D102" s="81" t="str">
        <f ca="1">IFERROR(__xludf.DUMMYFUNCTION("""COMPUTED_VALUE"""),"Global Product")</f>
        <v>Global Product</v>
      </c>
      <c r="E102" s="139" t="str">
        <f ca="1">IFERROR(__xludf.DUMMYFUNCTION("""COMPUTED_VALUE"""),"Direct Cost")</f>
        <v>Direct Cost</v>
      </c>
      <c r="F102" s="139" t="str">
        <f ca="1">IFERROR(__xludf.DUMMYFUNCTION("""COMPUTED_VALUE"""),"Travel &amp; Lodging Expenses")</f>
        <v>Travel &amp; Lodging Expenses</v>
      </c>
      <c r="G102" s="139" t="str">
        <f ca="1">IFERROR(__xludf.DUMMYFUNCTION("""COMPUTED_VALUE"""),"Cab/Auto")</f>
        <v>Cab/Auto</v>
      </c>
      <c r="H102" s="141">
        <f ca="1">IFERROR(__xludf.DUMMYFUNCTION("""COMPUTED_VALUE"""),93104)</f>
        <v>93104</v>
      </c>
      <c r="I102" s="140">
        <f ca="1">IFERROR(__xludf.DUMMYFUNCTION("""COMPUTED_VALUE"""),268600)</f>
        <v>268600</v>
      </c>
      <c r="J102" s="140">
        <f ca="1">IFERROR(__xludf.DUMMYFUNCTION("""COMPUTED_VALUE"""),0)</f>
        <v>0</v>
      </c>
      <c r="K102" s="140">
        <f ca="1">IFERROR(__xludf.DUMMYFUNCTION("""COMPUTED_VALUE"""),0)</f>
        <v>0</v>
      </c>
      <c r="L102" s="140">
        <f ca="1">IFERROR(__xludf.DUMMYFUNCTION("""COMPUTED_VALUE"""),60200)</f>
        <v>60200</v>
      </c>
      <c r="M102" s="143">
        <f ca="1">IFERROR(__xludf.DUMMYFUNCTION("""COMPUTED_VALUE"""),70000)</f>
        <v>70000</v>
      </c>
      <c r="N102" s="140">
        <f ca="1">IFERROR(__xludf.DUMMYFUNCTION("""COMPUTED_VALUE"""),85000)</f>
        <v>85000</v>
      </c>
      <c r="O102" s="140">
        <f ca="1">IFERROR(__xludf.DUMMYFUNCTION("""COMPUTED_VALUE"""),25200)</f>
        <v>25200</v>
      </c>
      <c r="P102" s="140">
        <f ca="1">IFERROR(__xludf.DUMMYFUNCTION("""COMPUTED_VALUE"""),0)</f>
        <v>0</v>
      </c>
      <c r="Q102" s="140">
        <f ca="1">IFERROR(__xludf.DUMMYFUNCTION("""COMPUTED_VALUE"""),0)</f>
        <v>0</v>
      </c>
      <c r="R102" s="140">
        <f ca="1">IFERROR(__xludf.DUMMYFUNCTION("""COMPUTED_VALUE"""),28200)</f>
        <v>28200</v>
      </c>
      <c r="S102" s="140">
        <f ca="1">IFERROR(__xludf.DUMMYFUNCTION("""COMPUTED_VALUE"""),0)</f>
        <v>0</v>
      </c>
      <c r="T102" s="140">
        <f ca="1">IFERROR(__xludf.DUMMYFUNCTION("""COMPUTED_VALUE"""),0)</f>
        <v>0</v>
      </c>
      <c r="U102" s="140">
        <f ca="1">IFERROR(__xludf.DUMMYFUNCTION("""COMPUTED_VALUE"""),0)</f>
        <v>0</v>
      </c>
      <c r="V102" s="100"/>
      <c r="W102" s="140">
        <f ca="1">IFERROR(__xludf.DUMMYFUNCTION("""COMPUTED_VALUE"""),268600)</f>
        <v>268600</v>
      </c>
      <c r="X102" s="140"/>
      <c r="Y102" s="147">
        <f t="shared" ca="1" si="4"/>
        <v>0</v>
      </c>
    </row>
    <row r="103" spans="1:25" ht="15.75" customHeight="1" x14ac:dyDescent="0.25">
      <c r="A103" s="148" t="str">
        <f ca="1">IFERROR(__xludf.DUMMYFUNCTION("""COMPUTED_VALUE"""),"India ")</f>
        <v xml:space="preserve">India </v>
      </c>
      <c r="B103" s="81" t="str">
        <f ca="1">IFERROR(__xludf.DUMMYFUNCTION("""COMPUTED_VALUE"""),"NHIPLC")</f>
        <v>NHIPLC</v>
      </c>
      <c r="C103" s="139" t="str">
        <f ca="1">IFERROR(__xludf.DUMMYFUNCTION("""COMPUTED_VALUE"""),"Global Digital Product")</f>
        <v>Global Digital Product</v>
      </c>
      <c r="D103" s="81" t="str">
        <f ca="1">IFERROR(__xludf.DUMMYFUNCTION("""COMPUTED_VALUE"""),"Global Product")</f>
        <v>Global Product</v>
      </c>
      <c r="E103" s="139" t="str">
        <f ca="1">IFERROR(__xludf.DUMMYFUNCTION("""COMPUTED_VALUE"""),"Direct Cost")</f>
        <v>Direct Cost</v>
      </c>
      <c r="F103" s="139" t="str">
        <f ca="1">IFERROR(__xludf.DUMMYFUNCTION("""COMPUTED_VALUE"""),"Travel &amp; Lodging Expenses")</f>
        <v>Travel &amp; Lodging Expenses</v>
      </c>
      <c r="G103" s="139" t="str">
        <f ca="1">IFERROR(__xludf.DUMMYFUNCTION("""COMPUTED_VALUE"""),"Bus/Train")</f>
        <v>Bus/Train</v>
      </c>
      <c r="H103" s="141">
        <f ca="1">IFERROR(__xludf.DUMMYFUNCTION("""COMPUTED_VALUE"""),93105)</f>
        <v>93105</v>
      </c>
      <c r="I103" s="140">
        <f ca="1">IFERROR(__xludf.DUMMYFUNCTION("""COMPUTED_VALUE"""),9000)</f>
        <v>9000</v>
      </c>
      <c r="J103" s="140">
        <f ca="1">IFERROR(__xludf.DUMMYFUNCTION("""COMPUTED_VALUE"""),0)</f>
        <v>0</v>
      </c>
      <c r="K103" s="140">
        <f ca="1">IFERROR(__xludf.DUMMYFUNCTION("""COMPUTED_VALUE"""),0)</f>
        <v>0</v>
      </c>
      <c r="L103" s="140">
        <f ca="1">IFERROR(__xludf.DUMMYFUNCTION("""COMPUTED_VALUE"""),3000)</f>
        <v>3000</v>
      </c>
      <c r="M103" s="143">
        <f ca="1">IFERROR(__xludf.DUMMYFUNCTION("""COMPUTED_VALUE"""),0)</f>
        <v>0</v>
      </c>
      <c r="N103" s="140">
        <f ca="1">IFERROR(__xludf.DUMMYFUNCTION("""COMPUTED_VALUE"""),0)</f>
        <v>0</v>
      </c>
      <c r="O103" s="140">
        <f ca="1">IFERROR(__xludf.DUMMYFUNCTION("""COMPUTED_VALUE"""),3000)</f>
        <v>3000</v>
      </c>
      <c r="P103" s="140">
        <f ca="1">IFERROR(__xludf.DUMMYFUNCTION("""COMPUTED_VALUE"""),0)</f>
        <v>0</v>
      </c>
      <c r="Q103" s="140">
        <f ca="1">IFERROR(__xludf.DUMMYFUNCTION("""COMPUTED_VALUE"""),0)</f>
        <v>0</v>
      </c>
      <c r="R103" s="140">
        <f ca="1">IFERROR(__xludf.DUMMYFUNCTION("""COMPUTED_VALUE"""),3000)</f>
        <v>3000</v>
      </c>
      <c r="S103" s="140">
        <f ca="1">IFERROR(__xludf.DUMMYFUNCTION("""COMPUTED_VALUE"""),0)</f>
        <v>0</v>
      </c>
      <c r="T103" s="140">
        <f ca="1">IFERROR(__xludf.DUMMYFUNCTION("""COMPUTED_VALUE"""),0)</f>
        <v>0</v>
      </c>
      <c r="U103" s="140">
        <f ca="1">IFERROR(__xludf.DUMMYFUNCTION("""COMPUTED_VALUE"""),0)</f>
        <v>0</v>
      </c>
      <c r="V103" s="100"/>
      <c r="W103" s="140">
        <f ca="1">IFERROR(__xludf.DUMMYFUNCTION("""COMPUTED_VALUE"""),9000)</f>
        <v>9000</v>
      </c>
      <c r="X103" s="140"/>
      <c r="Y103" s="147">
        <f t="shared" ca="1" si="4"/>
        <v>0</v>
      </c>
    </row>
    <row r="104" spans="1:25" ht="15.75" customHeight="1" x14ac:dyDescent="0.25">
      <c r="A104" s="148" t="str">
        <f ca="1">IFERROR(__xludf.DUMMYFUNCTION("""COMPUTED_VALUE"""),"India ")</f>
        <v xml:space="preserve">India </v>
      </c>
      <c r="B104" s="81" t="str">
        <f ca="1">IFERROR(__xludf.DUMMYFUNCTION("""COMPUTED_VALUE"""),"NHIPLC")</f>
        <v>NHIPLC</v>
      </c>
      <c r="C104" s="139" t="str">
        <f ca="1">IFERROR(__xludf.DUMMYFUNCTION("""COMPUTED_VALUE"""),"Global Digital Product")</f>
        <v>Global Digital Product</v>
      </c>
      <c r="D104" s="81" t="str">
        <f ca="1">IFERROR(__xludf.DUMMYFUNCTION("""COMPUTED_VALUE"""),"Global Product")</f>
        <v>Global Product</v>
      </c>
      <c r="E104" s="139" t="str">
        <f ca="1">IFERROR(__xludf.DUMMYFUNCTION("""COMPUTED_VALUE"""),"Direct Cost")</f>
        <v>Direct Cost</v>
      </c>
      <c r="F104" s="139" t="str">
        <f ca="1">IFERROR(__xludf.DUMMYFUNCTION("""COMPUTED_VALUE"""),"Travel &amp; Lodging Expenses")</f>
        <v>Travel &amp; Lodging Expenses</v>
      </c>
      <c r="G104" s="139" t="str">
        <f ca="1">IFERROR(__xludf.DUMMYFUNCTION("""COMPUTED_VALUE"""),"Other incidental travel costs")</f>
        <v>Other incidental travel costs</v>
      </c>
      <c r="H104" s="141">
        <f ca="1">IFERROR(__xludf.DUMMYFUNCTION("""COMPUTED_VALUE"""),93106)</f>
        <v>93106</v>
      </c>
      <c r="I104" s="140">
        <f ca="1">IFERROR(__xludf.DUMMYFUNCTION("""COMPUTED_VALUE"""),71000)</f>
        <v>71000</v>
      </c>
      <c r="J104" s="140">
        <f ca="1">IFERROR(__xludf.DUMMYFUNCTION("""COMPUTED_VALUE"""),0)</f>
        <v>0</v>
      </c>
      <c r="K104" s="140">
        <f ca="1">IFERROR(__xludf.DUMMYFUNCTION("""COMPUTED_VALUE"""),0)</f>
        <v>0</v>
      </c>
      <c r="L104" s="140">
        <f ca="1">IFERROR(__xludf.DUMMYFUNCTION("""COMPUTED_VALUE"""),4400)</f>
        <v>4400</v>
      </c>
      <c r="M104" s="143">
        <f ca="1">IFERROR(__xludf.DUMMYFUNCTION("""COMPUTED_VALUE"""),17000)</f>
        <v>17000</v>
      </c>
      <c r="N104" s="140">
        <f ca="1">IFERROR(__xludf.DUMMYFUNCTION("""COMPUTED_VALUE"""),45200)</f>
        <v>45200</v>
      </c>
      <c r="O104" s="140">
        <f ca="1">IFERROR(__xludf.DUMMYFUNCTION("""COMPUTED_VALUE"""),1400)</f>
        <v>1400</v>
      </c>
      <c r="P104" s="140">
        <f ca="1">IFERROR(__xludf.DUMMYFUNCTION("""COMPUTED_VALUE"""),0)</f>
        <v>0</v>
      </c>
      <c r="Q104" s="140">
        <f ca="1">IFERROR(__xludf.DUMMYFUNCTION("""COMPUTED_VALUE"""),0)</f>
        <v>0</v>
      </c>
      <c r="R104" s="140">
        <f ca="1">IFERROR(__xludf.DUMMYFUNCTION("""COMPUTED_VALUE"""),3000)</f>
        <v>3000</v>
      </c>
      <c r="S104" s="140">
        <f ca="1">IFERROR(__xludf.DUMMYFUNCTION("""COMPUTED_VALUE"""),0)</f>
        <v>0</v>
      </c>
      <c r="T104" s="140">
        <f ca="1">IFERROR(__xludf.DUMMYFUNCTION("""COMPUTED_VALUE"""),0)</f>
        <v>0</v>
      </c>
      <c r="U104" s="140">
        <f ca="1">IFERROR(__xludf.DUMMYFUNCTION("""COMPUTED_VALUE"""),0)</f>
        <v>0</v>
      </c>
      <c r="V104" s="100"/>
      <c r="W104" s="140">
        <f ca="1">IFERROR(__xludf.DUMMYFUNCTION("""COMPUTED_VALUE"""),71000)</f>
        <v>71000</v>
      </c>
      <c r="X104" s="140"/>
      <c r="Y104" s="147">
        <f t="shared" ca="1" si="4"/>
        <v>0</v>
      </c>
    </row>
    <row r="105" spans="1:25" ht="15.75" customHeight="1" x14ac:dyDescent="0.25">
      <c r="A105" s="148" t="str">
        <f ca="1">IFERROR(__xludf.DUMMYFUNCTION("""COMPUTED_VALUE"""),"India ")</f>
        <v xml:space="preserve">India </v>
      </c>
      <c r="B105" s="81" t="str">
        <f ca="1">IFERROR(__xludf.DUMMYFUNCTION("""COMPUTED_VALUE"""),"NHIPLC")</f>
        <v>NHIPLC</v>
      </c>
      <c r="C105" s="139" t="str">
        <f ca="1">IFERROR(__xludf.DUMMYFUNCTION("""COMPUTED_VALUE"""),"Global Digital Product")</f>
        <v>Global Digital Product</v>
      </c>
      <c r="D105" s="81" t="str">
        <f ca="1">IFERROR(__xludf.DUMMYFUNCTION("""COMPUTED_VALUE"""),"Global Product")</f>
        <v>Global Product</v>
      </c>
      <c r="E105" s="139" t="str">
        <f ca="1">IFERROR(__xludf.DUMMYFUNCTION("""COMPUTED_VALUE"""),"Direct Cost")</f>
        <v>Direct Cost</v>
      </c>
      <c r="F105" s="139" t="str">
        <f ca="1">IFERROR(__xludf.DUMMYFUNCTION("""COMPUTED_VALUE"""),"Supplies &amp; Printing Costs")</f>
        <v>Supplies &amp; Printing Costs</v>
      </c>
      <c r="G105" s="139" t="str">
        <f ca="1">IFERROR(__xludf.DUMMYFUNCTION("""COMPUTED_VALUE"""),"Other Direct Expenses")</f>
        <v>Other Direct Expenses</v>
      </c>
      <c r="H105" s="141">
        <f ca="1">IFERROR(__xludf.DUMMYFUNCTION("""COMPUTED_VALUE"""),93201)</f>
        <v>93201</v>
      </c>
      <c r="I105" s="140">
        <f ca="1">IFERROR(__xludf.DUMMYFUNCTION("""COMPUTED_VALUE"""),0)</f>
        <v>0</v>
      </c>
      <c r="J105" s="140">
        <f ca="1">IFERROR(__xludf.DUMMYFUNCTION("""COMPUTED_VALUE"""),0)</f>
        <v>0</v>
      </c>
      <c r="K105" s="140">
        <f ca="1">IFERROR(__xludf.DUMMYFUNCTION("""COMPUTED_VALUE"""),0)</f>
        <v>0</v>
      </c>
      <c r="L105" s="140">
        <f ca="1">IFERROR(__xludf.DUMMYFUNCTION("""COMPUTED_VALUE"""),0)</f>
        <v>0</v>
      </c>
      <c r="M105" s="143">
        <f ca="1">IFERROR(__xludf.DUMMYFUNCTION("""COMPUTED_VALUE"""),0)</f>
        <v>0</v>
      </c>
      <c r="N105" s="140">
        <f ca="1">IFERROR(__xludf.DUMMYFUNCTION("""COMPUTED_VALUE"""),0)</f>
        <v>0</v>
      </c>
      <c r="O105" s="140">
        <f ca="1">IFERROR(__xludf.DUMMYFUNCTION("""COMPUTED_VALUE"""),0)</f>
        <v>0</v>
      </c>
      <c r="P105" s="140">
        <f ca="1">IFERROR(__xludf.DUMMYFUNCTION("""COMPUTED_VALUE"""),0)</f>
        <v>0</v>
      </c>
      <c r="Q105" s="140">
        <f ca="1">IFERROR(__xludf.DUMMYFUNCTION("""COMPUTED_VALUE"""),0)</f>
        <v>0</v>
      </c>
      <c r="R105" s="140">
        <f ca="1">IFERROR(__xludf.DUMMYFUNCTION("""COMPUTED_VALUE"""),0)</f>
        <v>0</v>
      </c>
      <c r="S105" s="140">
        <f ca="1">IFERROR(__xludf.DUMMYFUNCTION("""COMPUTED_VALUE"""),0)</f>
        <v>0</v>
      </c>
      <c r="T105" s="140">
        <f ca="1">IFERROR(__xludf.DUMMYFUNCTION("""COMPUTED_VALUE"""),0)</f>
        <v>0</v>
      </c>
      <c r="U105" s="140">
        <f ca="1">IFERROR(__xludf.DUMMYFUNCTION("""COMPUTED_VALUE"""),0)</f>
        <v>0</v>
      </c>
      <c r="V105" s="100"/>
      <c r="W105" s="140">
        <f ca="1">IFERROR(__xludf.DUMMYFUNCTION("""COMPUTED_VALUE"""),0)</f>
        <v>0</v>
      </c>
      <c r="X105" s="140"/>
      <c r="Y105" s="147">
        <f t="shared" ca="1" si="4"/>
        <v>0</v>
      </c>
    </row>
    <row r="106" spans="1:25" ht="15.75" customHeight="1" x14ac:dyDescent="0.25">
      <c r="A106" s="148" t="str">
        <f ca="1">IFERROR(__xludf.DUMMYFUNCTION("""COMPUTED_VALUE"""),"India ")</f>
        <v xml:space="preserve">India </v>
      </c>
      <c r="B106" s="81" t="str">
        <f ca="1">IFERROR(__xludf.DUMMYFUNCTION("""COMPUTED_VALUE"""),"NHIPLC")</f>
        <v>NHIPLC</v>
      </c>
      <c r="C106" s="139" t="str">
        <f ca="1">IFERROR(__xludf.DUMMYFUNCTION("""COMPUTED_VALUE"""),"Global Digital Product")</f>
        <v>Global Digital Product</v>
      </c>
      <c r="D106" s="81" t="str">
        <f ca="1">IFERROR(__xludf.DUMMYFUNCTION("""COMPUTED_VALUE"""),"Global Product")</f>
        <v>Global Product</v>
      </c>
      <c r="E106" s="139" t="str">
        <f ca="1">IFERROR(__xludf.DUMMYFUNCTION("""COMPUTED_VALUE"""),"Direct Cost")</f>
        <v>Direct Cost</v>
      </c>
      <c r="F106" s="139" t="str">
        <f ca="1">IFERROR(__xludf.DUMMYFUNCTION("""COMPUTED_VALUE"""),"Supplies &amp; Printing Costs")</f>
        <v>Supplies &amp; Printing Costs</v>
      </c>
      <c r="G106" s="139" t="str">
        <f ca="1">IFERROR(__xludf.DUMMYFUNCTION("""COMPUTED_VALUE"""),"Printing expenses")</f>
        <v>Printing expenses</v>
      </c>
      <c r="H106" s="141">
        <f ca="1">IFERROR(__xludf.DUMMYFUNCTION("""COMPUTED_VALUE"""),93204)</f>
        <v>93204</v>
      </c>
      <c r="I106" s="140">
        <f ca="1">IFERROR(__xludf.DUMMYFUNCTION("""COMPUTED_VALUE"""),0)</f>
        <v>0</v>
      </c>
      <c r="J106" s="140">
        <f ca="1">IFERROR(__xludf.DUMMYFUNCTION("""COMPUTED_VALUE"""),0)</f>
        <v>0</v>
      </c>
      <c r="K106" s="140">
        <f ca="1">IFERROR(__xludf.DUMMYFUNCTION("""COMPUTED_VALUE"""),0)</f>
        <v>0</v>
      </c>
      <c r="L106" s="140">
        <f ca="1">IFERROR(__xludf.DUMMYFUNCTION("""COMPUTED_VALUE"""),0)</f>
        <v>0</v>
      </c>
      <c r="M106" s="143">
        <f ca="1">IFERROR(__xludf.DUMMYFUNCTION("""COMPUTED_VALUE"""),0)</f>
        <v>0</v>
      </c>
      <c r="N106" s="140">
        <f ca="1">IFERROR(__xludf.DUMMYFUNCTION("""COMPUTED_VALUE"""),0)</f>
        <v>0</v>
      </c>
      <c r="O106" s="140">
        <f ca="1">IFERROR(__xludf.DUMMYFUNCTION("""COMPUTED_VALUE"""),0)</f>
        <v>0</v>
      </c>
      <c r="P106" s="140">
        <f ca="1">IFERROR(__xludf.DUMMYFUNCTION("""COMPUTED_VALUE"""),0)</f>
        <v>0</v>
      </c>
      <c r="Q106" s="140">
        <f ca="1">IFERROR(__xludf.DUMMYFUNCTION("""COMPUTED_VALUE"""),0)</f>
        <v>0</v>
      </c>
      <c r="R106" s="140">
        <f ca="1">IFERROR(__xludf.DUMMYFUNCTION("""COMPUTED_VALUE"""),0)</f>
        <v>0</v>
      </c>
      <c r="S106" s="140">
        <f ca="1">IFERROR(__xludf.DUMMYFUNCTION("""COMPUTED_VALUE"""),0)</f>
        <v>0</v>
      </c>
      <c r="T106" s="140">
        <f ca="1">IFERROR(__xludf.DUMMYFUNCTION("""COMPUTED_VALUE"""),0)</f>
        <v>0</v>
      </c>
      <c r="U106" s="140">
        <f ca="1">IFERROR(__xludf.DUMMYFUNCTION("""COMPUTED_VALUE"""),0)</f>
        <v>0</v>
      </c>
      <c r="V106" s="100"/>
      <c r="W106" s="140">
        <f ca="1">IFERROR(__xludf.DUMMYFUNCTION("""COMPUTED_VALUE"""),0)</f>
        <v>0</v>
      </c>
      <c r="X106" s="140"/>
      <c r="Y106" s="147">
        <f t="shared" ca="1" si="4"/>
        <v>0</v>
      </c>
    </row>
    <row r="107" spans="1:25" ht="15.75" customHeight="1" x14ac:dyDescent="0.25">
      <c r="A107" s="148" t="str">
        <f ca="1">IFERROR(__xludf.DUMMYFUNCTION("""COMPUTED_VALUE"""),"India ")</f>
        <v xml:space="preserve">India </v>
      </c>
      <c r="B107" s="81" t="str">
        <f ca="1">IFERROR(__xludf.DUMMYFUNCTION("""COMPUTED_VALUE"""),"NHIPLC")</f>
        <v>NHIPLC</v>
      </c>
      <c r="C107" s="139" t="str">
        <f ca="1">IFERROR(__xludf.DUMMYFUNCTION("""COMPUTED_VALUE"""),"Global Digital Product")</f>
        <v>Global Digital Product</v>
      </c>
      <c r="D107" s="81" t="str">
        <f ca="1">IFERROR(__xludf.DUMMYFUNCTION("""COMPUTED_VALUE"""),"Global Product")</f>
        <v>Global Product</v>
      </c>
      <c r="E107" s="139" t="str">
        <f ca="1">IFERROR(__xludf.DUMMYFUNCTION("""COMPUTED_VALUE"""),"Direct Cost")</f>
        <v>Direct Cost</v>
      </c>
      <c r="F107" s="139" t="str">
        <f ca="1">IFERROR(__xludf.DUMMYFUNCTION("""COMPUTED_VALUE"""),"Communication Cost")</f>
        <v>Communication Cost</v>
      </c>
      <c r="G107" s="139" t="str">
        <f ca="1">IFERROR(__xludf.DUMMYFUNCTION("""COMPUTED_VALUE"""),"Internet Expenses")</f>
        <v>Internet Expenses</v>
      </c>
      <c r="H107" s="141">
        <f ca="1">IFERROR(__xludf.DUMMYFUNCTION("""COMPUTED_VALUE"""),93301)</f>
        <v>93301</v>
      </c>
      <c r="I107" s="140">
        <f ca="1">IFERROR(__xludf.DUMMYFUNCTION("""COMPUTED_VALUE"""),0)</f>
        <v>0</v>
      </c>
      <c r="J107" s="140">
        <f ca="1">IFERROR(__xludf.DUMMYFUNCTION("""COMPUTED_VALUE"""),0)</f>
        <v>0</v>
      </c>
      <c r="K107" s="140">
        <f ca="1">IFERROR(__xludf.DUMMYFUNCTION("""COMPUTED_VALUE"""),0)</f>
        <v>0</v>
      </c>
      <c r="L107" s="140">
        <f ca="1">IFERROR(__xludf.DUMMYFUNCTION("""COMPUTED_VALUE"""),0)</f>
        <v>0</v>
      </c>
      <c r="M107" s="143">
        <f ca="1">IFERROR(__xludf.DUMMYFUNCTION("""COMPUTED_VALUE"""),0)</f>
        <v>0</v>
      </c>
      <c r="N107" s="140">
        <f ca="1">IFERROR(__xludf.DUMMYFUNCTION("""COMPUTED_VALUE"""),0)</f>
        <v>0</v>
      </c>
      <c r="O107" s="140">
        <f ca="1">IFERROR(__xludf.DUMMYFUNCTION("""COMPUTED_VALUE"""),0)</f>
        <v>0</v>
      </c>
      <c r="P107" s="140">
        <f ca="1">IFERROR(__xludf.DUMMYFUNCTION("""COMPUTED_VALUE"""),0)</f>
        <v>0</v>
      </c>
      <c r="Q107" s="140">
        <f ca="1">IFERROR(__xludf.DUMMYFUNCTION("""COMPUTED_VALUE"""),0)</f>
        <v>0</v>
      </c>
      <c r="R107" s="140">
        <f ca="1">IFERROR(__xludf.DUMMYFUNCTION("""COMPUTED_VALUE"""),0)</f>
        <v>0</v>
      </c>
      <c r="S107" s="140">
        <f ca="1">IFERROR(__xludf.DUMMYFUNCTION("""COMPUTED_VALUE"""),0)</f>
        <v>0</v>
      </c>
      <c r="T107" s="140">
        <f ca="1">IFERROR(__xludf.DUMMYFUNCTION("""COMPUTED_VALUE"""),0)</f>
        <v>0</v>
      </c>
      <c r="U107" s="140">
        <f ca="1">IFERROR(__xludf.DUMMYFUNCTION("""COMPUTED_VALUE"""),0)</f>
        <v>0</v>
      </c>
      <c r="V107" s="100"/>
      <c r="W107" s="140">
        <f ca="1">IFERROR(__xludf.DUMMYFUNCTION("""COMPUTED_VALUE"""),0)</f>
        <v>0</v>
      </c>
      <c r="X107" s="140"/>
      <c r="Y107" s="147">
        <f t="shared" ca="1" si="4"/>
        <v>0</v>
      </c>
    </row>
    <row r="108" spans="1:25" ht="15.75" customHeight="1" x14ac:dyDescent="0.25">
      <c r="A108" s="148" t="str">
        <f ca="1">IFERROR(__xludf.DUMMYFUNCTION("""COMPUTED_VALUE"""),"India ")</f>
        <v xml:space="preserve">India </v>
      </c>
      <c r="B108" s="81" t="str">
        <f ca="1">IFERROR(__xludf.DUMMYFUNCTION("""COMPUTED_VALUE"""),"NHIPLC")</f>
        <v>NHIPLC</v>
      </c>
      <c r="C108" s="139" t="str">
        <f ca="1">IFERROR(__xludf.DUMMYFUNCTION("""COMPUTED_VALUE"""),"Global Digital Product")</f>
        <v>Global Digital Product</v>
      </c>
      <c r="D108" s="81" t="str">
        <f ca="1">IFERROR(__xludf.DUMMYFUNCTION("""COMPUTED_VALUE"""),"Global Product")</f>
        <v>Global Product</v>
      </c>
      <c r="E108" s="139" t="str">
        <f ca="1">IFERROR(__xludf.DUMMYFUNCTION("""COMPUTED_VALUE"""),"Direct Cost")</f>
        <v>Direct Cost</v>
      </c>
      <c r="F108" s="139" t="str">
        <f ca="1">IFERROR(__xludf.DUMMYFUNCTION("""COMPUTED_VALUE"""),"Communication Cost")</f>
        <v>Communication Cost</v>
      </c>
      <c r="G108" s="139" t="str">
        <f ca="1">IFERROR(__xludf.DUMMYFUNCTION("""COMPUTED_VALUE"""),"Postage &amp; Courier Expenses")</f>
        <v>Postage &amp; Courier Expenses</v>
      </c>
      <c r="H108" s="141">
        <f ca="1">IFERROR(__xludf.DUMMYFUNCTION("""COMPUTED_VALUE"""),93302)</f>
        <v>93302</v>
      </c>
      <c r="I108" s="140">
        <f ca="1">IFERROR(__xludf.DUMMYFUNCTION("""COMPUTED_VALUE"""),0)</f>
        <v>0</v>
      </c>
      <c r="J108" s="140">
        <f ca="1">IFERROR(__xludf.DUMMYFUNCTION("""COMPUTED_VALUE"""),0)</f>
        <v>0</v>
      </c>
      <c r="K108" s="140">
        <f ca="1">IFERROR(__xludf.DUMMYFUNCTION("""COMPUTED_VALUE"""),0)</f>
        <v>0</v>
      </c>
      <c r="L108" s="140">
        <f ca="1">IFERROR(__xludf.DUMMYFUNCTION("""COMPUTED_VALUE"""),0)</f>
        <v>0</v>
      </c>
      <c r="M108" s="143">
        <f ca="1">IFERROR(__xludf.DUMMYFUNCTION("""COMPUTED_VALUE"""),0)</f>
        <v>0</v>
      </c>
      <c r="N108" s="140">
        <f ca="1">IFERROR(__xludf.DUMMYFUNCTION("""COMPUTED_VALUE"""),0)</f>
        <v>0</v>
      </c>
      <c r="O108" s="140">
        <f ca="1">IFERROR(__xludf.DUMMYFUNCTION("""COMPUTED_VALUE"""),0)</f>
        <v>0</v>
      </c>
      <c r="P108" s="140">
        <f ca="1">IFERROR(__xludf.DUMMYFUNCTION("""COMPUTED_VALUE"""),0)</f>
        <v>0</v>
      </c>
      <c r="Q108" s="140">
        <f ca="1">IFERROR(__xludf.DUMMYFUNCTION("""COMPUTED_VALUE"""),0)</f>
        <v>0</v>
      </c>
      <c r="R108" s="140">
        <f ca="1">IFERROR(__xludf.DUMMYFUNCTION("""COMPUTED_VALUE"""),0)</f>
        <v>0</v>
      </c>
      <c r="S108" s="140">
        <f ca="1">IFERROR(__xludf.DUMMYFUNCTION("""COMPUTED_VALUE"""),0)</f>
        <v>0</v>
      </c>
      <c r="T108" s="140">
        <f ca="1">IFERROR(__xludf.DUMMYFUNCTION("""COMPUTED_VALUE"""),0)</f>
        <v>0</v>
      </c>
      <c r="U108" s="140">
        <f ca="1">IFERROR(__xludf.DUMMYFUNCTION("""COMPUTED_VALUE"""),0)</f>
        <v>0</v>
      </c>
      <c r="V108" s="100"/>
      <c r="W108" s="140">
        <f ca="1">IFERROR(__xludf.DUMMYFUNCTION("""COMPUTED_VALUE"""),0)</f>
        <v>0</v>
      </c>
      <c r="X108" s="140"/>
      <c r="Y108" s="147">
        <f t="shared" ca="1" si="4"/>
        <v>0</v>
      </c>
    </row>
    <row r="109" spans="1:25" ht="15.75" customHeight="1" x14ac:dyDescent="0.25">
      <c r="A109" s="148" t="str">
        <f ca="1">IFERROR(__xludf.DUMMYFUNCTION("""COMPUTED_VALUE"""),"India ")</f>
        <v xml:space="preserve">India </v>
      </c>
      <c r="B109" s="81" t="str">
        <f ca="1">IFERROR(__xludf.DUMMYFUNCTION("""COMPUTED_VALUE"""),"NHIPLC")</f>
        <v>NHIPLC</v>
      </c>
      <c r="C109" s="139" t="str">
        <f ca="1">IFERROR(__xludf.DUMMYFUNCTION("""COMPUTED_VALUE"""),"Global Digital Product")</f>
        <v>Global Digital Product</v>
      </c>
      <c r="D109" s="81" t="str">
        <f ca="1">IFERROR(__xludf.DUMMYFUNCTION("""COMPUTED_VALUE"""),"Global Product")</f>
        <v>Global Product</v>
      </c>
      <c r="E109" s="139" t="str">
        <f ca="1">IFERROR(__xludf.DUMMYFUNCTION("""COMPUTED_VALUE"""),"Direct Cost")</f>
        <v>Direct Cost</v>
      </c>
      <c r="F109" s="139" t="str">
        <f ca="1">IFERROR(__xludf.DUMMYFUNCTION("""COMPUTED_VALUE"""),"Communication Cost")</f>
        <v>Communication Cost</v>
      </c>
      <c r="G109" s="139" t="str">
        <f ca="1">IFERROR(__xludf.DUMMYFUNCTION("""COMPUTED_VALUE"""),"Telecommunication expenses")</f>
        <v>Telecommunication expenses</v>
      </c>
      <c r="H109" s="141">
        <f ca="1">IFERROR(__xludf.DUMMYFUNCTION("""COMPUTED_VALUE"""),93303)</f>
        <v>93303</v>
      </c>
      <c r="I109" s="140">
        <f ca="1">IFERROR(__xludf.DUMMYFUNCTION("""COMPUTED_VALUE"""),0)</f>
        <v>0</v>
      </c>
      <c r="J109" s="140">
        <f ca="1">IFERROR(__xludf.DUMMYFUNCTION("""COMPUTED_VALUE"""),0)</f>
        <v>0</v>
      </c>
      <c r="K109" s="140">
        <f ca="1">IFERROR(__xludf.DUMMYFUNCTION("""COMPUTED_VALUE"""),0)</f>
        <v>0</v>
      </c>
      <c r="L109" s="140">
        <f ca="1">IFERROR(__xludf.DUMMYFUNCTION("""COMPUTED_VALUE"""),0)</f>
        <v>0</v>
      </c>
      <c r="M109" s="143">
        <f ca="1">IFERROR(__xludf.DUMMYFUNCTION("""COMPUTED_VALUE"""),0)</f>
        <v>0</v>
      </c>
      <c r="N109" s="140">
        <f ca="1">IFERROR(__xludf.DUMMYFUNCTION("""COMPUTED_VALUE"""),0)</f>
        <v>0</v>
      </c>
      <c r="O109" s="140">
        <f ca="1">IFERROR(__xludf.DUMMYFUNCTION("""COMPUTED_VALUE"""),0)</f>
        <v>0</v>
      </c>
      <c r="P109" s="140">
        <f ca="1">IFERROR(__xludf.DUMMYFUNCTION("""COMPUTED_VALUE"""),0)</f>
        <v>0</v>
      </c>
      <c r="Q109" s="140">
        <f ca="1">IFERROR(__xludf.DUMMYFUNCTION("""COMPUTED_VALUE"""),0)</f>
        <v>0</v>
      </c>
      <c r="R109" s="140">
        <f ca="1">IFERROR(__xludf.DUMMYFUNCTION("""COMPUTED_VALUE"""),0)</f>
        <v>0</v>
      </c>
      <c r="S109" s="140">
        <f ca="1">IFERROR(__xludf.DUMMYFUNCTION("""COMPUTED_VALUE"""),0)</f>
        <v>0</v>
      </c>
      <c r="T109" s="140">
        <f ca="1">IFERROR(__xludf.DUMMYFUNCTION("""COMPUTED_VALUE"""),0)</f>
        <v>0</v>
      </c>
      <c r="U109" s="140">
        <f ca="1">IFERROR(__xludf.DUMMYFUNCTION("""COMPUTED_VALUE"""),0)</f>
        <v>0</v>
      </c>
      <c r="V109" s="100"/>
      <c r="W109" s="140">
        <f ca="1">IFERROR(__xludf.DUMMYFUNCTION("""COMPUTED_VALUE"""),0)</f>
        <v>0</v>
      </c>
      <c r="X109" s="140"/>
      <c r="Y109" s="147">
        <f t="shared" ca="1" si="4"/>
        <v>0</v>
      </c>
    </row>
    <row r="110" spans="1:25" ht="15.75" customHeight="1" x14ac:dyDescent="0.25">
      <c r="A110" s="148" t="str">
        <f ca="1">IFERROR(__xludf.DUMMYFUNCTION("""COMPUTED_VALUE"""),"India ")</f>
        <v xml:space="preserve">India </v>
      </c>
      <c r="B110" s="81" t="str">
        <f ca="1">IFERROR(__xludf.DUMMYFUNCTION("""COMPUTED_VALUE"""),"NHIPLC")</f>
        <v>NHIPLC</v>
      </c>
      <c r="C110" s="139" t="str">
        <f ca="1">IFERROR(__xludf.DUMMYFUNCTION("""COMPUTED_VALUE"""),"Global Digital Product")</f>
        <v>Global Digital Product</v>
      </c>
      <c r="D110" s="81" t="str">
        <f ca="1">IFERROR(__xludf.DUMMYFUNCTION("""COMPUTED_VALUE"""),"Global Product")</f>
        <v>Global Product</v>
      </c>
      <c r="E110" s="139" t="str">
        <f ca="1">IFERROR(__xludf.DUMMYFUNCTION("""COMPUTED_VALUE"""),"Direct Cost")</f>
        <v>Direct Cost</v>
      </c>
      <c r="F110" s="139" t="str">
        <f ca="1">IFERROR(__xludf.DUMMYFUNCTION("""COMPUTED_VALUE"""),"Office Expenses")</f>
        <v>Office Expenses</v>
      </c>
      <c r="G110" s="139" t="str">
        <f ca="1">IFERROR(__xludf.DUMMYFUNCTION("""COMPUTED_VALUE"""),"Software and Subscriptions")</f>
        <v>Software and Subscriptions</v>
      </c>
      <c r="H110" s="141">
        <f ca="1">IFERROR(__xludf.DUMMYFUNCTION("""COMPUTED_VALUE"""),93401)</f>
        <v>93401</v>
      </c>
      <c r="I110" s="140">
        <f ca="1">IFERROR(__xludf.DUMMYFUNCTION("""COMPUTED_VALUE"""),0)</f>
        <v>0</v>
      </c>
      <c r="J110" s="140"/>
      <c r="K110" s="140"/>
      <c r="L110" s="140"/>
      <c r="M110" s="143"/>
      <c r="N110" s="140"/>
      <c r="O110" s="140"/>
      <c r="P110" s="140"/>
      <c r="Q110" s="140"/>
      <c r="R110" s="140"/>
      <c r="S110" s="140"/>
      <c r="T110" s="140"/>
      <c r="U110" s="140"/>
      <c r="V110" s="100"/>
      <c r="W110" s="140">
        <f ca="1">IFERROR(__xludf.DUMMYFUNCTION("""COMPUTED_VALUE"""),0)</f>
        <v>0</v>
      </c>
      <c r="X110" s="140"/>
      <c r="Y110" s="147">
        <f t="shared" ca="1" si="4"/>
        <v>0</v>
      </c>
    </row>
    <row r="111" spans="1:25" ht="15.75" customHeight="1" x14ac:dyDescent="0.25">
      <c r="A111" s="148" t="str">
        <f ca="1">IFERROR(__xludf.DUMMYFUNCTION("""COMPUTED_VALUE"""),"India ")</f>
        <v xml:space="preserve">India </v>
      </c>
      <c r="B111" s="81" t="str">
        <f ca="1">IFERROR(__xludf.DUMMYFUNCTION("""COMPUTED_VALUE"""),"NHIPLC")</f>
        <v>NHIPLC</v>
      </c>
      <c r="C111" s="139" t="str">
        <f ca="1">IFERROR(__xludf.DUMMYFUNCTION("""COMPUTED_VALUE"""),"Global Digital Product")</f>
        <v>Global Digital Product</v>
      </c>
      <c r="D111" s="81" t="str">
        <f ca="1">IFERROR(__xludf.DUMMYFUNCTION("""COMPUTED_VALUE"""),"Global Product")</f>
        <v>Global Product</v>
      </c>
      <c r="E111" s="139" t="str">
        <f ca="1">IFERROR(__xludf.DUMMYFUNCTION("""COMPUTED_VALUE"""),"Direct Cost")</f>
        <v>Direct Cost</v>
      </c>
      <c r="F111" s="139" t="str">
        <f ca="1">IFERROR(__xludf.DUMMYFUNCTION("""COMPUTED_VALUE"""),"Office Expenses")</f>
        <v>Office Expenses</v>
      </c>
      <c r="G111" s="139" t="str">
        <f ca="1">IFERROR(__xludf.DUMMYFUNCTION("""COMPUTED_VALUE"""),"Stationery &amp; Consumables")</f>
        <v>Stationery &amp; Consumables</v>
      </c>
      <c r="H111" s="141">
        <f ca="1">IFERROR(__xludf.DUMMYFUNCTION("""COMPUTED_VALUE"""),93404)</f>
        <v>93404</v>
      </c>
      <c r="I111" s="140">
        <f ca="1">IFERROR(__xludf.DUMMYFUNCTION("""COMPUTED_VALUE"""),0)</f>
        <v>0</v>
      </c>
      <c r="J111" s="140">
        <f ca="1">IFERROR(__xludf.DUMMYFUNCTION("""COMPUTED_VALUE"""),0)</f>
        <v>0</v>
      </c>
      <c r="K111" s="140">
        <f ca="1">IFERROR(__xludf.DUMMYFUNCTION("""COMPUTED_VALUE"""),0)</f>
        <v>0</v>
      </c>
      <c r="L111" s="140">
        <f ca="1">IFERROR(__xludf.DUMMYFUNCTION("""COMPUTED_VALUE"""),0)</f>
        <v>0</v>
      </c>
      <c r="M111" s="143">
        <f ca="1">IFERROR(__xludf.DUMMYFUNCTION("""COMPUTED_VALUE"""),0)</f>
        <v>0</v>
      </c>
      <c r="N111" s="140">
        <f ca="1">IFERROR(__xludf.DUMMYFUNCTION("""COMPUTED_VALUE"""),0)</f>
        <v>0</v>
      </c>
      <c r="O111" s="140">
        <f ca="1">IFERROR(__xludf.DUMMYFUNCTION("""COMPUTED_VALUE"""),0)</f>
        <v>0</v>
      </c>
      <c r="P111" s="140">
        <f ca="1">IFERROR(__xludf.DUMMYFUNCTION("""COMPUTED_VALUE"""),0)</f>
        <v>0</v>
      </c>
      <c r="Q111" s="140">
        <f ca="1">IFERROR(__xludf.DUMMYFUNCTION("""COMPUTED_VALUE"""),0)</f>
        <v>0</v>
      </c>
      <c r="R111" s="140">
        <f ca="1">IFERROR(__xludf.DUMMYFUNCTION("""COMPUTED_VALUE"""),0)</f>
        <v>0</v>
      </c>
      <c r="S111" s="140">
        <f ca="1">IFERROR(__xludf.DUMMYFUNCTION("""COMPUTED_VALUE"""),0)</f>
        <v>0</v>
      </c>
      <c r="T111" s="140">
        <f ca="1">IFERROR(__xludf.DUMMYFUNCTION("""COMPUTED_VALUE"""),0)</f>
        <v>0</v>
      </c>
      <c r="U111" s="140">
        <f ca="1">IFERROR(__xludf.DUMMYFUNCTION("""COMPUTED_VALUE"""),0)</f>
        <v>0</v>
      </c>
      <c r="V111" s="100"/>
      <c r="W111" s="140">
        <f ca="1">IFERROR(__xludf.DUMMYFUNCTION("""COMPUTED_VALUE"""),0)</f>
        <v>0</v>
      </c>
      <c r="X111" s="140"/>
      <c r="Y111" s="147">
        <f t="shared" ca="1" si="4"/>
        <v>0</v>
      </c>
    </row>
    <row r="112" spans="1:25" ht="15.75" customHeight="1" x14ac:dyDescent="0.25">
      <c r="A112" s="148" t="str">
        <f ca="1">IFERROR(__xludf.DUMMYFUNCTION("""COMPUTED_VALUE"""),"India ")</f>
        <v xml:space="preserve">India </v>
      </c>
      <c r="B112" s="81" t="str">
        <f ca="1">IFERROR(__xludf.DUMMYFUNCTION("""COMPUTED_VALUE"""),"NHIPLC")</f>
        <v>NHIPLC</v>
      </c>
      <c r="C112" s="139" t="str">
        <f ca="1">IFERROR(__xludf.DUMMYFUNCTION("""COMPUTED_VALUE"""),"Global Digital Product")</f>
        <v>Global Digital Product</v>
      </c>
      <c r="D112" s="81" t="str">
        <f ca="1">IFERROR(__xludf.DUMMYFUNCTION("""COMPUTED_VALUE"""),"Global Product")</f>
        <v>Global Product</v>
      </c>
      <c r="E112" s="139" t="str">
        <f ca="1">IFERROR(__xludf.DUMMYFUNCTION("""COMPUTED_VALUE"""),"Direct Cost")</f>
        <v>Direct Cost</v>
      </c>
      <c r="F112" s="139" t="str">
        <f ca="1">IFERROR(__xludf.DUMMYFUNCTION("""COMPUTED_VALUE"""),"Office Expenses")</f>
        <v>Office Expenses</v>
      </c>
      <c r="G112" s="139" t="str">
        <f ca="1">IFERROR(__xludf.DUMMYFUNCTION("""COMPUTED_VALUE"""),"Office Equipment Expense")</f>
        <v>Office Equipment Expense</v>
      </c>
      <c r="H112" s="141">
        <f ca="1">IFERROR(__xludf.DUMMYFUNCTION("""COMPUTED_VALUE"""),93405)</f>
        <v>93405</v>
      </c>
      <c r="I112" s="140">
        <f ca="1">IFERROR(__xludf.DUMMYFUNCTION("""COMPUTED_VALUE"""),0)</f>
        <v>0</v>
      </c>
      <c r="J112" s="140">
        <f ca="1">IFERROR(__xludf.DUMMYFUNCTION("""COMPUTED_VALUE"""),0)</f>
        <v>0</v>
      </c>
      <c r="K112" s="140">
        <f ca="1">IFERROR(__xludf.DUMMYFUNCTION("""COMPUTED_VALUE"""),0)</f>
        <v>0</v>
      </c>
      <c r="L112" s="140">
        <f ca="1">IFERROR(__xludf.DUMMYFUNCTION("""COMPUTED_VALUE"""),0)</f>
        <v>0</v>
      </c>
      <c r="M112" s="143">
        <f ca="1">IFERROR(__xludf.DUMMYFUNCTION("""COMPUTED_VALUE"""),0)</f>
        <v>0</v>
      </c>
      <c r="N112" s="140">
        <f ca="1">IFERROR(__xludf.DUMMYFUNCTION("""COMPUTED_VALUE"""),0)</f>
        <v>0</v>
      </c>
      <c r="O112" s="140">
        <f ca="1">IFERROR(__xludf.DUMMYFUNCTION("""COMPUTED_VALUE"""),0)</f>
        <v>0</v>
      </c>
      <c r="P112" s="140">
        <f ca="1">IFERROR(__xludf.DUMMYFUNCTION("""COMPUTED_VALUE"""),0)</f>
        <v>0</v>
      </c>
      <c r="Q112" s="140">
        <f ca="1">IFERROR(__xludf.DUMMYFUNCTION("""COMPUTED_VALUE"""),0)</f>
        <v>0</v>
      </c>
      <c r="R112" s="140">
        <f ca="1">IFERROR(__xludf.DUMMYFUNCTION("""COMPUTED_VALUE"""),0)</f>
        <v>0</v>
      </c>
      <c r="S112" s="140">
        <f ca="1">IFERROR(__xludf.DUMMYFUNCTION("""COMPUTED_VALUE"""),0)</f>
        <v>0</v>
      </c>
      <c r="T112" s="140">
        <f ca="1">IFERROR(__xludf.DUMMYFUNCTION("""COMPUTED_VALUE"""),0)</f>
        <v>0</v>
      </c>
      <c r="U112" s="140">
        <f ca="1">IFERROR(__xludf.DUMMYFUNCTION("""COMPUTED_VALUE"""),0)</f>
        <v>0</v>
      </c>
      <c r="V112" s="100"/>
      <c r="W112" s="140">
        <f ca="1">IFERROR(__xludf.DUMMYFUNCTION("""COMPUTED_VALUE"""),0)</f>
        <v>0</v>
      </c>
      <c r="X112" s="140"/>
      <c r="Y112" s="147">
        <f t="shared" ca="1" si="4"/>
        <v>0</v>
      </c>
    </row>
    <row r="113" spans="1:26" ht="15.75" customHeight="1" x14ac:dyDescent="0.25">
      <c r="A113" s="148" t="str">
        <f ca="1">IFERROR(__xludf.DUMMYFUNCTION("""COMPUTED_VALUE"""),"India ")</f>
        <v xml:space="preserve">India </v>
      </c>
      <c r="B113" s="81" t="str">
        <f ca="1">IFERROR(__xludf.DUMMYFUNCTION("""COMPUTED_VALUE"""),"NHIPLC")</f>
        <v>NHIPLC</v>
      </c>
      <c r="C113" s="139" t="str">
        <f ca="1">IFERROR(__xludf.DUMMYFUNCTION("""COMPUTED_VALUE"""),"Global Digital Product")</f>
        <v>Global Digital Product</v>
      </c>
      <c r="D113" s="81" t="str">
        <f ca="1">IFERROR(__xludf.DUMMYFUNCTION("""COMPUTED_VALUE"""),"Global Product")</f>
        <v>Global Product</v>
      </c>
      <c r="E113" s="139" t="str">
        <f ca="1">IFERROR(__xludf.DUMMYFUNCTION("""COMPUTED_VALUE"""),"Indirect Cost")</f>
        <v>Indirect Cost</v>
      </c>
      <c r="F113" s="139" t="str">
        <f ca="1">IFERROR(__xludf.DUMMYFUNCTION("""COMPUTED_VALUE"""),"Professional &amp; Consultancy Charges")</f>
        <v>Professional &amp; Consultancy Charges</v>
      </c>
      <c r="G113" s="139" t="str">
        <f ca="1">IFERROR(__xludf.DUMMYFUNCTION("""COMPUTED_VALUE"""),"Admin Consultants")</f>
        <v>Admin Consultants</v>
      </c>
      <c r="H113" s="141">
        <f ca="1">IFERROR(__xludf.DUMMYFUNCTION("""COMPUTED_VALUE"""),93703)</f>
        <v>93703</v>
      </c>
      <c r="I113" s="140">
        <f ca="1">IFERROR(__xludf.DUMMYFUNCTION("""COMPUTED_VALUE"""),0)</f>
        <v>0</v>
      </c>
      <c r="J113" s="140"/>
      <c r="K113" s="140"/>
      <c r="L113" s="140"/>
      <c r="M113" s="143"/>
      <c r="N113" s="140"/>
      <c r="O113" s="140"/>
      <c r="P113" s="140"/>
      <c r="Q113" s="140"/>
      <c r="R113" s="140"/>
      <c r="S113" s="140"/>
      <c r="T113" s="140"/>
      <c r="U113" s="140"/>
      <c r="V113" s="100"/>
      <c r="W113" s="140">
        <f ca="1">IFERROR(__xludf.DUMMYFUNCTION("""COMPUTED_VALUE"""),0)</f>
        <v>0</v>
      </c>
      <c r="X113" s="140"/>
      <c r="Y113" s="147">
        <f t="shared" ca="1" si="4"/>
        <v>0</v>
      </c>
    </row>
    <row r="114" spans="1:26" ht="15.75" customHeight="1" x14ac:dyDescent="0.25">
      <c r="A114" s="148" t="str">
        <f ca="1">IFERROR(__xludf.DUMMYFUNCTION("""COMPUTED_VALUE"""),"India")</f>
        <v>India</v>
      </c>
      <c r="B114" s="81" t="str">
        <f ca="1">IFERROR(__xludf.DUMMYFUNCTION("""COMPUTED_VALUE"""),"NHIPLC")</f>
        <v>NHIPLC</v>
      </c>
      <c r="C114" s="139" t="str">
        <f ca="1">IFERROR(__xludf.DUMMYFUNCTION("""COMPUTED_VALUE"""),"Global Digital Product")</f>
        <v>Global Digital Product</v>
      </c>
      <c r="D114" s="139" t="str">
        <f ca="1">IFERROR(__xludf.DUMMYFUNCTION("""COMPUTED_VALUE"""),"Global Product")</f>
        <v>Global Product</v>
      </c>
      <c r="E114" s="139" t="str">
        <f ca="1">IFERROR(__xludf.DUMMYFUNCTION("""COMPUTED_VALUE"""),"Fixed Assets")</f>
        <v>Fixed Assets</v>
      </c>
      <c r="F114" s="139" t="str">
        <f ca="1">IFERROR(__xludf.DUMMYFUNCTION("""COMPUTED_VALUE"""),"Fixed Assets")</f>
        <v>Fixed Assets</v>
      </c>
      <c r="G114" s="139" t="str">
        <f ca="1">IFERROR(__xludf.DUMMYFUNCTION("""COMPUTED_VALUE"""),"Laptop/ Printer")</f>
        <v>Laptop/ Printer</v>
      </c>
      <c r="H114" s="141">
        <f ca="1">IFERROR(__xludf.DUMMYFUNCTION("""COMPUTED_VALUE"""),11301)</f>
        <v>11301</v>
      </c>
      <c r="I114" s="140">
        <f ca="1">IFERROR(__xludf.DUMMYFUNCTION("""COMPUTED_VALUE"""),0)</f>
        <v>0</v>
      </c>
      <c r="J114" s="140">
        <f ca="1">IFERROR(__xludf.DUMMYFUNCTION("""COMPUTED_VALUE"""),0)</f>
        <v>0</v>
      </c>
      <c r="K114" s="140">
        <f ca="1">IFERROR(__xludf.DUMMYFUNCTION("""COMPUTED_VALUE"""),0)</f>
        <v>0</v>
      </c>
      <c r="L114" s="140">
        <f ca="1">IFERROR(__xludf.DUMMYFUNCTION("""COMPUTED_VALUE"""),0)</f>
        <v>0</v>
      </c>
      <c r="M114" s="143">
        <f ca="1">IFERROR(__xludf.DUMMYFUNCTION("""COMPUTED_VALUE"""),0)</f>
        <v>0</v>
      </c>
      <c r="N114" s="140">
        <f ca="1">IFERROR(__xludf.DUMMYFUNCTION("""COMPUTED_VALUE"""),0)</f>
        <v>0</v>
      </c>
      <c r="O114" s="140">
        <f ca="1">IFERROR(__xludf.DUMMYFUNCTION("""COMPUTED_VALUE"""),0)</f>
        <v>0</v>
      </c>
      <c r="P114" s="140">
        <f ca="1">IFERROR(__xludf.DUMMYFUNCTION("""COMPUTED_VALUE"""),0)</f>
        <v>0</v>
      </c>
      <c r="Q114" s="140">
        <f ca="1">IFERROR(__xludf.DUMMYFUNCTION("""COMPUTED_VALUE"""),0)</f>
        <v>0</v>
      </c>
      <c r="R114" s="140">
        <f ca="1">IFERROR(__xludf.DUMMYFUNCTION("""COMPUTED_VALUE"""),0)</f>
        <v>0</v>
      </c>
      <c r="S114" s="140">
        <f ca="1">IFERROR(__xludf.DUMMYFUNCTION("""COMPUTED_VALUE"""),0)</f>
        <v>0</v>
      </c>
      <c r="T114" s="140">
        <f ca="1">IFERROR(__xludf.DUMMYFUNCTION("""COMPUTED_VALUE"""),0)</f>
        <v>0</v>
      </c>
      <c r="U114" s="140">
        <f ca="1">IFERROR(__xludf.DUMMYFUNCTION("""COMPUTED_VALUE"""),0)</f>
        <v>0</v>
      </c>
      <c r="V114" s="100"/>
      <c r="W114" s="140">
        <f ca="1">IFERROR(__xludf.DUMMYFUNCTION("""COMPUTED_VALUE"""),0)</f>
        <v>0</v>
      </c>
      <c r="X114" s="140">
        <f ca="1">IFERROR(__xludf.DUMMYFUNCTION("""COMPUTED_VALUE"""),0)</f>
        <v>0</v>
      </c>
      <c r="Y114" s="147">
        <f t="shared" ca="1" si="4"/>
        <v>0</v>
      </c>
    </row>
    <row r="115" spans="1:26" ht="15.75" customHeight="1" x14ac:dyDescent="0.3">
      <c r="A115" s="170"/>
      <c r="B115" s="170"/>
      <c r="C115" s="170"/>
      <c r="D115" s="170"/>
      <c r="E115" s="170"/>
      <c r="F115" s="170"/>
      <c r="G115" s="170" t="str">
        <f ca="1">IFERROR(__xludf.DUMMYFUNCTION("""COMPUTED_VALUE"""),"Total expenses ")</f>
        <v xml:space="preserve">Total expenses </v>
      </c>
      <c r="H115" s="170"/>
      <c r="I115" s="171">
        <f ca="1">IFERROR(__xludf.DUMMYFUNCTION("""COMPUTED_VALUE"""),28418853.4166666)</f>
        <v>28418853.416666601</v>
      </c>
      <c r="J115" s="171">
        <f ca="1">IFERROR(__xludf.DUMMYFUNCTION("""COMPUTED_VALUE"""),2351470.33333333)</f>
        <v>2351470.3333333302</v>
      </c>
      <c r="K115" s="171">
        <f ca="1">IFERROR(__xludf.DUMMYFUNCTION("""COMPUTED_VALUE"""),2351470.33333333)</f>
        <v>2351470.3333333302</v>
      </c>
      <c r="L115" s="171">
        <f ca="1">IFERROR(__xludf.DUMMYFUNCTION("""COMPUTED_VALUE"""),2626070.33333333)</f>
        <v>2626070.3333333302</v>
      </c>
      <c r="M115" s="171">
        <f ca="1">IFERROR(__xludf.DUMMYFUNCTION("""COMPUTED_VALUE"""),2708470.33333333)</f>
        <v>2708470.3333333302</v>
      </c>
      <c r="N115" s="171">
        <f ca="1">IFERROR(__xludf.DUMMYFUNCTION("""COMPUTED_VALUE"""),2962670.33333333)</f>
        <v>2962670.3333333302</v>
      </c>
      <c r="O115" s="171">
        <f ca="1">IFERROR(__xludf.DUMMYFUNCTION("""COMPUTED_VALUE"""),2735129.74999999)</f>
        <v>2735129.7499999902</v>
      </c>
      <c r="P115" s="171">
        <f ca="1">IFERROR(__xludf.DUMMYFUNCTION("""COMPUTED_VALUE"""),2086145.33333333)</f>
        <v>2086145.33333333</v>
      </c>
      <c r="Q115" s="171">
        <f ca="1">IFERROR(__xludf.DUMMYFUNCTION("""COMPUTED_VALUE"""),2086145.33333333)</f>
        <v>2086145.33333333</v>
      </c>
      <c r="R115" s="171">
        <f ca="1">IFERROR(__xludf.DUMMYFUNCTION("""COMPUTED_VALUE"""),2252845.33333333)</f>
        <v>2252845.3333333302</v>
      </c>
      <c r="S115" s="171">
        <f ca="1">IFERROR(__xludf.DUMMYFUNCTION("""COMPUTED_VALUE"""),2086145.33333333)</f>
        <v>2086145.33333333</v>
      </c>
      <c r="T115" s="171">
        <f ca="1">IFERROR(__xludf.DUMMYFUNCTION("""COMPUTED_VALUE"""),2086145.33333333)</f>
        <v>2086145.33333333</v>
      </c>
      <c r="U115" s="171">
        <f ca="1">IFERROR(__xludf.DUMMYFUNCTION("""COMPUTED_VALUE"""),2086145.33333333)</f>
        <v>2086145.33333333</v>
      </c>
      <c r="V115" s="100">
        <f ca="1">IFERROR(__xludf.DUMMYFUNCTION("""COMPUTED_VALUE"""),2026)</f>
        <v>2026</v>
      </c>
      <c r="W115" s="171">
        <f ca="1">IFERROR(__xludf.DUMMYFUNCTION("""COMPUTED_VALUE"""),28418853.4166666)</f>
        <v>28418853.416666601</v>
      </c>
      <c r="X115" s="171">
        <f ca="1">IFERROR(__xludf.DUMMYFUNCTION("""COMPUTED_VALUE"""),0)</f>
        <v>0</v>
      </c>
      <c r="Y115" s="147">
        <f t="shared" ca="1" si="4"/>
        <v>0</v>
      </c>
    </row>
    <row r="116" spans="1:26" ht="15.75" customHeight="1" x14ac:dyDescent="0.25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</row>
    <row r="117" spans="1:26" ht="15.75" customHeight="1" x14ac:dyDescent="0.85">
      <c r="A117" s="4" t="s">
        <v>163</v>
      </c>
      <c r="B117" s="4" t="s">
        <v>164</v>
      </c>
      <c r="C117" s="191" t="s">
        <v>16</v>
      </c>
      <c r="D117" s="191" t="s">
        <v>20</v>
      </c>
      <c r="E117" s="191" t="s">
        <v>165</v>
      </c>
      <c r="F117" s="191" t="s">
        <v>37</v>
      </c>
      <c r="G117" s="191" t="s">
        <v>37</v>
      </c>
      <c r="H117" s="191" t="s">
        <v>38</v>
      </c>
      <c r="I117" s="4">
        <f t="shared" ref="I117:I118" si="5">SUM(J117:U117)</f>
        <v>0</v>
      </c>
      <c r="J117" s="4"/>
      <c r="K117" s="4"/>
      <c r="L117" s="4"/>
      <c r="M117" s="192"/>
      <c r="N117" s="192"/>
      <c r="O117" s="192"/>
      <c r="P117" s="192"/>
      <c r="Q117" s="192"/>
      <c r="R117" s="192"/>
      <c r="S117" s="192"/>
      <c r="T117" s="192"/>
      <c r="U117" s="192"/>
      <c r="W117" s="4"/>
      <c r="X117" s="4"/>
      <c r="Z117" s="115" t="s">
        <v>166</v>
      </c>
    </row>
    <row r="118" spans="1:26" ht="15.75" customHeight="1" x14ac:dyDescent="0.85">
      <c r="A118" s="4" t="s">
        <v>163</v>
      </c>
      <c r="B118" s="4" t="s">
        <v>164</v>
      </c>
      <c r="C118" s="191" t="s">
        <v>16</v>
      </c>
      <c r="D118" s="191" t="s">
        <v>20</v>
      </c>
      <c r="E118" s="191" t="s">
        <v>165</v>
      </c>
      <c r="F118" s="191" t="s">
        <v>37</v>
      </c>
      <c r="G118" s="191" t="s">
        <v>37</v>
      </c>
      <c r="H118" s="191" t="s">
        <v>38</v>
      </c>
      <c r="I118" s="4">
        <f t="shared" si="5"/>
        <v>0</v>
      </c>
      <c r="J118" s="4"/>
      <c r="K118" s="4"/>
      <c r="L118" s="4"/>
      <c r="M118" s="193"/>
      <c r="N118" s="193"/>
      <c r="O118" s="193"/>
      <c r="P118" s="193"/>
      <c r="Q118" s="193"/>
      <c r="R118" s="193"/>
      <c r="S118" s="193"/>
      <c r="T118" s="193"/>
      <c r="U118" s="193"/>
      <c r="W118" s="4"/>
      <c r="X118" s="4"/>
      <c r="Z118" s="115" t="s">
        <v>166</v>
      </c>
    </row>
    <row r="119" spans="1:26" ht="15.75" customHeight="1" x14ac:dyDescent="0.3">
      <c r="A119" s="170"/>
      <c r="B119" s="170"/>
      <c r="C119" s="170"/>
      <c r="D119" s="170"/>
      <c r="E119" s="170"/>
      <c r="F119" s="170"/>
      <c r="G119" s="170" t="s">
        <v>168</v>
      </c>
      <c r="H119" s="170"/>
      <c r="I119" s="171">
        <f>SUM(I117:I118)</f>
        <v>0</v>
      </c>
      <c r="J119" s="171"/>
      <c r="K119" s="171"/>
      <c r="L119" s="171"/>
      <c r="M119" s="171">
        <f t="shared" ref="M119:U119" si="6">SUM(M117:M118)</f>
        <v>0</v>
      </c>
      <c r="N119" s="171">
        <f t="shared" si="6"/>
        <v>0</v>
      </c>
      <c r="O119" s="171">
        <f t="shared" si="6"/>
        <v>0</v>
      </c>
      <c r="P119" s="171">
        <f t="shared" si="6"/>
        <v>0</v>
      </c>
      <c r="Q119" s="171">
        <f t="shared" si="6"/>
        <v>0</v>
      </c>
      <c r="R119" s="171">
        <f t="shared" si="6"/>
        <v>0</v>
      </c>
      <c r="S119" s="171">
        <f t="shared" si="6"/>
        <v>0</v>
      </c>
      <c r="T119" s="171">
        <f t="shared" si="6"/>
        <v>0</v>
      </c>
      <c r="U119" s="171">
        <f t="shared" si="6"/>
        <v>0</v>
      </c>
      <c r="V119" s="100"/>
      <c r="W119" s="171"/>
      <c r="X119" s="171"/>
      <c r="Y119" s="147"/>
    </row>
    <row r="120" spans="1:26" ht="15.75" customHeight="1" x14ac:dyDescent="0.3"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W120" s="30"/>
    </row>
    <row r="121" spans="1:26" ht="15.75" customHeight="1" x14ac:dyDescent="0.3"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W121" s="30"/>
    </row>
    <row r="122" spans="1:26" ht="15.75" customHeight="1" x14ac:dyDescent="0.25">
      <c r="A122" s="136" t="str">
        <f ca="1">IFERROR(__xludf.DUMMYFUNCTION("importrange(""https://docs.google.com/spreadsheets/d/1aLNxIdogYemwcdjhvmAAgUCFoxgBYCFMjPhqKrqAXdc/edit?gid=31447059#"",""Summary!A3:X23"")"),"India ")</f>
        <v xml:space="preserve">India </v>
      </c>
      <c r="B122" s="81" t="str">
        <f ca="1">IFERROR(__xludf.DUMMYFUNCTION("""COMPUTED_VALUE"""),"NHIPLC")</f>
        <v>NHIPLC</v>
      </c>
      <c r="C122" s="139" t="str">
        <f ca="1">IFERROR(__xludf.DUMMYFUNCTION("""COMPUTED_VALUE"""),"Global Digital Product")</f>
        <v>Global Digital Product</v>
      </c>
      <c r="D122" s="139" t="str">
        <f ca="1">IFERROR(__xludf.DUMMYFUNCTION("""COMPUTED_VALUE"""),"Global Engineering")</f>
        <v>Global Engineering</v>
      </c>
      <c r="E122" s="139" t="str">
        <f ca="1">IFERROR(__xludf.DUMMYFUNCTION("""COMPUTED_VALUE"""),"Payroll Cost")</f>
        <v>Payroll Cost</v>
      </c>
      <c r="F122" s="139" t="str">
        <f ca="1">IFERROR(__xludf.DUMMYFUNCTION("""COMPUTED_VALUE"""),"Salaries and Wages")</f>
        <v>Salaries and Wages</v>
      </c>
      <c r="G122" s="139" t="str">
        <f ca="1">IFERROR(__xludf.DUMMYFUNCTION("""COMPUTED_VALUE"""),"Salaries and Wages")</f>
        <v>Salaries and Wages</v>
      </c>
      <c r="H122" s="141" t="str">
        <f ca="1">IFERROR(__xludf.DUMMYFUNCTION("""COMPUTED_VALUE"""),"91101-91107")</f>
        <v>91101-91107</v>
      </c>
      <c r="I122" s="140">
        <f ca="1">IFERROR(__xludf.DUMMYFUNCTION("""COMPUTED_VALUE"""),41816618.3333333)</f>
        <v>41816618.333333299</v>
      </c>
      <c r="J122" s="140">
        <f ca="1">IFERROR(__xludf.DUMMYFUNCTION("""COMPUTED_VALUE"""),2161107.08333333)</f>
        <v>2161107.0833333302</v>
      </c>
      <c r="K122" s="140">
        <f ca="1">IFERROR(__xludf.DUMMYFUNCTION("""COMPUTED_VALUE"""),2161107.08333333)</f>
        <v>2161107.0833333302</v>
      </c>
      <c r="L122" s="140">
        <f ca="1">IFERROR(__xludf.DUMMYFUNCTION("""COMPUTED_VALUE"""),2327773.75)</f>
        <v>2327773.75</v>
      </c>
      <c r="M122" s="143">
        <f ca="1">IFERROR(__xludf.DUMMYFUNCTION("""COMPUTED_VALUE"""),3477773.74999999)</f>
        <v>3477773.7499999902</v>
      </c>
      <c r="N122" s="140">
        <f ca="1">IFERROR(__xludf.DUMMYFUNCTION("""COMPUTED_VALUE"""),3961107.08333333)</f>
        <v>3961107.0833333302</v>
      </c>
      <c r="O122" s="140">
        <f ca="1">IFERROR(__xludf.DUMMYFUNCTION("""COMPUTED_VALUE"""),3961107.08333333)</f>
        <v>3961107.0833333302</v>
      </c>
      <c r="P122" s="140">
        <f ca="1">IFERROR(__xludf.DUMMYFUNCTION("""COMPUTED_VALUE"""),3961107.08333333)</f>
        <v>3961107.0833333302</v>
      </c>
      <c r="Q122" s="140">
        <f ca="1">IFERROR(__xludf.DUMMYFUNCTION("""COMPUTED_VALUE"""),3961107.08333333)</f>
        <v>3961107.0833333302</v>
      </c>
      <c r="R122" s="140">
        <f ca="1">IFERROR(__xludf.DUMMYFUNCTION("""COMPUTED_VALUE"""),3961107.08333333)</f>
        <v>3961107.0833333302</v>
      </c>
      <c r="S122" s="140">
        <f ca="1">IFERROR(__xludf.DUMMYFUNCTION("""COMPUTED_VALUE"""),3961107.08333333)</f>
        <v>3961107.0833333302</v>
      </c>
      <c r="T122" s="140">
        <f ca="1">IFERROR(__xludf.DUMMYFUNCTION("""COMPUTED_VALUE"""),3961107.08333333)</f>
        <v>3961107.0833333302</v>
      </c>
      <c r="U122" s="140">
        <f ca="1">IFERROR(__xludf.DUMMYFUNCTION("""COMPUTED_VALUE"""),3961107.08333333)</f>
        <v>3961107.0833333302</v>
      </c>
      <c r="V122" s="100"/>
      <c r="W122" s="140">
        <f ca="1">IFERROR(__xludf.DUMMYFUNCTION("""COMPUTED_VALUE"""),41816618.3333333)</f>
        <v>41816618.333333299</v>
      </c>
      <c r="X122" s="140">
        <f ca="1">IFERROR(__xludf.DUMMYFUNCTION("""COMPUTED_VALUE"""),0)</f>
        <v>0</v>
      </c>
      <c r="Y122" s="147">
        <f t="shared" ref="Y122:Y141" ca="1" si="7">W122-I122</f>
        <v>0</v>
      </c>
    </row>
    <row r="123" spans="1:26" ht="15.75" customHeight="1" x14ac:dyDescent="0.25">
      <c r="A123" s="148" t="str">
        <f ca="1">IFERROR(__xludf.DUMMYFUNCTION("""COMPUTED_VALUE"""),"India ")</f>
        <v xml:space="preserve">India </v>
      </c>
      <c r="B123" s="81" t="str">
        <f ca="1">IFERROR(__xludf.DUMMYFUNCTION("""COMPUTED_VALUE"""),"NHIPLC")</f>
        <v>NHIPLC</v>
      </c>
      <c r="C123" s="139" t="str">
        <f ca="1">IFERROR(__xludf.DUMMYFUNCTION("""COMPUTED_VALUE"""),"Global Digital Product")</f>
        <v>Global Digital Product</v>
      </c>
      <c r="D123" s="139" t="str">
        <f ca="1">IFERROR(__xludf.DUMMYFUNCTION("""COMPUTED_VALUE"""),"Global Engineering")</f>
        <v>Global Engineering</v>
      </c>
      <c r="E123" s="139" t="str">
        <f ca="1">IFERROR(__xludf.DUMMYFUNCTION("""COMPUTED_VALUE"""),"Payroll Cost")</f>
        <v>Payroll Cost</v>
      </c>
      <c r="F123" s="139" t="str">
        <f ca="1">IFERROR(__xludf.DUMMYFUNCTION("""COMPUTED_VALUE"""),"Health and Retirement Benefits")</f>
        <v>Health and Retirement Benefits</v>
      </c>
      <c r="G123" s="139" t="str">
        <f ca="1">IFERROR(__xludf.DUMMYFUNCTION("""COMPUTED_VALUE"""),"Gratuity &amp; Bonus")</f>
        <v>Gratuity &amp; Bonus</v>
      </c>
      <c r="H123" s="141" t="str">
        <f ca="1">IFERROR(__xludf.DUMMYFUNCTION("""COMPUTED_VALUE"""),"91201-91207")</f>
        <v>91201-91207</v>
      </c>
      <c r="I123" s="140">
        <f ca="1">IFERROR(__xludf.DUMMYFUNCTION("""COMPUTED_VALUE"""),0)</f>
        <v>0</v>
      </c>
      <c r="J123" s="140">
        <f ca="1">IFERROR(__xludf.DUMMYFUNCTION("""COMPUTED_VALUE"""),0)</f>
        <v>0</v>
      </c>
      <c r="K123" s="140">
        <f ca="1">IFERROR(__xludf.DUMMYFUNCTION("""COMPUTED_VALUE"""),0)</f>
        <v>0</v>
      </c>
      <c r="L123" s="140">
        <f ca="1">IFERROR(__xludf.DUMMYFUNCTION("""COMPUTED_VALUE"""),0)</f>
        <v>0</v>
      </c>
      <c r="M123" s="143">
        <f ca="1">IFERROR(__xludf.DUMMYFUNCTION("""COMPUTED_VALUE"""),0)</f>
        <v>0</v>
      </c>
      <c r="N123" s="140">
        <f ca="1">IFERROR(__xludf.DUMMYFUNCTION("""COMPUTED_VALUE"""),0)</f>
        <v>0</v>
      </c>
      <c r="O123" s="140">
        <f ca="1">IFERROR(__xludf.DUMMYFUNCTION("""COMPUTED_VALUE"""),0)</f>
        <v>0</v>
      </c>
      <c r="P123" s="140">
        <f ca="1">IFERROR(__xludf.DUMMYFUNCTION("""COMPUTED_VALUE"""),0)</f>
        <v>0</v>
      </c>
      <c r="Q123" s="140">
        <f ca="1">IFERROR(__xludf.DUMMYFUNCTION("""COMPUTED_VALUE"""),0)</f>
        <v>0</v>
      </c>
      <c r="R123" s="140">
        <f ca="1">IFERROR(__xludf.DUMMYFUNCTION("""COMPUTED_VALUE"""),0)</f>
        <v>0</v>
      </c>
      <c r="S123" s="140">
        <f ca="1">IFERROR(__xludf.DUMMYFUNCTION("""COMPUTED_VALUE"""),0)</f>
        <v>0</v>
      </c>
      <c r="T123" s="140">
        <f ca="1">IFERROR(__xludf.DUMMYFUNCTION("""COMPUTED_VALUE"""),0)</f>
        <v>0</v>
      </c>
      <c r="U123" s="140">
        <f ca="1">IFERROR(__xludf.DUMMYFUNCTION("""COMPUTED_VALUE"""),0)</f>
        <v>0</v>
      </c>
      <c r="V123" s="100"/>
      <c r="W123" s="140">
        <f ca="1">IFERROR(__xludf.DUMMYFUNCTION("""COMPUTED_VALUE"""),0)</f>
        <v>0</v>
      </c>
      <c r="X123" s="140">
        <f ca="1">IFERROR(__xludf.DUMMYFUNCTION("""COMPUTED_VALUE"""),0)</f>
        <v>0</v>
      </c>
      <c r="Y123" s="147">
        <f t="shared" ca="1" si="7"/>
        <v>0</v>
      </c>
    </row>
    <row r="124" spans="1:26" ht="15.75" customHeight="1" x14ac:dyDescent="0.25">
      <c r="A124" s="148" t="str">
        <f ca="1">IFERROR(__xludf.DUMMYFUNCTION("""COMPUTED_VALUE"""),"India ")</f>
        <v xml:space="preserve">India </v>
      </c>
      <c r="B124" s="81" t="str">
        <f ca="1">IFERROR(__xludf.DUMMYFUNCTION("""COMPUTED_VALUE"""),"NHIPLC")</f>
        <v>NHIPLC</v>
      </c>
      <c r="C124" s="139" t="str">
        <f ca="1">IFERROR(__xludf.DUMMYFUNCTION("""COMPUTED_VALUE"""),"Global Digital Product")</f>
        <v>Global Digital Product</v>
      </c>
      <c r="D124" s="139" t="str">
        <f ca="1">IFERROR(__xludf.DUMMYFUNCTION("""COMPUTED_VALUE"""),"Global Engineering")</f>
        <v>Global Engineering</v>
      </c>
      <c r="E124" s="139" t="str">
        <f ca="1">IFERROR(__xludf.DUMMYFUNCTION("""COMPUTED_VALUE"""),"Payroll Cost")</f>
        <v>Payroll Cost</v>
      </c>
      <c r="F124" s="139" t="str">
        <f ca="1">IFERROR(__xludf.DUMMYFUNCTION("""COMPUTED_VALUE"""),"Other Staff Expenses")</f>
        <v>Other Staff Expenses</v>
      </c>
      <c r="G124" s="139" t="str">
        <f ca="1">IFERROR(__xludf.DUMMYFUNCTION("""COMPUTED_VALUE"""),"Staff Training, Learning &amp; Development Exp")</f>
        <v>Staff Training, Learning &amp; Development Exp</v>
      </c>
      <c r="H124" s="141">
        <f ca="1">IFERROR(__xludf.DUMMYFUNCTION("""COMPUTED_VALUE"""),91302)</f>
        <v>91302</v>
      </c>
      <c r="I124" s="140">
        <f ca="1">IFERROR(__xludf.DUMMYFUNCTION("""COMPUTED_VALUE"""),0)</f>
        <v>0</v>
      </c>
      <c r="J124" s="140">
        <f ca="1">IFERROR(__xludf.DUMMYFUNCTION("""COMPUTED_VALUE"""),0)</f>
        <v>0</v>
      </c>
      <c r="K124" s="140">
        <f ca="1">IFERROR(__xludf.DUMMYFUNCTION("""COMPUTED_VALUE"""),0)</f>
        <v>0</v>
      </c>
      <c r="L124" s="140">
        <f ca="1">IFERROR(__xludf.DUMMYFUNCTION("""COMPUTED_VALUE"""),0)</f>
        <v>0</v>
      </c>
      <c r="M124" s="143">
        <f ca="1">IFERROR(__xludf.DUMMYFUNCTION("""COMPUTED_VALUE"""),0)</f>
        <v>0</v>
      </c>
      <c r="N124" s="140">
        <f ca="1">IFERROR(__xludf.DUMMYFUNCTION("""COMPUTED_VALUE"""),0)</f>
        <v>0</v>
      </c>
      <c r="O124" s="140">
        <f ca="1">IFERROR(__xludf.DUMMYFUNCTION("""COMPUTED_VALUE"""),0)</f>
        <v>0</v>
      </c>
      <c r="P124" s="140">
        <f ca="1">IFERROR(__xludf.DUMMYFUNCTION("""COMPUTED_VALUE"""),0)</f>
        <v>0</v>
      </c>
      <c r="Q124" s="140">
        <f ca="1">IFERROR(__xludf.DUMMYFUNCTION("""COMPUTED_VALUE"""),0)</f>
        <v>0</v>
      </c>
      <c r="R124" s="140">
        <f ca="1">IFERROR(__xludf.DUMMYFUNCTION("""COMPUTED_VALUE"""),0)</f>
        <v>0</v>
      </c>
      <c r="S124" s="140">
        <f ca="1">IFERROR(__xludf.DUMMYFUNCTION("""COMPUTED_VALUE"""),0)</f>
        <v>0</v>
      </c>
      <c r="T124" s="140">
        <f ca="1">IFERROR(__xludf.DUMMYFUNCTION("""COMPUTED_VALUE"""),0)</f>
        <v>0</v>
      </c>
      <c r="U124" s="140">
        <f ca="1">IFERROR(__xludf.DUMMYFUNCTION("""COMPUTED_VALUE"""),0)</f>
        <v>0</v>
      </c>
      <c r="V124" s="100"/>
      <c r="W124" s="140">
        <f ca="1">IFERROR(__xludf.DUMMYFUNCTION("""COMPUTED_VALUE"""),0)</f>
        <v>0</v>
      </c>
      <c r="X124" s="140">
        <f ca="1">IFERROR(__xludf.DUMMYFUNCTION("""COMPUTED_VALUE"""),0)</f>
        <v>0</v>
      </c>
      <c r="Y124" s="147">
        <f t="shared" ca="1" si="7"/>
        <v>0</v>
      </c>
    </row>
    <row r="125" spans="1:26" ht="15.75" customHeight="1" x14ac:dyDescent="0.25">
      <c r="A125" s="148" t="str">
        <f ca="1">IFERROR(__xludf.DUMMYFUNCTION("""COMPUTED_VALUE"""),"India ")</f>
        <v xml:space="preserve">India </v>
      </c>
      <c r="B125" s="81" t="str">
        <f ca="1">IFERROR(__xludf.DUMMYFUNCTION("""COMPUTED_VALUE"""),"NHIPLC")</f>
        <v>NHIPLC</v>
      </c>
      <c r="C125" s="139" t="str">
        <f ca="1">IFERROR(__xludf.DUMMYFUNCTION("""COMPUTED_VALUE"""),"Global Digital Product")</f>
        <v>Global Digital Product</v>
      </c>
      <c r="D125" s="139" t="str">
        <f ca="1">IFERROR(__xludf.DUMMYFUNCTION("""COMPUTED_VALUE"""),"Global Engineering")</f>
        <v>Global Engineering</v>
      </c>
      <c r="E125" s="139" t="str">
        <f ca="1">IFERROR(__xludf.DUMMYFUNCTION("""COMPUTED_VALUE"""),"Direct Consultants")</f>
        <v>Direct Consultants</v>
      </c>
      <c r="F125" s="139" t="str">
        <f ca="1">IFERROR(__xludf.DUMMYFUNCTION("""COMPUTED_VALUE"""),"Resource Persons")</f>
        <v>Resource Persons</v>
      </c>
      <c r="G125" s="139" t="str">
        <f ca="1">IFERROR(__xludf.DUMMYFUNCTION("""COMPUTED_VALUE"""),"Program Resource Consultant (EHA)")</f>
        <v>Program Resource Consultant (EHA)</v>
      </c>
      <c r="H125" s="141">
        <f ca="1">IFERROR(__xludf.DUMMYFUNCTION("""COMPUTED_VALUE"""),92101)</f>
        <v>92101</v>
      </c>
      <c r="I125" s="140">
        <f ca="1">IFERROR(__xludf.DUMMYFUNCTION("""COMPUTED_VALUE"""),3600000)</f>
        <v>3600000</v>
      </c>
      <c r="J125" s="140">
        <f ca="1">IFERROR(__xludf.DUMMYFUNCTION("""COMPUTED_VALUE"""),300000)</f>
        <v>300000</v>
      </c>
      <c r="K125" s="140">
        <f ca="1">IFERROR(__xludf.DUMMYFUNCTION("""COMPUTED_VALUE"""),300000)</f>
        <v>300000</v>
      </c>
      <c r="L125" s="140">
        <f ca="1">IFERROR(__xludf.DUMMYFUNCTION("""COMPUTED_VALUE"""),300000)</f>
        <v>300000</v>
      </c>
      <c r="M125" s="143">
        <f ca="1">IFERROR(__xludf.DUMMYFUNCTION("""COMPUTED_VALUE"""),300000)</f>
        <v>300000</v>
      </c>
      <c r="N125" s="140">
        <f ca="1">IFERROR(__xludf.DUMMYFUNCTION("""COMPUTED_VALUE"""),300000)</f>
        <v>300000</v>
      </c>
      <c r="O125" s="140">
        <f ca="1">IFERROR(__xludf.DUMMYFUNCTION("""COMPUTED_VALUE"""),300000)</f>
        <v>300000</v>
      </c>
      <c r="P125" s="140">
        <f ca="1">IFERROR(__xludf.DUMMYFUNCTION("""COMPUTED_VALUE"""),300000)</f>
        <v>300000</v>
      </c>
      <c r="Q125" s="140">
        <f ca="1">IFERROR(__xludf.DUMMYFUNCTION("""COMPUTED_VALUE"""),300000)</f>
        <v>300000</v>
      </c>
      <c r="R125" s="140">
        <f ca="1">IFERROR(__xludf.DUMMYFUNCTION("""COMPUTED_VALUE"""),300000)</f>
        <v>300000</v>
      </c>
      <c r="S125" s="140">
        <f ca="1">IFERROR(__xludf.DUMMYFUNCTION("""COMPUTED_VALUE"""),300000)</f>
        <v>300000</v>
      </c>
      <c r="T125" s="140">
        <f ca="1">IFERROR(__xludf.DUMMYFUNCTION("""COMPUTED_VALUE"""),300000)</f>
        <v>300000</v>
      </c>
      <c r="U125" s="140">
        <f ca="1">IFERROR(__xludf.DUMMYFUNCTION("""COMPUTED_VALUE"""),300000)</f>
        <v>300000</v>
      </c>
      <c r="V125" s="100"/>
      <c r="W125" s="140">
        <f ca="1">IFERROR(__xludf.DUMMYFUNCTION("""COMPUTED_VALUE"""),3600000)</f>
        <v>3600000</v>
      </c>
      <c r="X125" s="140">
        <f ca="1">IFERROR(__xludf.DUMMYFUNCTION("""COMPUTED_VALUE"""),0)</f>
        <v>0</v>
      </c>
      <c r="Y125" s="147">
        <f t="shared" ca="1" si="7"/>
        <v>0</v>
      </c>
    </row>
    <row r="126" spans="1:26" ht="15.75" customHeight="1" x14ac:dyDescent="0.25">
      <c r="A126" s="148" t="str">
        <f ca="1">IFERROR(__xludf.DUMMYFUNCTION("""COMPUTED_VALUE"""),"India ")</f>
        <v xml:space="preserve">India </v>
      </c>
      <c r="B126" s="81" t="str">
        <f ca="1">IFERROR(__xludf.DUMMYFUNCTION("""COMPUTED_VALUE"""),"NHIPLC")</f>
        <v>NHIPLC</v>
      </c>
      <c r="C126" s="139" t="str">
        <f ca="1">IFERROR(__xludf.DUMMYFUNCTION("""COMPUTED_VALUE"""),"Global Digital Product")</f>
        <v>Global Digital Product</v>
      </c>
      <c r="D126" s="81" t="str">
        <f ca="1">IFERROR(__xludf.DUMMYFUNCTION("""COMPUTED_VALUE"""),"Global Engineering")</f>
        <v>Global Engineering</v>
      </c>
      <c r="E126" s="139" t="str">
        <f ca="1">IFERROR(__xludf.DUMMYFUNCTION("""COMPUTED_VALUE"""),"Direct Cost")</f>
        <v>Direct Cost</v>
      </c>
      <c r="F126" s="139" t="str">
        <f ca="1">IFERROR(__xludf.DUMMYFUNCTION("""COMPUTED_VALUE"""),"Travel &amp; Lodging Expenses")</f>
        <v>Travel &amp; Lodging Expenses</v>
      </c>
      <c r="G126" s="139" t="str">
        <f ca="1">IFERROR(__xludf.DUMMYFUNCTION("""COMPUTED_VALUE"""),"Hotel Accomodation")</f>
        <v>Hotel Accomodation</v>
      </c>
      <c r="H126" s="141">
        <f ca="1">IFERROR(__xludf.DUMMYFUNCTION("""COMPUTED_VALUE"""),93101)</f>
        <v>93101</v>
      </c>
      <c r="I126" s="140">
        <f ca="1">IFERROR(__xludf.DUMMYFUNCTION("""COMPUTED_VALUE"""),69000)</f>
        <v>69000</v>
      </c>
      <c r="J126" s="140">
        <f ca="1">IFERROR(__xludf.DUMMYFUNCTION("""COMPUTED_VALUE"""),0)</f>
        <v>0</v>
      </c>
      <c r="K126" s="140">
        <f ca="1">IFERROR(__xludf.DUMMYFUNCTION("""COMPUTED_VALUE"""),0)</f>
        <v>0</v>
      </c>
      <c r="L126" s="140">
        <f ca="1">IFERROR(__xludf.DUMMYFUNCTION("""COMPUTED_VALUE"""),0)</f>
        <v>0</v>
      </c>
      <c r="M126" s="143">
        <f ca="1">IFERROR(__xludf.DUMMYFUNCTION("""COMPUTED_VALUE"""),10500)</f>
        <v>10500</v>
      </c>
      <c r="N126" s="140">
        <f ca="1">IFERROR(__xludf.DUMMYFUNCTION("""COMPUTED_VALUE"""),10500)</f>
        <v>10500</v>
      </c>
      <c r="O126" s="140">
        <f ca="1">IFERROR(__xludf.DUMMYFUNCTION("""COMPUTED_VALUE"""),24000)</f>
        <v>24000</v>
      </c>
      <c r="P126" s="140">
        <f ca="1">IFERROR(__xludf.DUMMYFUNCTION("""COMPUTED_VALUE"""),0)</f>
        <v>0</v>
      </c>
      <c r="Q126" s="140">
        <f ca="1">IFERROR(__xludf.DUMMYFUNCTION("""COMPUTED_VALUE"""),24000)</f>
        <v>24000</v>
      </c>
      <c r="R126" s="140">
        <f ca="1">IFERROR(__xludf.DUMMYFUNCTION("""COMPUTED_VALUE"""),0)</f>
        <v>0</v>
      </c>
      <c r="S126" s="140">
        <f ca="1">IFERROR(__xludf.DUMMYFUNCTION("""COMPUTED_VALUE"""),0)</f>
        <v>0</v>
      </c>
      <c r="T126" s="140">
        <f ca="1">IFERROR(__xludf.DUMMYFUNCTION("""COMPUTED_VALUE"""),0)</f>
        <v>0</v>
      </c>
      <c r="U126" s="140">
        <f ca="1">IFERROR(__xludf.DUMMYFUNCTION("""COMPUTED_VALUE"""),0)</f>
        <v>0</v>
      </c>
      <c r="V126" s="100"/>
      <c r="W126" s="140">
        <f ca="1">IFERROR(__xludf.DUMMYFUNCTION("""COMPUTED_VALUE"""),69000)</f>
        <v>69000</v>
      </c>
      <c r="X126" s="140"/>
      <c r="Y126" s="147">
        <f t="shared" ca="1" si="7"/>
        <v>0</v>
      </c>
    </row>
    <row r="127" spans="1:26" ht="15.75" customHeight="1" x14ac:dyDescent="0.25">
      <c r="A127" s="148" t="str">
        <f ca="1">IFERROR(__xludf.DUMMYFUNCTION("""COMPUTED_VALUE"""),"India ")</f>
        <v xml:space="preserve">India </v>
      </c>
      <c r="B127" s="81" t="str">
        <f ca="1">IFERROR(__xludf.DUMMYFUNCTION("""COMPUTED_VALUE"""),"NHIPLC")</f>
        <v>NHIPLC</v>
      </c>
      <c r="C127" s="139" t="str">
        <f ca="1">IFERROR(__xludf.DUMMYFUNCTION("""COMPUTED_VALUE"""),"Global Digital Product")</f>
        <v>Global Digital Product</v>
      </c>
      <c r="D127" s="81" t="str">
        <f ca="1">IFERROR(__xludf.DUMMYFUNCTION("""COMPUTED_VALUE"""),"Global Engineering")</f>
        <v>Global Engineering</v>
      </c>
      <c r="E127" s="139" t="str">
        <f ca="1">IFERROR(__xludf.DUMMYFUNCTION("""COMPUTED_VALUE"""),"Direct Cost")</f>
        <v>Direct Cost</v>
      </c>
      <c r="F127" s="139" t="str">
        <f ca="1">IFERROR(__xludf.DUMMYFUNCTION("""COMPUTED_VALUE"""),"Travel &amp; Lodging Expenses")</f>
        <v>Travel &amp; Lodging Expenses</v>
      </c>
      <c r="G127" s="139" t="str">
        <f ca="1">IFERROR(__xludf.DUMMYFUNCTION("""COMPUTED_VALUE"""),"Food Expenses")</f>
        <v>Food Expenses</v>
      </c>
      <c r="H127" s="141">
        <f ca="1">IFERROR(__xludf.DUMMYFUNCTION("""COMPUTED_VALUE"""),93102)</f>
        <v>93102</v>
      </c>
      <c r="I127" s="140">
        <f ca="1">IFERROR(__xludf.DUMMYFUNCTION("""COMPUTED_VALUE"""),22000)</f>
        <v>22000</v>
      </c>
      <c r="J127" s="140">
        <f ca="1">IFERROR(__xludf.DUMMYFUNCTION("""COMPUTED_VALUE"""),0)</f>
        <v>0</v>
      </c>
      <c r="K127" s="140">
        <f ca="1">IFERROR(__xludf.DUMMYFUNCTION("""COMPUTED_VALUE"""),0)</f>
        <v>0</v>
      </c>
      <c r="L127" s="140">
        <f ca="1">IFERROR(__xludf.DUMMYFUNCTION("""COMPUTED_VALUE"""),0)</f>
        <v>0</v>
      </c>
      <c r="M127" s="143">
        <f ca="1">IFERROR(__xludf.DUMMYFUNCTION("""COMPUTED_VALUE"""),3000)</f>
        <v>3000</v>
      </c>
      <c r="N127" s="140">
        <f ca="1">IFERROR(__xludf.DUMMYFUNCTION("""COMPUTED_VALUE"""),3000)</f>
        <v>3000</v>
      </c>
      <c r="O127" s="140">
        <f ca="1">IFERROR(__xludf.DUMMYFUNCTION("""COMPUTED_VALUE"""),10000)</f>
        <v>10000</v>
      </c>
      <c r="P127" s="140">
        <f ca="1">IFERROR(__xludf.DUMMYFUNCTION("""COMPUTED_VALUE"""),0)</f>
        <v>0</v>
      </c>
      <c r="Q127" s="140">
        <f ca="1">IFERROR(__xludf.DUMMYFUNCTION("""COMPUTED_VALUE"""),6000)</f>
        <v>6000</v>
      </c>
      <c r="R127" s="140">
        <f ca="1">IFERROR(__xludf.DUMMYFUNCTION("""COMPUTED_VALUE"""),0)</f>
        <v>0</v>
      </c>
      <c r="S127" s="140">
        <f ca="1">IFERROR(__xludf.DUMMYFUNCTION("""COMPUTED_VALUE"""),0)</f>
        <v>0</v>
      </c>
      <c r="T127" s="140">
        <f ca="1">IFERROR(__xludf.DUMMYFUNCTION("""COMPUTED_VALUE"""),0)</f>
        <v>0</v>
      </c>
      <c r="U127" s="140">
        <f ca="1">IFERROR(__xludf.DUMMYFUNCTION("""COMPUTED_VALUE"""),0)</f>
        <v>0</v>
      </c>
      <c r="V127" s="100"/>
      <c r="W127" s="140">
        <f ca="1">IFERROR(__xludf.DUMMYFUNCTION("""COMPUTED_VALUE"""),22000)</f>
        <v>22000</v>
      </c>
      <c r="X127" s="140"/>
      <c r="Y127" s="147">
        <f t="shared" ca="1" si="7"/>
        <v>0</v>
      </c>
    </row>
    <row r="128" spans="1:26" ht="15.75" customHeight="1" x14ac:dyDescent="0.25">
      <c r="A128" s="148" t="str">
        <f ca="1">IFERROR(__xludf.DUMMYFUNCTION("""COMPUTED_VALUE"""),"India ")</f>
        <v xml:space="preserve">India </v>
      </c>
      <c r="B128" s="81" t="str">
        <f ca="1">IFERROR(__xludf.DUMMYFUNCTION("""COMPUTED_VALUE"""),"NHIPLC")</f>
        <v>NHIPLC</v>
      </c>
      <c r="C128" s="139" t="str">
        <f ca="1">IFERROR(__xludf.DUMMYFUNCTION("""COMPUTED_VALUE"""),"Global Digital Product")</f>
        <v>Global Digital Product</v>
      </c>
      <c r="D128" s="81" t="str">
        <f ca="1">IFERROR(__xludf.DUMMYFUNCTION("""COMPUTED_VALUE"""),"Global Engineering")</f>
        <v>Global Engineering</v>
      </c>
      <c r="E128" s="139" t="str">
        <f ca="1">IFERROR(__xludf.DUMMYFUNCTION("""COMPUTED_VALUE"""),"Direct Cost")</f>
        <v>Direct Cost</v>
      </c>
      <c r="F128" s="139" t="str">
        <f ca="1">IFERROR(__xludf.DUMMYFUNCTION("""COMPUTED_VALUE"""),"Travel &amp; Lodging Expenses")</f>
        <v>Travel &amp; Lodging Expenses</v>
      </c>
      <c r="G128" s="139" t="str">
        <f ca="1">IFERROR(__xludf.DUMMYFUNCTION("""COMPUTED_VALUE"""),"Air fare")</f>
        <v>Air fare</v>
      </c>
      <c r="H128" s="141">
        <f ca="1">IFERROR(__xludf.DUMMYFUNCTION("""COMPUTED_VALUE"""),93103)</f>
        <v>93103</v>
      </c>
      <c r="I128" s="140">
        <f ca="1">IFERROR(__xludf.DUMMYFUNCTION("""COMPUTED_VALUE"""),160000)</f>
        <v>160000</v>
      </c>
      <c r="J128" s="140">
        <f ca="1">IFERROR(__xludf.DUMMYFUNCTION("""COMPUTED_VALUE"""),0)</f>
        <v>0</v>
      </c>
      <c r="K128" s="140">
        <f ca="1">IFERROR(__xludf.DUMMYFUNCTION("""COMPUTED_VALUE"""),0)</f>
        <v>0</v>
      </c>
      <c r="L128" s="140">
        <f ca="1">IFERROR(__xludf.DUMMYFUNCTION("""COMPUTED_VALUE"""),0)</f>
        <v>0</v>
      </c>
      <c r="M128" s="143">
        <f ca="1">IFERROR(__xludf.DUMMYFUNCTION("""COMPUTED_VALUE"""),18000)</f>
        <v>18000</v>
      </c>
      <c r="N128" s="140">
        <f ca="1">IFERROR(__xludf.DUMMYFUNCTION("""COMPUTED_VALUE"""),18000)</f>
        <v>18000</v>
      </c>
      <c r="O128" s="140">
        <f ca="1">IFERROR(__xludf.DUMMYFUNCTION("""COMPUTED_VALUE"""),88000)</f>
        <v>88000</v>
      </c>
      <c r="P128" s="140">
        <f ca="1">IFERROR(__xludf.DUMMYFUNCTION("""COMPUTED_VALUE"""),0)</f>
        <v>0</v>
      </c>
      <c r="Q128" s="140">
        <f ca="1">IFERROR(__xludf.DUMMYFUNCTION("""COMPUTED_VALUE"""),36000)</f>
        <v>36000</v>
      </c>
      <c r="R128" s="140">
        <f ca="1">IFERROR(__xludf.DUMMYFUNCTION("""COMPUTED_VALUE"""),0)</f>
        <v>0</v>
      </c>
      <c r="S128" s="140">
        <f ca="1">IFERROR(__xludf.DUMMYFUNCTION("""COMPUTED_VALUE"""),0)</f>
        <v>0</v>
      </c>
      <c r="T128" s="140">
        <f ca="1">IFERROR(__xludf.DUMMYFUNCTION("""COMPUTED_VALUE"""),0)</f>
        <v>0</v>
      </c>
      <c r="U128" s="140">
        <f ca="1">IFERROR(__xludf.DUMMYFUNCTION("""COMPUTED_VALUE"""),0)</f>
        <v>0</v>
      </c>
      <c r="V128" s="100"/>
      <c r="W128" s="140">
        <f ca="1">IFERROR(__xludf.DUMMYFUNCTION("""COMPUTED_VALUE"""),160000)</f>
        <v>160000</v>
      </c>
      <c r="X128" s="140"/>
      <c r="Y128" s="147">
        <f t="shared" ca="1" si="7"/>
        <v>0</v>
      </c>
    </row>
    <row r="129" spans="1:25" ht="15.75" customHeight="1" x14ac:dyDescent="0.25">
      <c r="A129" s="148" t="str">
        <f ca="1">IFERROR(__xludf.DUMMYFUNCTION("""COMPUTED_VALUE"""),"India ")</f>
        <v xml:space="preserve">India </v>
      </c>
      <c r="B129" s="81" t="str">
        <f ca="1">IFERROR(__xludf.DUMMYFUNCTION("""COMPUTED_VALUE"""),"NHIPLC")</f>
        <v>NHIPLC</v>
      </c>
      <c r="C129" s="139" t="str">
        <f ca="1">IFERROR(__xludf.DUMMYFUNCTION("""COMPUTED_VALUE"""),"Global Digital Product")</f>
        <v>Global Digital Product</v>
      </c>
      <c r="D129" s="81" t="str">
        <f ca="1">IFERROR(__xludf.DUMMYFUNCTION("""COMPUTED_VALUE"""),"Global Engineering")</f>
        <v>Global Engineering</v>
      </c>
      <c r="E129" s="139" t="str">
        <f ca="1">IFERROR(__xludf.DUMMYFUNCTION("""COMPUTED_VALUE"""),"Direct Cost")</f>
        <v>Direct Cost</v>
      </c>
      <c r="F129" s="139" t="str">
        <f ca="1">IFERROR(__xludf.DUMMYFUNCTION("""COMPUTED_VALUE"""),"Travel &amp; Lodging Expenses")</f>
        <v>Travel &amp; Lodging Expenses</v>
      </c>
      <c r="G129" s="139" t="str">
        <f ca="1">IFERROR(__xludf.DUMMYFUNCTION("""COMPUTED_VALUE"""),"Cab/Auto")</f>
        <v>Cab/Auto</v>
      </c>
      <c r="H129" s="141">
        <f ca="1">IFERROR(__xludf.DUMMYFUNCTION("""COMPUTED_VALUE"""),93104)</f>
        <v>93104</v>
      </c>
      <c r="I129" s="140">
        <f ca="1">IFERROR(__xludf.DUMMYFUNCTION("""COMPUTED_VALUE"""),42800)</f>
        <v>42800</v>
      </c>
      <c r="J129" s="140">
        <f ca="1">IFERROR(__xludf.DUMMYFUNCTION("""COMPUTED_VALUE"""),0)</f>
        <v>0</v>
      </c>
      <c r="K129" s="140">
        <f ca="1">IFERROR(__xludf.DUMMYFUNCTION("""COMPUTED_VALUE"""),0)</f>
        <v>0</v>
      </c>
      <c r="L129" s="140">
        <f ca="1">IFERROR(__xludf.DUMMYFUNCTION("""COMPUTED_VALUE"""),0)</f>
        <v>0</v>
      </c>
      <c r="M129" s="143">
        <f ca="1">IFERROR(__xludf.DUMMYFUNCTION("""COMPUTED_VALUE"""),8400)</f>
        <v>8400</v>
      </c>
      <c r="N129" s="140">
        <f ca="1">IFERROR(__xludf.DUMMYFUNCTION("""COMPUTED_VALUE"""),8400)</f>
        <v>8400</v>
      </c>
      <c r="O129" s="140">
        <f ca="1">IFERROR(__xludf.DUMMYFUNCTION("""COMPUTED_VALUE"""),20000)</f>
        <v>20000</v>
      </c>
      <c r="P129" s="140">
        <f ca="1">IFERROR(__xludf.DUMMYFUNCTION("""COMPUTED_VALUE"""),0)</f>
        <v>0</v>
      </c>
      <c r="Q129" s="140">
        <f ca="1">IFERROR(__xludf.DUMMYFUNCTION("""COMPUTED_VALUE"""),6000)</f>
        <v>6000</v>
      </c>
      <c r="R129" s="140">
        <f ca="1">IFERROR(__xludf.DUMMYFUNCTION("""COMPUTED_VALUE"""),0)</f>
        <v>0</v>
      </c>
      <c r="S129" s="140">
        <f ca="1">IFERROR(__xludf.DUMMYFUNCTION("""COMPUTED_VALUE"""),0)</f>
        <v>0</v>
      </c>
      <c r="T129" s="140">
        <f ca="1">IFERROR(__xludf.DUMMYFUNCTION("""COMPUTED_VALUE"""),0)</f>
        <v>0</v>
      </c>
      <c r="U129" s="140">
        <f ca="1">IFERROR(__xludf.DUMMYFUNCTION("""COMPUTED_VALUE"""),0)</f>
        <v>0</v>
      </c>
      <c r="V129" s="100"/>
      <c r="W129" s="140">
        <f ca="1">IFERROR(__xludf.DUMMYFUNCTION("""COMPUTED_VALUE"""),42800)</f>
        <v>42800</v>
      </c>
      <c r="X129" s="140"/>
      <c r="Y129" s="147">
        <f t="shared" ca="1" si="7"/>
        <v>0</v>
      </c>
    </row>
    <row r="130" spans="1:25" ht="15.75" customHeight="1" x14ac:dyDescent="0.25">
      <c r="A130" s="148" t="str">
        <f ca="1">IFERROR(__xludf.DUMMYFUNCTION("""COMPUTED_VALUE"""),"India ")</f>
        <v xml:space="preserve">India </v>
      </c>
      <c r="B130" s="81" t="str">
        <f ca="1">IFERROR(__xludf.DUMMYFUNCTION("""COMPUTED_VALUE"""),"NHIPLC")</f>
        <v>NHIPLC</v>
      </c>
      <c r="C130" s="139" t="str">
        <f ca="1">IFERROR(__xludf.DUMMYFUNCTION("""COMPUTED_VALUE"""),"Global Digital Product")</f>
        <v>Global Digital Product</v>
      </c>
      <c r="D130" s="81" t="str">
        <f ca="1">IFERROR(__xludf.DUMMYFUNCTION("""COMPUTED_VALUE"""),"Global Engineering")</f>
        <v>Global Engineering</v>
      </c>
      <c r="E130" s="139" t="str">
        <f ca="1">IFERROR(__xludf.DUMMYFUNCTION("""COMPUTED_VALUE"""),"Direct Cost")</f>
        <v>Direct Cost</v>
      </c>
      <c r="F130" s="139" t="str">
        <f ca="1">IFERROR(__xludf.DUMMYFUNCTION("""COMPUTED_VALUE"""),"Travel &amp; Lodging Expenses")</f>
        <v>Travel &amp; Lodging Expenses</v>
      </c>
      <c r="G130" s="139" t="str">
        <f ca="1">IFERROR(__xludf.DUMMYFUNCTION("""COMPUTED_VALUE"""),"Bus/Train")</f>
        <v>Bus/Train</v>
      </c>
      <c r="H130" s="141">
        <f ca="1">IFERROR(__xludf.DUMMYFUNCTION("""COMPUTED_VALUE"""),93105)</f>
        <v>93105</v>
      </c>
      <c r="I130" s="140">
        <f ca="1">IFERROR(__xludf.DUMMYFUNCTION("""COMPUTED_VALUE"""),3000)</f>
        <v>3000</v>
      </c>
      <c r="J130" s="140">
        <f ca="1">IFERROR(__xludf.DUMMYFUNCTION("""COMPUTED_VALUE"""),0)</f>
        <v>0</v>
      </c>
      <c r="K130" s="140">
        <f ca="1">IFERROR(__xludf.DUMMYFUNCTION("""COMPUTED_VALUE"""),0)</f>
        <v>0</v>
      </c>
      <c r="L130" s="140">
        <f ca="1">IFERROR(__xludf.DUMMYFUNCTION("""COMPUTED_VALUE"""),0)</f>
        <v>0</v>
      </c>
      <c r="M130" s="143">
        <f ca="1">IFERROR(__xludf.DUMMYFUNCTION("""COMPUTED_VALUE"""),1500)</f>
        <v>1500</v>
      </c>
      <c r="N130" s="140">
        <f ca="1">IFERROR(__xludf.DUMMYFUNCTION("""COMPUTED_VALUE"""),1500)</f>
        <v>1500</v>
      </c>
      <c r="O130" s="140">
        <f ca="1">IFERROR(__xludf.DUMMYFUNCTION("""COMPUTED_VALUE"""),0)</f>
        <v>0</v>
      </c>
      <c r="P130" s="140">
        <f ca="1">IFERROR(__xludf.DUMMYFUNCTION("""COMPUTED_VALUE"""),0)</f>
        <v>0</v>
      </c>
      <c r="Q130" s="140">
        <f ca="1">IFERROR(__xludf.DUMMYFUNCTION("""COMPUTED_VALUE"""),0)</f>
        <v>0</v>
      </c>
      <c r="R130" s="140">
        <f ca="1">IFERROR(__xludf.DUMMYFUNCTION("""COMPUTED_VALUE"""),0)</f>
        <v>0</v>
      </c>
      <c r="S130" s="140">
        <f ca="1">IFERROR(__xludf.DUMMYFUNCTION("""COMPUTED_VALUE"""),0)</f>
        <v>0</v>
      </c>
      <c r="T130" s="140">
        <f ca="1">IFERROR(__xludf.DUMMYFUNCTION("""COMPUTED_VALUE"""),0)</f>
        <v>0</v>
      </c>
      <c r="U130" s="140">
        <f ca="1">IFERROR(__xludf.DUMMYFUNCTION("""COMPUTED_VALUE"""),0)</f>
        <v>0</v>
      </c>
      <c r="V130" s="100"/>
      <c r="W130" s="140">
        <f ca="1">IFERROR(__xludf.DUMMYFUNCTION("""COMPUTED_VALUE"""),3000)</f>
        <v>3000</v>
      </c>
      <c r="X130" s="140"/>
      <c r="Y130" s="147">
        <f t="shared" ca="1" si="7"/>
        <v>0</v>
      </c>
    </row>
    <row r="131" spans="1:25" ht="15.75" customHeight="1" x14ac:dyDescent="0.25">
      <c r="A131" s="148" t="str">
        <f ca="1">IFERROR(__xludf.DUMMYFUNCTION("""COMPUTED_VALUE"""),"India ")</f>
        <v xml:space="preserve">India </v>
      </c>
      <c r="B131" s="81" t="str">
        <f ca="1">IFERROR(__xludf.DUMMYFUNCTION("""COMPUTED_VALUE"""),"NHIPLC")</f>
        <v>NHIPLC</v>
      </c>
      <c r="C131" s="139" t="str">
        <f ca="1">IFERROR(__xludf.DUMMYFUNCTION("""COMPUTED_VALUE"""),"Global Digital Product")</f>
        <v>Global Digital Product</v>
      </c>
      <c r="D131" s="81" t="str">
        <f ca="1">IFERROR(__xludf.DUMMYFUNCTION("""COMPUTED_VALUE"""),"Global Engineering")</f>
        <v>Global Engineering</v>
      </c>
      <c r="E131" s="139" t="str">
        <f ca="1">IFERROR(__xludf.DUMMYFUNCTION("""COMPUTED_VALUE"""),"Direct Cost")</f>
        <v>Direct Cost</v>
      </c>
      <c r="F131" s="139" t="str">
        <f ca="1">IFERROR(__xludf.DUMMYFUNCTION("""COMPUTED_VALUE"""),"Travel &amp; Lodging Expenses")</f>
        <v>Travel &amp; Lodging Expenses</v>
      </c>
      <c r="G131" s="139" t="str">
        <f ca="1">IFERROR(__xludf.DUMMYFUNCTION("""COMPUTED_VALUE"""),"Other incidental travel costs")</f>
        <v>Other incidental travel costs</v>
      </c>
      <c r="H131" s="141">
        <f ca="1">IFERROR(__xludf.DUMMYFUNCTION("""COMPUTED_VALUE"""),93106)</f>
        <v>93106</v>
      </c>
      <c r="I131" s="140">
        <f ca="1">IFERROR(__xludf.DUMMYFUNCTION("""COMPUTED_VALUE"""),27600)</f>
        <v>27600</v>
      </c>
      <c r="J131" s="140">
        <f ca="1">IFERROR(__xludf.DUMMYFUNCTION("""COMPUTED_VALUE"""),0)</f>
        <v>0</v>
      </c>
      <c r="K131" s="140">
        <f ca="1">IFERROR(__xludf.DUMMYFUNCTION("""COMPUTED_VALUE"""),0)</f>
        <v>0</v>
      </c>
      <c r="L131" s="140">
        <f ca="1">IFERROR(__xludf.DUMMYFUNCTION("""COMPUTED_VALUE"""),0)</f>
        <v>0</v>
      </c>
      <c r="M131" s="143">
        <f ca="1">IFERROR(__xludf.DUMMYFUNCTION("""COMPUTED_VALUE"""),700)</f>
        <v>700</v>
      </c>
      <c r="N131" s="140">
        <f ca="1">IFERROR(__xludf.DUMMYFUNCTION("""COMPUTED_VALUE"""),700)</f>
        <v>700</v>
      </c>
      <c r="O131" s="140">
        <f ca="1">IFERROR(__xludf.DUMMYFUNCTION("""COMPUTED_VALUE"""),3000)</f>
        <v>3000</v>
      </c>
      <c r="P131" s="140">
        <f ca="1">IFERROR(__xludf.DUMMYFUNCTION("""COMPUTED_VALUE"""),0)</f>
        <v>0</v>
      </c>
      <c r="Q131" s="140">
        <f ca="1">IFERROR(__xludf.DUMMYFUNCTION("""COMPUTED_VALUE"""),23200)</f>
        <v>23200</v>
      </c>
      <c r="R131" s="140">
        <f ca="1">IFERROR(__xludf.DUMMYFUNCTION("""COMPUTED_VALUE"""),0)</f>
        <v>0</v>
      </c>
      <c r="S131" s="140">
        <f ca="1">IFERROR(__xludf.DUMMYFUNCTION("""COMPUTED_VALUE"""),0)</f>
        <v>0</v>
      </c>
      <c r="T131" s="140">
        <f ca="1">IFERROR(__xludf.DUMMYFUNCTION("""COMPUTED_VALUE"""),0)</f>
        <v>0</v>
      </c>
      <c r="U131" s="140">
        <f ca="1">IFERROR(__xludf.DUMMYFUNCTION("""COMPUTED_VALUE"""),0)</f>
        <v>0</v>
      </c>
      <c r="V131" s="100"/>
      <c r="W131" s="140">
        <f ca="1">IFERROR(__xludf.DUMMYFUNCTION("""COMPUTED_VALUE"""),27600)</f>
        <v>27600</v>
      </c>
      <c r="X131" s="140"/>
      <c r="Y131" s="147">
        <f t="shared" ca="1" si="7"/>
        <v>0</v>
      </c>
    </row>
    <row r="132" spans="1:25" ht="15.75" customHeight="1" x14ac:dyDescent="0.25">
      <c r="A132" s="148" t="str">
        <f ca="1">IFERROR(__xludf.DUMMYFUNCTION("""COMPUTED_VALUE"""),"India ")</f>
        <v xml:space="preserve">India </v>
      </c>
      <c r="B132" s="81" t="str">
        <f ca="1">IFERROR(__xludf.DUMMYFUNCTION("""COMPUTED_VALUE"""),"NHIPLC")</f>
        <v>NHIPLC</v>
      </c>
      <c r="C132" s="139" t="str">
        <f ca="1">IFERROR(__xludf.DUMMYFUNCTION("""COMPUTED_VALUE"""),"Global Digital Product")</f>
        <v>Global Digital Product</v>
      </c>
      <c r="D132" s="81" t="str">
        <f ca="1">IFERROR(__xludf.DUMMYFUNCTION("""COMPUTED_VALUE"""),"Global Engineering")</f>
        <v>Global Engineering</v>
      </c>
      <c r="E132" s="139" t="str">
        <f ca="1">IFERROR(__xludf.DUMMYFUNCTION("""COMPUTED_VALUE"""),"Direct Cost")</f>
        <v>Direct Cost</v>
      </c>
      <c r="F132" s="139" t="str">
        <f ca="1">IFERROR(__xludf.DUMMYFUNCTION("""COMPUTED_VALUE"""),"Supplies &amp; Printing Costs")</f>
        <v>Supplies &amp; Printing Costs</v>
      </c>
      <c r="G132" s="139" t="str">
        <f ca="1">IFERROR(__xludf.DUMMYFUNCTION("""COMPUTED_VALUE"""),"Other Direct Expenses")</f>
        <v>Other Direct Expenses</v>
      </c>
      <c r="H132" s="141">
        <f ca="1">IFERROR(__xludf.DUMMYFUNCTION("""COMPUTED_VALUE"""),93201)</f>
        <v>93201</v>
      </c>
      <c r="I132" s="140">
        <f ca="1">IFERROR(__xludf.DUMMYFUNCTION("""COMPUTED_VALUE"""),0)</f>
        <v>0</v>
      </c>
      <c r="J132" s="140">
        <f ca="1">IFERROR(__xludf.DUMMYFUNCTION("""COMPUTED_VALUE"""),0)</f>
        <v>0</v>
      </c>
      <c r="K132" s="140">
        <f ca="1">IFERROR(__xludf.DUMMYFUNCTION("""COMPUTED_VALUE"""),0)</f>
        <v>0</v>
      </c>
      <c r="L132" s="140">
        <f ca="1">IFERROR(__xludf.DUMMYFUNCTION("""COMPUTED_VALUE"""),0)</f>
        <v>0</v>
      </c>
      <c r="M132" s="143">
        <f ca="1">IFERROR(__xludf.DUMMYFUNCTION("""COMPUTED_VALUE"""),0)</f>
        <v>0</v>
      </c>
      <c r="N132" s="140">
        <f ca="1">IFERROR(__xludf.DUMMYFUNCTION("""COMPUTED_VALUE"""),0)</f>
        <v>0</v>
      </c>
      <c r="O132" s="140">
        <f ca="1">IFERROR(__xludf.DUMMYFUNCTION("""COMPUTED_VALUE"""),0)</f>
        <v>0</v>
      </c>
      <c r="P132" s="140">
        <f ca="1">IFERROR(__xludf.DUMMYFUNCTION("""COMPUTED_VALUE"""),0)</f>
        <v>0</v>
      </c>
      <c r="Q132" s="140">
        <f ca="1">IFERROR(__xludf.DUMMYFUNCTION("""COMPUTED_VALUE"""),0)</f>
        <v>0</v>
      </c>
      <c r="R132" s="140">
        <f ca="1">IFERROR(__xludf.DUMMYFUNCTION("""COMPUTED_VALUE"""),0)</f>
        <v>0</v>
      </c>
      <c r="S132" s="140">
        <f ca="1">IFERROR(__xludf.DUMMYFUNCTION("""COMPUTED_VALUE"""),0)</f>
        <v>0</v>
      </c>
      <c r="T132" s="140">
        <f ca="1">IFERROR(__xludf.DUMMYFUNCTION("""COMPUTED_VALUE"""),0)</f>
        <v>0</v>
      </c>
      <c r="U132" s="140">
        <f ca="1">IFERROR(__xludf.DUMMYFUNCTION("""COMPUTED_VALUE"""),0)</f>
        <v>0</v>
      </c>
      <c r="V132" s="100"/>
      <c r="W132" s="140">
        <f ca="1">IFERROR(__xludf.DUMMYFUNCTION("""COMPUTED_VALUE"""),0)</f>
        <v>0</v>
      </c>
      <c r="X132" s="140"/>
      <c r="Y132" s="147">
        <f t="shared" ca="1" si="7"/>
        <v>0</v>
      </c>
    </row>
    <row r="133" spans="1:25" ht="15.75" customHeight="1" x14ac:dyDescent="0.25">
      <c r="A133" s="148" t="str">
        <f ca="1">IFERROR(__xludf.DUMMYFUNCTION("""COMPUTED_VALUE"""),"India ")</f>
        <v xml:space="preserve">India </v>
      </c>
      <c r="B133" s="81" t="str">
        <f ca="1">IFERROR(__xludf.DUMMYFUNCTION("""COMPUTED_VALUE"""),"NHIPLC")</f>
        <v>NHIPLC</v>
      </c>
      <c r="C133" s="139" t="str">
        <f ca="1">IFERROR(__xludf.DUMMYFUNCTION("""COMPUTED_VALUE"""),"Global Digital Product")</f>
        <v>Global Digital Product</v>
      </c>
      <c r="D133" s="81" t="str">
        <f ca="1">IFERROR(__xludf.DUMMYFUNCTION("""COMPUTED_VALUE"""),"Global Engineering")</f>
        <v>Global Engineering</v>
      </c>
      <c r="E133" s="139" t="str">
        <f ca="1">IFERROR(__xludf.DUMMYFUNCTION("""COMPUTED_VALUE"""),"Direct Cost")</f>
        <v>Direct Cost</v>
      </c>
      <c r="F133" s="139" t="str">
        <f ca="1">IFERROR(__xludf.DUMMYFUNCTION("""COMPUTED_VALUE"""),"Supplies &amp; Printing Costs")</f>
        <v>Supplies &amp; Printing Costs</v>
      </c>
      <c r="G133" s="139" t="str">
        <f ca="1">IFERROR(__xludf.DUMMYFUNCTION("""COMPUTED_VALUE"""),"Printing expenses")</f>
        <v>Printing expenses</v>
      </c>
      <c r="H133" s="141">
        <f ca="1">IFERROR(__xludf.DUMMYFUNCTION("""COMPUTED_VALUE"""),93204)</f>
        <v>93204</v>
      </c>
      <c r="I133" s="140">
        <f ca="1">IFERROR(__xludf.DUMMYFUNCTION("""COMPUTED_VALUE"""),0)</f>
        <v>0</v>
      </c>
      <c r="J133" s="140">
        <f ca="1">IFERROR(__xludf.DUMMYFUNCTION("""COMPUTED_VALUE"""),0)</f>
        <v>0</v>
      </c>
      <c r="K133" s="140">
        <f ca="1">IFERROR(__xludf.DUMMYFUNCTION("""COMPUTED_VALUE"""),0)</f>
        <v>0</v>
      </c>
      <c r="L133" s="140">
        <f ca="1">IFERROR(__xludf.DUMMYFUNCTION("""COMPUTED_VALUE"""),0)</f>
        <v>0</v>
      </c>
      <c r="M133" s="143">
        <f ca="1">IFERROR(__xludf.DUMMYFUNCTION("""COMPUTED_VALUE"""),0)</f>
        <v>0</v>
      </c>
      <c r="N133" s="140">
        <f ca="1">IFERROR(__xludf.DUMMYFUNCTION("""COMPUTED_VALUE"""),0)</f>
        <v>0</v>
      </c>
      <c r="O133" s="140">
        <f ca="1">IFERROR(__xludf.DUMMYFUNCTION("""COMPUTED_VALUE"""),0)</f>
        <v>0</v>
      </c>
      <c r="P133" s="140">
        <f ca="1">IFERROR(__xludf.DUMMYFUNCTION("""COMPUTED_VALUE"""),0)</f>
        <v>0</v>
      </c>
      <c r="Q133" s="140">
        <f ca="1">IFERROR(__xludf.DUMMYFUNCTION("""COMPUTED_VALUE"""),0)</f>
        <v>0</v>
      </c>
      <c r="R133" s="140">
        <f ca="1">IFERROR(__xludf.DUMMYFUNCTION("""COMPUTED_VALUE"""),0)</f>
        <v>0</v>
      </c>
      <c r="S133" s="140">
        <f ca="1">IFERROR(__xludf.DUMMYFUNCTION("""COMPUTED_VALUE"""),0)</f>
        <v>0</v>
      </c>
      <c r="T133" s="140">
        <f ca="1">IFERROR(__xludf.DUMMYFUNCTION("""COMPUTED_VALUE"""),0)</f>
        <v>0</v>
      </c>
      <c r="U133" s="140">
        <f ca="1">IFERROR(__xludf.DUMMYFUNCTION("""COMPUTED_VALUE"""),0)</f>
        <v>0</v>
      </c>
      <c r="V133" s="100"/>
      <c r="W133" s="140">
        <f ca="1">IFERROR(__xludf.DUMMYFUNCTION("""COMPUTED_VALUE"""),0)</f>
        <v>0</v>
      </c>
      <c r="X133" s="140"/>
      <c r="Y133" s="147">
        <f t="shared" ca="1" si="7"/>
        <v>0</v>
      </c>
    </row>
    <row r="134" spans="1:25" ht="15.75" customHeight="1" x14ac:dyDescent="0.25">
      <c r="A134" s="148" t="str">
        <f ca="1">IFERROR(__xludf.DUMMYFUNCTION("""COMPUTED_VALUE"""),"India ")</f>
        <v xml:space="preserve">India </v>
      </c>
      <c r="B134" s="81" t="str">
        <f ca="1">IFERROR(__xludf.DUMMYFUNCTION("""COMPUTED_VALUE"""),"NHIPLC")</f>
        <v>NHIPLC</v>
      </c>
      <c r="C134" s="139" t="str">
        <f ca="1">IFERROR(__xludf.DUMMYFUNCTION("""COMPUTED_VALUE"""),"Global Digital Product")</f>
        <v>Global Digital Product</v>
      </c>
      <c r="D134" s="81" t="str">
        <f ca="1">IFERROR(__xludf.DUMMYFUNCTION("""COMPUTED_VALUE"""),"Global Engineering")</f>
        <v>Global Engineering</v>
      </c>
      <c r="E134" s="139" t="str">
        <f ca="1">IFERROR(__xludf.DUMMYFUNCTION("""COMPUTED_VALUE"""),"Direct Cost")</f>
        <v>Direct Cost</v>
      </c>
      <c r="F134" s="139" t="str">
        <f ca="1">IFERROR(__xludf.DUMMYFUNCTION("""COMPUTED_VALUE"""),"Communication Cost")</f>
        <v>Communication Cost</v>
      </c>
      <c r="G134" s="139" t="str">
        <f ca="1">IFERROR(__xludf.DUMMYFUNCTION("""COMPUTED_VALUE"""),"Internet Expenses")</f>
        <v>Internet Expenses</v>
      </c>
      <c r="H134" s="141">
        <f ca="1">IFERROR(__xludf.DUMMYFUNCTION("""COMPUTED_VALUE"""),93301)</f>
        <v>93301</v>
      </c>
      <c r="I134" s="140">
        <f ca="1">IFERROR(__xludf.DUMMYFUNCTION("""COMPUTED_VALUE"""),0)</f>
        <v>0</v>
      </c>
      <c r="J134" s="140">
        <f ca="1">IFERROR(__xludf.DUMMYFUNCTION("""COMPUTED_VALUE"""),0)</f>
        <v>0</v>
      </c>
      <c r="K134" s="140">
        <f ca="1">IFERROR(__xludf.DUMMYFUNCTION("""COMPUTED_VALUE"""),0)</f>
        <v>0</v>
      </c>
      <c r="L134" s="140">
        <f ca="1">IFERROR(__xludf.DUMMYFUNCTION("""COMPUTED_VALUE"""),0)</f>
        <v>0</v>
      </c>
      <c r="M134" s="143">
        <f ca="1">IFERROR(__xludf.DUMMYFUNCTION("""COMPUTED_VALUE"""),0)</f>
        <v>0</v>
      </c>
      <c r="N134" s="140">
        <f ca="1">IFERROR(__xludf.DUMMYFUNCTION("""COMPUTED_VALUE"""),0)</f>
        <v>0</v>
      </c>
      <c r="O134" s="140">
        <f ca="1">IFERROR(__xludf.DUMMYFUNCTION("""COMPUTED_VALUE"""),0)</f>
        <v>0</v>
      </c>
      <c r="P134" s="140">
        <f ca="1">IFERROR(__xludf.DUMMYFUNCTION("""COMPUTED_VALUE"""),0)</f>
        <v>0</v>
      </c>
      <c r="Q134" s="140">
        <f ca="1">IFERROR(__xludf.DUMMYFUNCTION("""COMPUTED_VALUE"""),0)</f>
        <v>0</v>
      </c>
      <c r="R134" s="140">
        <f ca="1">IFERROR(__xludf.DUMMYFUNCTION("""COMPUTED_VALUE"""),0)</f>
        <v>0</v>
      </c>
      <c r="S134" s="140">
        <f ca="1">IFERROR(__xludf.DUMMYFUNCTION("""COMPUTED_VALUE"""),0)</f>
        <v>0</v>
      </c>
      <c r="T134" s="140">
        <f ca="1">IFERROR(__xludf.DUMMYFUNCTION("""COMPUTED_VALUE"""),0)</f>
        <v>0</v>
      </c>
      <c r="U134" s="140">
        <f ca="1">IFERROR(__xludf.DUMMYFUNCTION("""COMPUTED_VALUE"""),0)</f>
        <v>0</v>
      </c>
      <c r="V134" s="100"/>
      <c r="W134" s="140">
        <f ca="1">IFERROR(__xludf.DUMMYFUNCTION("""COMPUTED_VALUE"""),0)</f>
        <v>0</v>
      </c>
      <c r="X134" s="140"/>
      <c r="Y134" s="147">
        <f t="shared" ca="1" si="7"/>
        <v>0</v>
      </c>
    </row>
    <row r="135" spans="1:25" ht="15.75" customHeight="1" x14ac:dyDescent="0.25">
      <c r="A135" s="148" t="str">
        <f ca="1">IFERROR(__xludf.DUMMYFUNCTION("""COMPUTED_VALUE"""),"India ")</f>
        <v xml:space="preserve">India </v>
      </c>
      <c r="B135" s="81" t="str">
        <f ca="1">IFERROR(__xludf.DUMMYFUNCTION("""COMPUTED_VALUE"""),"NHIPLC")</f>
        <v>NHIPLC</v>
      </c>
      <c r="C135" s="139" t="str">
        <f ca="1">IFERROR(__xludf.DUMMYFUNCTION("""COMPUTED_VALUE"""),"Global Digital Product")</f>
        <v>Global Digital Product</v>
      </c>
      <c r="D135" s="81" t="str">
        <f ca="1">IFERROR(__xludf.DUMMYFUNCTION("""COMPUTED_VALUE"""),"Global Engineering")</f>
        <v>Global Engineering</v>
      </c>
      <c r="E135" s="139" t="str">
        <f ca="1">IFERROR(__xludf.DUMMYFUNCTION("""COMPUTED_VALUE"""),"Direct Cost")</f>
        <v>Direct Cost</v>
      </c>
      <c r="F135" s="139" t="str">
        <f ca="1">IFERROR(__xludf.DUMMYFUNCTION("""COMPUTED_VALUE"""),"Communication Cost")</f>
        <v>Communication Cost</v>
      </c>
      <c r="G135" s="139" t="str">
        <f ca="1">IFERROR(__xludf.DUMMYFUNCTION("""COMPUTED_VALUE"""),"Postage &amp; Courier Expenses")</f>
        <v>Postage &amp; Courier Expenses</v>
      </c>
      <c r="H135" s="141">
        <f ca="1">IFERROR(__xludf.DUMMYFUNCTION("""COMPUTED_VALUE"""),93302)</f>
        <v>93302</v>
      </c>
      <c r="I135" s="140">
        <f ca="1">IFERROR(__xludf.DUMMYFUNCTION("""COMPUTED_VALUE"""),0)</f>
        <v>0</v>
      </c>
      <c r="J135" s="140">
        <f ca="1">IFERROR(__xludf.DUMMYFUNCTION("""COMPUTED_VALUE"""),0)</f>
        <v>0</v>
      </c>
      <c r="K135" s="140">
        <f ca="1">IFERROR(__xludf.DUMMYFUNCTION("""COMPUTED_VALUE"""),0)</f>
        <v>0</v>
      </c>
      <c r="L135" s="140">
        <f ca="1">IFERROR(__xludf.DUMMYFUNCTION("""COMPUTED_VALUE"""),0)</f>
        <v>0</v>
      </c>
      <c r="M135" s="143">
        <f ca="1">IFERROR(__xludf.DUMMYFUNCTION("""COMPUTED_VALUE"""),0)</f>
        <v>0</v>
      </c>
      <c r="N135" s="140">
        <f ca="1">IFERROR(__xludf.DUMMYFUNCTION("""COMPUTED_VALUE"""),0)</f>
        <v>0</v>
      </c>
      <c r="O135" s="140">
        <f ca="1">IFERROR(__xludf.DUMMYFUNCTION("""COMPUTED_VALUE"""),0)</f>
        <v>0</v>
      </c>
      <c r="P135" s="140">
        <f ca="1">IFERROR(__xludf.DUMMYFUNCTION("""COMPUTED_VALUE"""),0)</f>
        <v>0</v>
      </c>
      <c r="Q135" s="140">
        <f ca="1">IFERROR(__xludf.DUMMYFUNCTION("""COMPUTED_VALUE"""),0)</f>
        <v>0</v>
      </c>
      <c r="R135" s="140">
        <f ca="1">IFERROR(__xludf.DUMMYFUNCTION("""COMPUTED_VALUE"""),0)</f>
        <v>0</v>
      </c>
      <c r="S135" s="140">
        <f ca="1">IFERROR(__xludf.DUMMYFUNCTION("""COMPUTED_VALUE"""),0)</f>
        <v>0</v>
      </c>
      <c r="T135" s="140">
        <f ca="1">IFERROR(__xludf.DUMMYFUNCTION("""COMPUTED_VALUE"""),0)</f>
        <v>0</v>
      </c>
      <c r="U135" s="140">
        <f ca="1">IFERROR(__xludf.DUMMYFUNCTION("""COMPUTED_VALUE"""),0)</f>
        <v>0</v>
      </c>
      <c r="V135" s="100"/>
      <c r="W135" s="140">
        <f ca="1">IFERROR(__xludf.DUMMYFUNCTION("""COMPUTED_VALUE"""),0)</f>
        <v>0</v>
      </c>
      <c r="X135" s="140"/>
      <c r="Y135" s="147">
        <f t="shared" ca="1" si="7"/>
        <v>0</v>
      </c>
    </row>
    <row r="136" spans="1:25" ht="15.75" customHeight="1" x14ac:dyDescent="0.25">
      <c r="A136" s="148" t="str">
        <f ca="1">IFERROR(__xludf.DUMMYFUNCTION("""COMPUTED_VALUE"""),"India ")</f>
        <v xml:space="preserve">India </v>
      </c>
      <c r="B136" s="81" t="str">
        <f ca="1">IFERROR(__xludf.DUMMYFUNCTION("""COMPUTED_VALUE"""),"NHIPLC")</f>
        <v>NHIPLC</v>
      </c>
      <c r="C136" s="139" t="str">
        <f ca="1">IFERROR(__xludf.DUMMYFUNCTION("""COMPUTED_VALUE"""),"Global Digital Product")</f>
        <v>Global Digital Product</v>
      </c>
      <c r="D136" s="81" t="str">
        <f ca="1">IFERROR(__xludf.DUMMYFUNCTION("""COMPUTED_VALUE"""),"Global Engineering")</f>
        <v>Global Engineering</v>
      </c>
      <c r="E136" s="139" t="str">
        <f ca="1">IFERROR(__xludf.DUMMYFUNCTION("""COMPUTED_VALUE"""),"Direct Cost")</f>
        <v>Direct Cost</v>
      </c>
      <c r="F136" s="139" t="str">
        <f ca="1">IFERROR(__xludf.DUMMYFUNCTION("""COMPUTED_VALUE"""),"Communication Cost")</f>
        <v>Communication Cost</v>
      </c>
      <c r="G136" s="139" t="str">
        <f ca="1">IFERROR(__xludf.DUMMYFUNCTION("""COMPUTED_VALUE"""),"Telecommunication expenses")</f>
        <v>Telecommunication expenses</v>
      </c>
      <c r="H136" s="141">
        <f ca="1">IFERROR(__xludf.DUMMYFUNCTION("""COMPUTED_VALUE"""),93303)</f>
        <v>93303</v>
      </c>
      <c r="I136" s="140">
        <f ca="1">IFERROR(__xludf.DUMMYFUNCTION("""COMPUTED_VALUE"""),0)</f>
        <v>0</v>
      </c>
      <c r="J136" s="140"/>
      <c r="K136" s="140"/>
      <c r="L136" s="140"/>
      <c r="M136" s="143"/>
      <c r="N136" s="140"/>
      <c r="O136" s="140"/>
      <c r="P136" s="140"/>
      <c r="Q136" s="140"/>
      <c r="R136" s="140"/>
      <c r="S136" s="140"/>
      <c r="T136" s="140"/>
      <c r="U136" s="140"/>
      <c r="V136" s="100"/>
      <c r="W136" s="140">
        <f ca="1">IFERROR(__xludf.DUMMYFUNCTION("""COMPUTED_VALUE"""),0)</f>
        <v>0</v>
      </c>
      <c r="X136" s="140"/>
      <c r="Y136" s="147">
        <f t="shared" ca="1" si="7"/>
        <v>0</v>
      </c>
    </row>
    <row r="137" spans="1:25" ht="15.75" customHeight="1" x14ac:dyDescent="0.25">
      <c r="A137" s="148" t="str">
        <f ca="1">IFERROR(__xludf.DUMMYFUNCTION("""COMPUTED_VALUE"""),"India ")</f>
        <v xml:space="preserve">India </v>
      </c>
      <c r="B137" s="81" t="str">
        <f ca="1">IFERROR(__xludf.DUMMYFUNCTION("""COMPUTED_VALUE"""),"NHIPLC")</f>
        <v>NHIPLC</v>
      </c>
      <c r="C137" s="139" t="str">
        <f ca="1">IFERROR(__xludf.DUMMYFUNCTION("""COMPUTED_VALUE"""),"Global Digital Product")</f>
        <v>Global Digital Product</v>
      </c>
      <c r="D137" s="81" t="str">
        <f ca="1">IFERROR(__xludf.DUMMYFUNCTION("""COMPUTED_VALUE"""),"Global Engineering")</f>
        <v>Global Engineering</v>
      </c>
      <c r="E137" s="139" t="str">
        <f ca="1">IFERROR(__xludf.DUMMYFUNCTION("""COMPUTED_VALUE"""),"Direct Cost")</f>
        <v>Direct Cost</v>
      </c>
      <c r="F137" s="139" t="str">
        <f ca="1">IFERROR(__xludf.DUMMYFUNCTION("""COMPUTED_VALUE"""),"Office Expenses")</f>
        <v>Office Expenses</v>
      </c>
      <c r="G137" s="139" t="str">
        <f ca="1">IFERROR(__xludf.DUMMYFUNCTION("""COMPUTED_VALUE"""),"Software and Subscriptions")</f>
        <v>Software and Subscriptions</v>
      </c>
      <c r="H137" s="141">
        <f ca="1">IFERROR(__xludf.DUMMYFUNCTION("""COMPUTED_VALUE"""),93401)</f>
        <v>93401</v>
      </c>
      <c r="I137" s="140">
        <f ca="1">IFERROR(__xludf.DUMMYFUNCTION("""COMPUTED_VALUE"""),252000)</f>
        <v>252000</v>
      </c>
      <c r="J137" s="140">
        <f ca="1">IFERROR(__xludf.DUMMYFUNCTION("""COMPUTED_VALUE"""),21000)</f>
        <v>21000</v>
      </c>
      <c r="K137" s="140">
        <f ca="1">IFERROR(__xludf.DUMMYFUNCTION("""COMPUTED_VALUE"""),21000)</f>
        <v>21000</v>
      </c>
      <c r="L137" s="140">
        <f ca="1">IFERROR(__xludf.DUMMYFUNCTION("""COMPUTED_VALUE"""),21000)</f>
        <v>21000</v>
      </c>
      <c r="M137" s="143">
        <f ca="1">IFERROR(__xludf.DUMMYFUNCTION("""COMPUTED_VALUE"""),21000)</f>
        <v>21000</v>
      </c>
      <c r="N137" s="140">
        <f ca="1">IFERROR(__xludf.DUMMYFUNCTION("""COMPUTED_VALUE"""),21000)</f>
        <v>21000</v>
      </c>
      <c r="O137" s="140">
        <f ca="1">IFERROR(__xludf.DUMMYFUNCTION("""COMPUTED_VALUE"""),21000)</f>
        <v>21000</v>
      </c>
      <c r="P137" s="140">
        <f ca="1">IFERROR(__xludf.DUMMYFUNCTION("""COMPUTED_VALUE"""),21000)</f>
        <v>21000</v>
      </c>
      <c r="Q137" s="140">
        <f ca="1">IFERROR(__xludf.DUMMYFUNCTION("""COMPUTED_VALUE"""),21000)</f>
        <v>21000</v>
      </c>
      <c r="R137" s="140">
        <f ca="1">IFERROR(__xludf.DUMMYFUNCTION("""COMPUTED_VALUE"""),21000)</f>
        <v>21000</v>
      </c>
      <c r="S137" s="140">
        <f ca="1">IFERROR(__xludf.DUMMYFUNCTION("""COMPUTED_VALUE"""),21000)</f>
        <v>21000</v>
      </c>
      <c r="T137" s="140">
        <f ca="1">IFERROR(__xludf.DUMMYFUNCTION("""COMPUTED_VALUE"""),21000)</f>
        <v>21000</v>
      </c>
      <c r="U137" s="140">
        <f ca="1">IFERROR(__xludf.DUMMYFUNCTION("""COMPUTED_VALUE"""),21000)</f>
        <v>21000</v>
      </c>
      <c r="V137" s="100"/>
      <c r="W137" s="140">
        <f ca="1">IFERROR(__xludf.DUMMYFUNCTION("""COMPUTED_VALUE"""),252000)</f>
        <v>252000</v>
      </c>
      <c r="X137" s="140"/>
      <c r="Y137" s="147">
        <f t="shared" ca="1" si="7"/>
        <v>0</v>
      </c>
    </row>
    <row r="138" spans="1:25" ht="15.75" customHeight="1" x14ac:dyDescent="0.25">
      <c r="A138" s="148" t="str">
        <f ca="1">IFERROR(__xludf.DUMMYFUNCTION("""COMPUTED_VALUE"""),"India ")</f>
        <v xml:space="preserve">India </v>
      </c>
      <c r="B138" s="81" t="str">
        <f ca="1">IFERROR(__xludf.DUMMYFUNCTION("""COMPUTED_VALUE"""),"NHIPLC")</f>
        <v>NHIPLC</v>
      </c>
      <c r="C138" s="139" t="str">
        <f ca="1">IFERROR(__xludf.DUMMYFUNCTION("""COMPUTED_VALUE"""),"Global Digital Product")</f>
        <v>Global Digital Product</v>
      </c>
      <c r="D138" s="81" t="str">
        <f ca="1">IFERROR(__xludf.DUMMYFUNCTION("""COMPUTED_VALUE"""),"Global Engineering")</f>
        <v>Global Engineering</v>
      </c>
      <c r="E138" s="139" t="str">
        <f ca="1">IFERROR(__xludf.DUMMYFUNCTION("""COMPUTED_VALUE"""),"Direct Cost")</f>
        <v>Direct Cost</v>
      </c>
      <c r="F138" s="139" t="str">
        <f ca="1">IFERROR(__xludf.DUMMYFUNCTION("""COMPUTED_VALUE"""),"Office Expenses")</f>
        <v>Office Expenses</v>
      </c>
      <c r="G138" s="139" t="str">
        <f ca="1">IFERROR(__xludf.DUMMYFUNCTION("""COMPUTED_VALUE"""),"Stationery &amp; Consumables")</f>
        <v>Stationery &amp; Consumables</v>
      </c>
      <c r="H138" s="141">
        <f ca="1">IFERROR(__xludf.DUMMYFUNCTION("""COMPUTED_VALUE"""),93404)</f>
        <v>93404</v>
      </c>
      <c r="I138" s="140">
        <f ca="1">IFERROR(__xludf.DUMMYFUNCTION("""COMPUTED_VALUE"""),0)</f>
        <v>0</v>
      </c>
      <c r="J138" s="140"/>
      <c r="K138" s="140"/>
      <c r="L138" s="140"/>
      <c r="M138" s="143"/>
      <c r="N138" s="140"/>
      <c r="O138" s="140"/>
      <c r="P138" s="140"/>
      <c r="Q138" s="140"/>
      <c r="R138" s="140"/>
      <c r="S138" s="140"/>
      <c r="T138" s="140"/>
      <c r="U138" s="140"/>
      <c r="V138" s="100"/>
      <c r="W138" s="140">
        <f ca="1">IFERROR(__xludf.DUMMYFUNCTION("""COMPUTED_VALUE"""),0)</f>
        <v>0</v>
      </c>
      <c r="X138" s="140"/>
      <c r="Y138" s="147">
        <f t="shared" ca="1" si="7"/>
        <v>0</v>
      </c>
    </row>
    <row r="139" spans="1:25" ht="15.75" customHeight="1" x14ac:dyDescent="0.25">
      <c r="A139" s="148" t="str">
        <f ca="1">IFERROR(__xludf.DUMMYFUNCTION("""COMPUTED_VALUE"""),"India ")</f>
        <v xml:space="preserve">India </v>
      </c>
      <c r="B139" s="81" t="str">
        <f ca="1">IFERROR(__xludf.DUMMYFUNCTION("""COMPUTED_VALUE"""),"NHIPLC")</f>
        <v>NHIPLC</v>
      </c>
      <c r="C139" s="139" t="str">
        <f ca="1">IFERROR(__xludf.DUMMYFUNCTION("""COMPUTED_VALUE"""),"Global Digital Product")</f>
        <v>Global Digital Product</v>
      </c>
      <c r="D139" s="81" t="str">
        <f ca="1">IFERROR(__xludf.DUMMYFUNCTION("""COMPUTED_VALUE"""),"Global Engineering")</f>
        <v>Global Engineering</v>
      </c>
      <c r="E139" s="139" t="str">
        <f ca="1">IFERROR(__xludf.DUMMYFUNCTION("""COMPUTED_VALUE"""),"Direct Cost")</f>
        <v>Direct Cost</v>
      </c>
      <c r="F139" s="139" t="str">
        <f ca="1">IFERROR(__xludf.DUMMYFUNCTION("""COMPUTED_VALUE"""),"Office Expenses")</f>
        <v>Office Expenses</v>
      </c>
      <c r="G139" s="139" t="str">
        <f ca="1">IFERROR(__xludf.DUMMYFUNCTION("""COMPUTED_VALUE"""),"Office Equipment Expense")</f>
        <v>Office Equipment Expense</v>
      </c>
      <c r="H139" s="141">
        <f ca="1">IFERROR(__xludf.DUMMYFUNCTION("""COMPUTED_VALUE"""),93405)</f>
        <v>93405</v>
      </c>
      <c r="I139" s="140">
        <f ca="1">IFERROR(__xludf.DUMMYFUNCTION("""COMPUTED_VALUE"""),0)</f>
        <v>0</v>
      </c>
      <c r="J139" s="140"/>
      <c r="K139" s="140"/>
      <c r="L139" s="140"/>
      <c r="M139" s="143"/>
      <c r="N139" s="140"/>
      <c r="O139" s="140"/>
      <c r="P139" s="140"/>
      <c r="Q139" s="140"/>
      <c r="R139" s="140"/>
      <c r="S139" s="140"/>
      <c r="T139" s="140"/>
      <c r="U139" s="140"/>
      <c r="V139" s="100"/>
      <c r="W139" s="140">
        <f ca="1">IFERROR(__xludf.DUMMYFUNCTION("""COMPUTED_VALUE"""),0)</f>
        <v>0</v>
      </c>
      <c r="X139" s="140"/>
      <c r="Y139" s="147">
        <f t="shared" ca="1" si="7"/>
        <v>0</v>
      </c>
    </row>
    <row r="140" spans="1:25" ht="15.75" customHeight="1" x14ac:dyDescent="0.25">
      <c r="A140" s="148" t="str">
        <f ca="1">IFERROR(__xludf.DUMMYFUNCTION("""COMPUTED_VALUE"""),"India ")</f>
        <v xml:space="preserve">India </v>
      </c>
      <c r="B140" s="81" t="str">
        <f ca="1">IFERROR(__xludf.DUMMYFUNCTION("""COMPUTED_VALUE"""),"NHIPLC")</f>
        <v>NHIPLC</v>
      </c>
      <c r="C140" s="139" t="str">
        <f ca="1">IFERROR(__xludf.DUMMYFUNCTION("""COMPUTED_VALUE"""),"Global Digital Product")</f>
        <v>Global Digital Product</v>
      </c>
      <c r="D140" s="81" t="str">
        <f ca="1">IFERROR(__xludf.DUMMYFUNCTION("""COMPUTED_VALUE"""),"Global Engineering")</f>
        <v>Global Engineering</v>
      </c>
      <c r="E140" s="139" t="str">
        <f ca="1">IFERROR(__xludf.DUMMYFUNCTION("""COMPUTED_VALUE"""),"Indirect Cost")</f>
        <v>Indirect Cost</v>
      </c>
      <c r="F140" s="139" t="str">
        <f ca="1">IFERROR(__xludf.DUMMYFUNCTION("""COMPUTED_VALUE"""),"Professional &amp; Consultancy Charges")</f>
        <v>Professional &amp; Consultancy Charges</v>
      </c>
      <c r="G140" s="139" t="str">
        <f ca="1">IFERROR(__xludf.DUMMYFUNCTION("""COMPUTED_VALUE"""),"Admin Consultants")</f>
        <v>Admin Consultants</v>
      </c>
      <c r="H140" s="141">
        <f ca="1">IFERROR(__xludf.DUMMYFUNCTION("""COMPUTED_VALUE"""),93703)</f>
        <v>93703</v>
      </c>
      <c r="I140" s="140">
        <f ca="1">IFERROR(__xludf.DUMMYFUNCTION("""COMPUTED_VALUE"""),2400000)</f>
        <v>2400000</v>
      </c>
      <c r="J140" s="140">
        <f ca="1">IFERROR(__xludf.DUMMYFUNCTION("""COMPUTED_VALUE"""),200000)</f>
        <v>200000</v>
      </c>
      <c r="K140" s="140">
        <f ca="1">IFERROR(__xludf.DUMMYFUNCTION("""COMPUTED_VALUE"""),200000)</f>
        <v>200000</v>
      </c>
      <c r="L140" s="140">
        <f ca="1">IFERROR(__xludf.DUMMYFUNCTION("""COMPUTED_VALUE"""),200000)</f>
        <v>200000</v>
      </c>
      <c r="M140" s="143">
        <f ca="1">IFERROR(__xludf.DUMMYFUNCTION("""COMPUTED_VALUE"""),200000)</f>
        <v>200000</v>
      </c>
      <c r="N140" s="140">
        <f ca="1">IFERROR(__xludf.DUMMYFUNCTION("""COMPUTED_VALUE"""),200000)</f>
        <v>200000</v>
      </c>
      <c r="O140" s="140">
        <f ca="1">IFERROR(__xludf.DUMMYFUNCTION("""COMPUTED_VALUE"""),200000)</f>
        <v>200000</v>
      </c>
      <c r="P140" s="140">
        <f ca="1">IFERROR(__xludf.DUMMYFUNCTION("""COMPUTED_VALUE"""),200000)</f>
        <v>200000</v>
      </c>
      <c r="Q140" s="140">
        <f ca="1">IFERROR(__xludf.DUMMYFUNCTION("""COMPUTED_VALUE"""),200000)</f>
        <v>200000</v>
      </c>
      <c r="R140" s="140">
        <f ca="1">IFERROR(__xludf.DUMMYFUNCTION("""COMPUTED_VALUE"""),200000)</f>
        <v>200000</v>
      </c>
      <c r="S140" s="140">
        <f ca="1">IFERROR(__xludf.DUMMYFUNCTION("""COMPUTED_VALUE"""),200000)</f>
        <v>200000</v>
      </c>
      <c r="T140" s="140">
        <f ca="1">IFERROR(__xludf.DUMMYFUNCTION("""COMPUTED_VALUE"""),200000)</f>
        <v>200000</v>
      </c>
      <c r="U140" s="140">
        <f ca="1">IFERROR(__xludf.DUMMYFUNCTION("""COMPUTED_VALUE"""),200000)</f>
        <v>200000</v>
      </c>
      <c r="V140" s="100"/>
      <c r="W140" s="140">
        <f ca="1">IFERROR(__xludf.DUMMYFUNCTION("""COMPUTED_VALUE"""),2400000)</f>
        <v>2400000</v>
      </c>
      <c r="X140" s="140"/>
      <c r="Y140" s="147">
        <f t="shared" ca="1" si="7"/>
        <v>0</v>
      </c>
    </row>
    <row r="141" spans="1:25" ht="15.75" customHeight="1" x14ac:dyDescent="0.25">
      <c r="A141" s="148" t="str">
        <f ca="1">IFERROR(__xludf.DUMMYFUNCTION("""COMPUTED_VALUE"""),"India")</f>
        <v>India</v>
      </c>
      <c r="B141" s="81" t="str">
        <f ca="1">IFERROR(__xludf.DUMMYFUNCTION("""COMPUTED_VALUE"""),"NHIPLC")</f>
        <v>NHIPLC</v>
      </c>
      <c r="C141" s="139" t="str">
        <f ca="1">IFERROR(__xludf.DUMMYFUNCTION("""COMPUTED_VALUE"""),"Global Digital Product")</f>
        <v>Global Digital Product</v>
      </c>
      <c r="D141" s="139" t="str">
        <f ca="1">IFERROR(__xludf.DUMMYFUNCTION("""COMPUTED_VALUE"""),"Global Engineering")</f>
        <v>Global Engineering</v>
      </c>
      <c r="E141" s="139" t="str">
        <f ca="1">IFERROR(__xludf.DUMMYFUNCTION("""COMPUTED_VALUE"""),"Fixed Assets")</f>
        <v>Fixed Assets</v>
      </c>
      <c r="F141" s="139" t="str">
        <f ca="1">IFERROR(__xludf.DUMMYFUNCTION("""COMPUTED_VALUE"""),"Fixed Assets")</f>
        <v>Fixed Assets</v>
      </c>
      <c r="G141" s="139" t="str">
        <f ca="1">IFERROR(__xludf.DUMMYFUNCTION("""COMPUTED_VALUE"""),"Laptop/ Printer")</f>
        <v>Laptop/ Printer</v>
      </c>
      <c r="H141" s="141">
        <f ca="1">IFERROR(__xludf.DUMMYFUNCTION("""COMPUTED_VALUE"""),11301)</f>
        <v>11301</v>
      </c>
      <c r="I141" s="140">
        <f ca="1">IFERROR(__xludf.DUMMYFUNCTION("""COMPUTED_VALUE"""),1225000)</f>
        <v>1225000</v>
      </c>
      <c r="J141" s="140">
        <f ca="1">IFERROR(__xludf.DUMMYFUNCTION("""COMPUTED_VALUE"""),0)</f>
        <v>0</v>
      </c>
      <c r="K141" s="140">
        <f ca="1">IFERROR(__xludf.DUMMYFUNCTION("""COMPUTED_VALUE"""),0)</f>
        <v>0</v>
      </c>
      <c r="L141" s="140">
        <f ca="1">IFERROR(__xludf.DUMMYFUNCTION("""COMPUTED_VALUE"""),1225000)</f>
        <v>1225000</v>
      </c>
      <c r="M141" s="143">
        <f ca="1">IFERROR(__xludf.DUMMYFUNCTION("""COMPUTED_VALUE"""),0)</f>
        <v>0</v>
      </c>
      <c r="N141" s="140">
        <f ca="1">IFERROR(__xludf.DUMMYFUNCTION("""COMPUTED_VALUE"""),0)</f>
        <v>0</v>
      </c>
      <c r="O141" s="140">
        <f ca="1">IFERROR(__xludf.DUMMYFUNCTION("""COMPUTED_VALUE"""),0)</f>
        <v>0</v>
      </c>
      <c r="P141" s="140">
        <f ca="1">IFERROR(__xludf.DUMMYFUNCTION("""COMPUTED_VALUE"""),0)</f>
        <v>0</v>
      </c>
      <c r="Q141" s="140">
        <f ca="1">IFERROR(__xludf.DUMMYFUNCTION("""COMPUTED_VALUE"""),0)</f>
        <v>0</v>
      </c>
      <c r="R141" s="140">
        <f ca="1">IFERROR(__xludf.DUMMYFUNCTION("""COMPUTED_VALUE"""),0)</f>
        <v>0</v>
      </c>
      <c r="S141" s="140">
        <f ca="1">IFERROR(__xludf.DUMMYFUNCTION("""COMPUTED_VALUE"""),0)</f>
        <v>0</v>
      </c>
      <c r="T141" s="140">
        <f ca="1">IFERROR(__xludf.DUMMYFUNCTION("""COMPUTED_VALUE"""),0)</f>
        <v>0</v>
      </c>
      <c r="U141" s="140">
        <f ca="1">IFERROR(__xludf.DUMMYFUNCTION("""COMPUTED_VALUE"""),0)</f>
        <v>0</v>
      </c>
      <c r="V141" s="100"/>
      <c r="W141" s="140">
        <f ca="1">IFERROR(__xludf.DUMMYFUNCTION("""COMPUTED_VALUE"""),1225000)</f>
        <v>1225000</v>
      </c>
      <c r="X141" s="140">
        <f ca="1">IFERROR(__xludf.DUMMYFUNCTION("""COMPUTED_VALUE"""),0)</f>
        <v>0</v>
      </c>
      <c r="Y141" s="147">
        <f t="shared" ca="1" si="7"/>
        <v>0</v>
      </c>
    </row>
    <row r="142" spans="1:25" ht="15.75" customHeight="1" x14ac:dyDescent="0.3">
      <c r="A142" s="170"/>
      <c r="B142" s="170"/>
      <c r="C142" s="170"/>
      <c r="D142" s="170"/>
      <c r="E142" s="170"/>
      <c r="F142" s="170"/>
      <c r="G142" s="170" t="str">
        <f ca="1">IFERROR(__xludf.DUMMYFUNCTION("""COMPUTED_VALUE"""),"Total expenses ")</f>
        <v xml:space="preserve">Total expenses </v>
      </c>
      <c r="H142" s="170"/>
      <c r="I142" s="171">
        <f ca="1">IFERROR(__xludf.DUMMYFUNCTION("""COMPUTED_VALUE"""),49618018.3333333)</f>
        <v>49618018.333333299</v>
      </c>
      <c r="J142" s="171">
        <f ca="1">IFERROR(__xludf.DUMMYFUNCTION("""COMPUTED_VALUE"""),2682107.08333333)</f>
        <v>2682107.0833333302</v>
      </c>
      <c r="K142" s="171">
        <f ca="1">IFERROR(__xludf.DUMMYFUNCTION("""COMPUTED_VALUE"""),2682107.08333333)</f>
        <v>2682107.0833333302</v>
      </c>
      <c r="L142" s="171">
        <f ca="1">IFERROR(__xludf.DUMMYFUNCTION("""COMPUTED_VALUE"""),4073773.75)</f>
        <v>4073773.75</v>
      </c>
      <c r="M142" s="171">
        <f ca="1">IFERROR(__xludf.DUMMYFUNCTION("""COMPUTED_VALUE"""),4040873.74999999)</f>
        <v>4040873.7499999902</v>
      </c>
      <c r="N142" s="171">
        <f ca="1">IFERROR(__xludf.DUMMYFUNCTION("""COMPUTED_VALUE"""),4524207.08333333)</f>
        <v>4524207.0833333302</v>
      </c>
      <c r="O142" s="171">
        <f ca="1">IFERROR(__xludf.DUMMYFUNCTION("""COMPUTED_VALUE"""),4627107.08333333)</f>
        <v>4627107.0833333302</v>
      </c>
      <c r="P142" s="171">
        <f ca="1">IFERROR(__xludf.DUMMYFUNCTION("""COMPUTED_VALUE"""),4482107.08333333)</f>
        <v>4482107.0833333302</v>
      </c>
      <c r="Q142" s="171">
        <f ca="1">IFERROR(__xludf.DUMMYFUNCTION("""COMPUTED_VALUE"""),4577307.08333333)</f>
        <v>4577307.0833333302</v>
      </c>
      <c r="R142" s="171">
        <f ca="1">IFERROR(__xludf.DUMMYFUNCTION("""COMPUTED_VALUE"""),4482107.08333333)</f>
        <v>4482107.0833333302</v>
      </c>
      <c r="S142" s="171">
        <f ca="1">IFERROR(__xludf.DUMMYFUNCTION("""COMPUTED_VALUE"""),4482107.08333333)</f>
        <v>4482107.0833333302</v>
      </c>
      <c r="T142" s="171">
        <f ca="1">IFERROR(__xludf.DUMMYFUNCTION("""COMPUTED_VALUE"""),4482107.08333333)</f>
        <v>4482107.0833333302</v>
      </c>
      <c r="U142" s="171">
        <f ca="1">IFERROR(__xludf.DUMMYFUNCTION("""COMPUTED_VALUE"""),4482107.08333333)</f>
        <v>4482107.0833333302</v>
      </c>
      <c r="V142" s="100">
        <f ca="1">IFERROR(__xludf.DUMMYFUNCTION("""COMPUTED_VALUE"""),2026)</f>
        <v>2026</v>
      </c>
      <c r="W142" s="171">
        <f ca="1">IFERROR(__xludf.DUMMYFUNCTION("""COMPUTED_VALUE"""),49618018.3333333)</f>
        <v>49618018.333333299</v>
      </c>
      <c r="X142" s="171">
        <f ca="1">IFERROR(__xludf.DUMMYFUNCTION("""COMPUTED_VALUE"""),0)</f>
        <v>0</v>
      </c>
    </row>
    <row r="143" spans="1:25" ht="15.75" customHeight="1" x14ac:dyDescent="0.3">
      <c r="A143" s="194"/>
      <c r="B143" s="194"/>
      <c r="C143" s="194"/>
      <c r="D143" s="194"/>
      <c r="E143" s="194"/>
      <c r="F143" s="194"/>
      <c r="G143" s="194"/>
      <c r="H143" s="194"/>
      <c r="I143" s="195">
        <f t="shared" ref="I143:U143" ca="1" si="8">I115+I92+I70+I47+I24+I119+I142</f>
        <v>124291755.58483309</v>
      </c>
      <c r="J143" s="195">
        <f t="shared" ca="1" si="8"/>
        <v>8841640.5696666539</v>
      </c>
      <c r="K143" s="195">
        <f t="shared" ca="1" si="8"/>
        <v>8415275.9696666524</v>
      </c>
      <c r="L143" s="195">
        <f t="shared" ca="1" si="8"/>
        <v>11716839.569666654</v>
      </c>
      <c r="M143" s="195">
        <f t="shared" ca="1" si="8"/>
        <v>11632999.599166654</v>
      </c>
      <c r="N143" s="195">
        <f t="shared" ca="1" si="8"/>
        <v>11187082.932499994</v>
      </c>
      <c r="O143" s="195">
        <f t="shared" ca="1" si="8"/>
        <v>10976342.349166654</v>
      </c>
      <c r="P143" s="195">
        <f t="shared" ca="1" si="8"/>
        <v>10304257.932499994</v>
      </c>
      <c r="Q143" s="195">
        <f t="shared" ca="1" si="8"/>
        <v>10320757.932499994</v>
      </c>
      <c r="R143" s="195">
        <f t="shared" ca="1" si="8"/>
        <v>10600057.932499994</v>
      </c>
      <c r="S143" s="195">
        <f t="shared" ca="1" si="8"/>
        <v>10076257.932499994</v>
      </c>
      <c r="T143" s="195">
        <f t="shared" ca="1" si="8"/>
        <v>10143984.932499994</v>
      </c>
      <c r="U143" s="195">
        <f t="shared" ca="1" si="8"/>
        <v>10076257.932499994</v>
      </c>
      <c r="V143" s="194"/>
      <c r="W143" s="195">
        <f ca="1">W115+W92+W70+W47+W24+W119+W142</f>
        <v>124291755.58483309</v>
      </c>
      <c r="X143" s="194"/>
      <c r="Y143" s="196">
        <f ca="1">W143-I143</f>
        <v>0</v>
      </c>
    </row>
    <row r="144" spans="1:2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</sheetData>
  <autoFilter ref="A1:G11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46"/>
  <sheetViews>
    <sheetView workbookViewId="0"/>
  </sheetViews>
  <sheetFormatPr defaultColWidth="12.6328125" defaultRowHeight="15" customHeight="1" x14ac:dyDescent="0.25"/>
  <cols>
    <col min="1" max="1" width="8" customWidth="1"/>
    <col min="2" max="2" width="7.36328125" customWidth="1"/>
    <col min="3" max="3" width="13" customWidth="1"/>
    <col min="4" max="4" width="18" customWidth="1"/>
    <col min="5" max="5" width="14.6328125" customWidth="1"/>
    <col min="6" max="6" width="28.08984375" customWidth="1"/>
    <col min="7" max="7" width="33.36328125" customWidth="1"/>
  </cols>
  <sheetData>
    <row r="1" spans="1:22" ht="15" customHeight="1" x14ac:dyDescent="0.25">
      <c r="A1" s="124" t="s">
        <v>4</v>
      </c>
      <c r="B1" s="23" t="s">
        <v>130</v>
      </c>
      <c r="C1" s="23" t="s">
        <v>131</v>
      </c>
      <c r="D1" s="19" t="s">
        <v>132</v>
      </c>
      <c r="E1" s="23" t="s">
        <v>133</v>
      </c>
      <c r="F1" s="19" t="s">
        <v>8</v>
      </c>
      <c r="G1" s="23" t="s">
        <v>10</v>
      </c>
      <c r="H1" s="23" t="s">
        <v>12</v>
      </c>
      <c r="I1" s="7" t="s">
        <v>2</v>
      </c>
      <c r="J1" s="8">
        <v>46023</v>
      </c>
      <c r="K1" s="8">
        <v>46054</v>
      </c>
      <c r="L1" s="8">
        <v>46082</v>
      </c>
      <c r="M1" s="8">
        <v>46113</v>
      </c>
      <c r="N1" s="8">
        <v>46143</v>
      </c>
      <c r="O1" s="8">
        <v>46174</v>
      </c>
      <c r="P1" s="8">
        <v>46204</v>
      </c>
      <c r="Q1" s="8">
        <v>46235</v>
      </c>
      <c r="R1" s="8">
        <v>46266</v>
      </c>
      <c r="S1" s="8">
        <v>46296</v>
      </c>
      <c r="T1" s="8">
        <v>46327</v>
      </c>
      <c r="U1" s="8">
        <v>46357</v>
      </c>
    </row>
    <row r="2" spans="1:22" ht="15" customHeight="1" x14ac:dyDescent="0.85">
      <c r="A2" s="130"/>
      <c r="B2" s="131"/>
      <c r="C2" s="131"/>
      <c r="D2" s="131"/>
      <c r="E2" s="131"/>
      <c r="F2" s="131"/>
      <c r="G2" s="131"/>
      <c r="H2" s="5"/>
      <c r="I2" s="20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22" t="s">
        <v>9</v>
      </c>
      <c r="S2" s="22" t="s">
        <v>9</v>
      </c>
      <c r="T2" s="22" t="s">
        <v>9</v>
      </c>
      <c r="U2" s="22" t="s">
        <v>9</v>
      </c>
    </row>
    <row r="3" spans="1:22" ht="15" customHeight="1" x14ac:dyDescent="0.25">
      <c r="A3" s="137" t="str">
        <f ca="1">IFERROR(__xludf.DUMMYFUNCTION("importrange(""https://docs.google.com/spreadsheets/d/1mqFd6hEhFR4Rf2SSS5e4bxQZZ9ieDqRDrr3P31qGoo8/edit?gid=1721423727#"",""Master Summary!A3:V23"")"),"USA")</f>
        <v>USA</v>
      </c>
      <c r="B3" s="81" t="str">
        <f ca="1">IFERROR(__xludf.DUMMYFUNCTION("""COMPUTED_VALUE"""),"NH501C")</f>
        <v>NH501C</v>
      </c>
      <c r="C3" s="139" t="str">
        <f ca="1">IFERROR(__xludf.DUMMYFUNCTION("""COMPUTED_VALUE"""),"Digital Product")</f>
        <v>Digital Product</v>
      </c>
      <c r="D3" s="139" t="str">
        <f ca="1">IFERROR(__xludf.DUMMYFUNCTION("""COMPUTED_VALUE"""),"Country Product")</f>
        <v>Country Product</v>
      </c>
      <c r="E3" s="139" t="str">
        <f ca="1">IFERROR(__xludf.DUMMYFUNCTION("""COMPUTED_VALUE"""),"Payroll Cost")</f>
        <v>Payroll Cost</v>
      </c>
      <c r="F3" s="139" t="str">
        <f ca="1">IFERROR(__xludf.DUMMYFUNCTION("""COMPUTED_VALUE"""),"Salaries and Wages")</f>
        <v>Salaries and Wages</v>
      </c>
      <c r="G3" s="139" t="str">
        <f ca="1">IFERROR(__xludf.DUMMYFUNCTION("""COMPUTED_VALUE"""),"Salaries and Wages")</f>
        <v>Salaries and Wages</v>
      </c>
      <c r="H3" s="141" t="str">
        <f ca="1">IFERROR(__xludf.DUMMYFUNCTION("""COMPUTED_VALUE"""),"91101-91107")</f>
        <v>91101-91107</v>
      </c>
      <c r="I3" s="140">
        <f ca="1">IFERROR(__xludf.DUMMYFUNCTION("""COMPUTED_VALUE"""),0)</f>
        <v>0</v>
      </c>
      <c r="J3" s="140">
        <f ca="1">IFERROR(__xludf.DUMMYFUNCTION("""COMPUTED_VALUE"""),0)</f>
        <v>0</v>
      </c>
      <c r="K3" s="140">
        <f ca="1">IFERROR(__xludf.DUMMYFUNCTION("""COMPUTED_VALUE"""),0)</f>
        <v>0</v>
      </c>
      <c r="L3" s="140">
        <f ca="1">IFERROR(__xludf.DUMMYFUNCTION("""COMPUTED_VALUE"""),0)</f>
        <v>0</v>
      </c>
      <c r="M3" s="143">
        <f ca="1">IFERROR(__xludf.DUMMYFUNCTION("""COMPUTED_VALUE"""),0)</f>
        <v>0</v>
      </c>
      <c r="N3" s="140">
        <f ca="1">IFERROR(__xludf.DUMMYFUNCTION("""COMPUTED_VALUE"""),0)</f>
        <v>0</v>
      </c>
      <c r="O3" s="140">
        <f ca="1">IFERROR(__xludf.DUMMYFUNCTION("""COMPUTED_VALUE"""),0)</f>
        <v>0</v>
      </c>
      <c r="P3" s="140">
        <f ca="1">IFERROR(__xludf.DUMMYFUNCTION("""COMPUTED_VALUE"""),0)</f>
        <v>0</v>
      </c>
      <c r="Q3" s="140">
        <f ca="1">IFERROR(__xludf.DUMMYFUNCTION("""COMPUTED_VALUE"""),0)</f>
        <v>0</v>
      </c>
      <c r="R3" s="140">
        <f ca="1">IFERROR(__xludf.DUMMYFUNCTION("""COMPUTED_VALUE"""),0)</f>
        <v>0</v>
      </c>
      <c r="S3" s="140">
        <f ca="1">IFERROR(__xludf.DUMMYFUNCTION("""COMPUTED_VALUE"""),0)</f>
        <v>0</v>
      </c>
      <c r="T3" s="140">
        <f ca="1">IFERROR(__xludf.DUMMYFUNCTION("""COMPUTED_VALUE"""),0)</f>
        <v>0</v>
      </c>
      <c r="U3" s="140">
        <f ca="1">IFERROR(__xludf.DUMMYFUNCTION("""COMPUTED_VALUE"""),0)</f>
        <v>0</v>
      </c>
      <c r="V3" s="69"/>
    </row>
    <row r="4" spans="1:22" ht="15" customHeight="1" x14ac:dyDescent="0.25">
      <c r="A4" s="81" t="str">
        <f ca="1">IFERROR(__xludf.DUMMYFUNCTION("""COMPUTED_VALUE"""),"USA")</f>
        <v>USA</v>
      </c>
      <c r="B4" s="81" t="str">
        <f ca="1">IFERROR(__xludf.DUMMYFUNCTION("""COMPUTED_VALUE"""),"NH501C")</f>
        <v>NH501C</v>
      </c>
      <c r="C4" s="139" t="str">
        <f ca="1">IFERROR(__xludf.DUMMYFUNCTION("""COMPUTED_VALUE"""),"Digital Product")</f>
        <v>Digital Product</v>
      </c>
      <c r="D4" s="139" t="str">
        <f ca="1">IFERROR(__xludf.DUMMYFUNCTION("""COMPUTED_VALUE"""),"Country Product")</f>
        <v>Country Product</v>
      </c>
      <c r="E4" s="139" t="str">
        <f ca="1">IFERROR(__xludf.DUMMYFUNCTION("""COMPUTED_VALUE"""),"Payroll Cost")</f>
        <v>Payroll Cost</v>
      </c>
      <c r="F4" s="139" t="str">
        <f ca="1">IFERROR(__xludf.DUMMYFUNCTION("""COMPUTED_VALUE"""),"Health and Retirement Benefits")</f>
        <v>Health and Retirement Benefits</v>
      </c>
      <c r="G4" s="139" t="str">
        <f ca="1">IFERROR(__xludf.DUMMYFUNCTION("""COMPUTED_VALUE"""),"Gratuity &amp; Bonus")</f>
        <v>Gratuity &amp; Bonus</v>
      </c>
      <c r="H4" s="141" t="str">
        <f ca="1">IFERROR(__xludf.DUMMYFUNCTION("""COMPUTED_VALUE"""),"91201-91207")</f>
        <v>91201-91207</v>
      </c>
      <c r="I4" s="140">
        <f ca="1">IFERROR(__xludf.DUMMYFUNCTION("""COMPUTED_VALUE"""),0)</f>
        <v>0</v>
      </c>
      <c r="J4" s="140">
        <f ca="1">IFERROR(__xludf.DUMMYFUNCTION("""COMPUTED_VALUE"""),0)</f>
        <v>0</v>
      </c>
      <c r="K4" s="140">
        <f ca="1">IFERROR(__xludf.DUMMYFUNCTION("""COMPUTED_VALUE"""),0)</f>
        <v>0</v>
      </c>
      <c r="L4" s="140">
        <f ca="1">IFERROR(__xludf.DUMMYFUNCTION("""COMPUTED_VALUE"""),0)</f>
        <v>0</v>
      </c>
      <c r="M4" s="143">
        <f ca="1">IFERROR(__xludf.DUMMYFUNCTION("""COMPUTED_VALUE"""),0)</f>
        <v>0</v>
      </c>
      <c r="N4" s="140">
        <f ca="1">IFERROR(__xludf.DUMMYFUNCTION("""COMPUTED_VALUE"""),0)</f>
        <v>0</v>
      </c>
      <c r="O4" s="140">
        <f ca="1">IFERROR(__xludf.DUMMYFUNCTION("""COMPUTED_VALUE"""),0)</f>
        <v>0</v>
      </c>
      <c r="P4" s="140">
        <f ca="1">IFERROR(__xludf.DUMMYFUNCTION("""COMPUTED_VALUE"""),0)</f>
        <v>0</v>
      </c>
      <c r="Q4" s="140">
        <f ca="1">IFERROR(__xludf.DUMMYFUNCTION("""COMPUTED_VALUE"""),0)</f>
        <v>0</v>
      </c>
      <c r="R4" s="140">
        <f ca="1">IFERROR(__xludf.DUMMYFUNCTION("""COMPUTED_VALUE"""),0)</f>
        <v>0</v>
      </c>
      <c r="S4" s="140">
        <f ca="1">IFERROR(__xludf.DUMMYFUNCTION("""COMPUTED_VALUE"""),0)</f>
        <v>0</v>
      </c>
      <c r="T4" s="140">
        <f ca="1">IFERROR(__xludf.DUMMYFUNCTION("""COMPUTED_VALUE"""),0)</f>
        <v>0</v>
      </c>
      <c r="U4" s="140">
        <f ca="1">IFERROR(__xludf.DUMMYFUNCTION("""COMPUTED_VALUE"""),0)</f>
        <v>0</v>
      </c>
      <c r="V4" s="69"/>
    </row>
    <row r="5" spans="1:22" ht="15" customHeight="1" x14ac:dyDescent="0.25">
      <c r="A5" s="81" t="str">
        <f ca="1">IFERROR(__xludf.DUMMYFUNCTION("""COMPUTED_VALUE"""),"USA")</f>
        <v>USA</v>
      </c>
      <c r="B5" s="81" t="str">
        <f ca="1">IFERROR(__xludf.DUMMYFUNCTION("""COMPUTED_VALUE"""),"NH501C")</f>
        <v>NH501C</v>
      </c>
      <c r="C5" s="139" t="str">
        <f ca="1">IFERROR(__xludf.DUMMYFUNCTION("""COMPUTED_VALUE"""),"Digital Product")</f>
        <v>Digital Product</v>
      </c>
      <c r="D5" s="139" t="str">
        <f ca="1">IFERROR(__xludf.DUMMYFUNCTION("""COMPUTED_VALUE"""),"Country Product")</f>
        <v>Country Product</v>
      </c>
      <c r="E5" s="139" t="str">
        <f ca="1">IFERROR(__xludf.DUMMYFUNCTION("""COMPUTED_VALUE"""),"Payroll Cost")</f>
        <v>Payroll Cost</v>
      </c>
      <c r="F5" s="139" t="str">
        <f ca="1">IFERROR(__xludf.DUMMYFUNCTION("""COMPUTED_VALUE"""),"Other Staff Expenses")</f>
        <v>Other Staff Expenses</v>
      </c>
      <c r="G5" s="139" t="str">
        <f ca="1">IFERROR(__xludf.DUMMYFUNCTION("""COMPUTED_VALUE"""),"Staff Training, Learning &amp; Development Exp")</f>
        <v>Staff Training, Learning &amp; Development Exp</v>
      </c>
      <c r="H5" s="152">
        <f ca="1">IFERROR(__xludf.DUMMYFUNCTION("""COMPUTED_VALUE"""),91302)</f>
        <v>91302</v>
      </c>
      <c r="I5" s="140">
        <f ca="1">IFERROR(__xludf.DUMMYFUNCTION("""COMPUTED_VALUE"""),0)</f>
        <v>0</v>
      </c>
      <c r="J5" s="140">
        <f ca="1">IFERROR(__xludf.DUMMYFUNCTION("""COMPUTED_VALUE"""),0)</f>
        <v>0</v>
      </c>
      <c r="K5" s="140">
        <f ca="1">IFERROR(__xludf.DUMMYFUNCTION("""COMPUTED_VALUE"""),0)</f>
        <v>0</v>
      </c>
      <c r="L5" s="140">
        <f ca="1">IFERROR(__xludf.DUMMYFUNCTION("""COMPUTED_VALUE"""),0)</f>
        <v>0</v>
      </c>
      <c r="M5" s="143">
        <f ca="1">IFERROR(__xludf.DUMMYFUNCTION("""COMPUTED_VALUE"""),0)</f>
        <v>0</v>
      </c>
      <c r="N5" s="140">
        <f ca="1">IFERROR(__xludf.DUMMYFUNCTION("""COMPUTED_VALUE"""),0)</f>
        <v>0</v>
      </c>
      <c r="O5" s="140">
        <f ca="1">IFERROR(__xludf.DUMMYFUNCTION("""COMPUTED_VALUE"""),0)</f>
        <v>0</v>
      </c>
      <c r="P5" s="140">
        <f ca="1">IFERROR(__xludf.DUMMYFUNCTION("""COMPUTED_VALUE"""),0)</f>
        <v>0</v>
      </c>
      <c r="Q5" s="140">
        <f ca="1">IFERROR(__xludf.DUMMYFUNCTION("""COMPUTED_VALUE"""),0)</f>
        <v>0</v>
      </c>
      <c r="R5" s="140">
        <f ca="1">IFERROR(__xludf.DUMMYFUNCTION("""COMPUTED_VALUE"""),0)</f>
        <v>0</v>
      </c>
      <c r="S5" s="140">
        <f ca="1">IFERROR(__xludf.DUMMYFUNCTION("""COMPUTED_VALUE"""),0)</f>
        <v>0</v>
      </c>
      <c r="T5" s="140">
        <f ca="1">IFERROR(__xludf.DUMMYFUNCTION("""COMPUTED_VALUE"""),0)</f>
        <v>0</v>
      </c>
      <c r="U5" s="140">
        <f ca="1">IFERROR(__xludf.DUMMYFUNCTION("""COMPUTED_VALUE"""),0)</f>
        <v>0</v>
      </c>
      <c r="V5" s="69"/>
    </row>
    <row r="6" spans="1:22" ht="15" customHeight="1" x14ac:dyDescent="0.25">
      <c r="A6" s="81" t="str">
        <f ca="1">IFERROR(__xludf.DUMMYFUNCTION("""COMPUTED_VALUE"""),"USA")</f>
        <v>USA</v>
      </c>
      <c r="B6" s="81" t="str">
        <f ca="1">IFERROR(__xludf.DUMMYFUNCTION("""COMPUTED_VALUE"""),"NH501C")</f>
        <v>NH501C</v>
      </c>
      <c r="C6" s="139" t="str">
        <f ca="1">IFERROR(__xludf.DUMMYFUNCTION("""COMPUTED_VALUE"""),"Digital Product")</f>
        <v>Digital Product</v>
      </c>
      <c r="D6" s="139" t="str">
        <f ca="1">IFERROR(__xludf.DUMMYFUNCTION("""COMPUTED_VALUE"""),"Country Product")</f>
        <v>Country Product</v>
      </c>
      <c r="E6" s="81" t="str">
        <f ca="1">IFERROR(__xludf.DUMMYFUNCTION("""COMPUTED_VALUE"""),"Direct Consultants")</f>
        <v>Direct Consultants</v>
      </c>
      <c r="F6" s="81" t="str">
        <f ca="1">IFERROR(__xludf.DUMMYFUNCTION("""COMPUTED_VALUE"""),"Resource Persons")</f>
        <v>Resource Persons</v>
      </c>
      <c r="G6" s="81" t="str">
        <f ca="1">IFERROR(__xludf.DUMMYFUNCTION("""COMPUTED_VALUE"""),"Program Resource Consultant (EHA)")</f>
        <v>Program Resource Consultant (EHA)</v>
      </c>
      <c r="H6" s="35">
        <f ca="1">IFERROR(__xludf.DUMMYFUNCTION("""COMPUTED_VALUE"""),92101)</f>
        <v>92101</v>
      </c>
      <c r="I6" s="140">
        <f ca="1">IFERROR(__xludf.DUMMYFUNCTION("""COMPUTED_VALUE"""),0)</f>
        <v>0</v>
      </c>
      <c r="J6" s="140">
        <f ca="1">IFERROR(__xludf.DUMMYFUNCTION("""COMPUTED_VALUE"""),0)</f>
        <v>0</v>
      </c>
      <c r="K6" s="140">
        <f ca="1">IFERROR(__xludf.DUMMYFUNCTION("""COMPUTED_VALUE"""),0)</f>
        <v>0</v>
      </c>
      <c r="L6" s="140">
        <f ca="1">IFERROR(__xludf.DUMMYFUNCTION("""COMPUTED_VALUE"""),0)</f>
        <v>0</v>
      </c>
      <c r="M6" s="143">
        <f ca="1">IFERROR(__xludf.DUMMYFUNCTION("""COMPUTED_VALUE"""),0)</f>
        <v>0</v>
      </c>
      <c r="N6" s="140">
        <f ca="1">IFERROR(__xludf.DUMMYFUNCTION("""COMPUTED_VALUE"""),0)</f>
        <v>0</v>
      </c>
      <c r="O6" s="140">
        <f ca="1">IFERROR(__xludf.DUMMYFUNCTION("""COMPUTED_VALUE"""),0)</f>
        <v>0</v>
      </c>
      <c r="P6" s="140">
        <f ca="1">IFERROR(__xludf.DUMMYFUNCTION("""COMPUTED_VALUE"""),0)</f>
        <v>0</v>
      </c>
      <c r="Q6" s="140">
        <f ca="1">IFERROR(__xludf.DUMMYFUNCTION("""COMPUTED_VALUE"""),0)</f>
        <v>0</v>
      </c>
      <c r="R6" s="140">
        <f ca="1">IFERROR(__xludf.DUMMYFUNCTION("""COMPUTED_VALUE"""),0)</f>
        <v>0</v>
      </c>
      <c r="S6" s="140">
        <f ca="1">IFERROR(__xludf.DUMMYFUNCTION("""COMPUTED_VALUE"""),0)</f>
        <v>0</v>
      </c>
      <c r="T6" s="140">
        <f ca="1">IFERROR(__xludf.DUMMYFUNCTION("""COMPUTED_VALUE"""),0)</f>
        <v>0</v>
      </c>
      <c r="U6" s="140">
        <f ca="1">IFERROR(__xludf.DUMMYFUNCTION("""COMPUTED_VALUE"""),0)</f>
        <v>0</v>
      </c>
      <c r="V6" s="69"/>
    </row>
    <row r="7" spans="1:22" ht="15" customHeight="1" x14ac:dyDescent="0.25">
      <c r="A7" s="81" t="str">
        <f ca="1">IFERROR(__xludf.DUMMYFUNCTION("""COMPUTED_VALUE"""),"USA")</f>
        <v>USA</v>
      </c>
      <c r="B7" s="81" t="str">
        <f ca="1">IFERROR(__xludf.DUMMYFUNCTION("""COMPUTED_VALUE"""),"NH501C")</f>
        <v>NH501C</v>
      </c>
      <c r="C7" s="139" t="str">
        <f ca="1">IFERROR(__xludf.DUMMYFUNCTION("""COMPUTED_VALUE"""),"Digital Product")</f>
        <v>Digital Product</v>
      </c>
      <c r="D7" s="139" t="str">
        <f ca="1">IFERROR(__xludf.DUMMYFUNCTION("""COMPUTED_VALUE"""),"Country Product")</f>
        <v>Country Product</v>
      </c>
      <c r="E7" s="81" t="str">
        <f ca="1">IFERROR(__xludf.DUMMYFUNCTION("""COMPUTED_VALUE"""),"Direct Cost")</f>
        <v>Direct Cost</v>
      </c>
      <c r="F7" s="81" t="str">
        <f ca="1">IFERROR(__xludf.DUMMYFUNCTION("""COMPUTED_VALUE"""),"Travel &amp; Lodging Expenses")</f>
        <v>Travel &amp; Lodging Expenses</v>
      </c>
      <c r="G7" s="81" t="str">
        <f ca="1">IFERROR(__xludf.DUMMYFUNCTION("""COMPUTED_VALUE"""),"Hotel Accomodation")</f>
        <v>Hotel Accomodation</v>
      </c>
      <c r="H7" s="35">
        <f ca="1">IFERROR(__xludf.DUMMYFUNCTION("""COMPUTED_VALUE"""),93101)</f>
        <v>93101</v>
      </c>
      <c r="I7" s="140">
        <f ca="1">IFERROR(__xludf.DUMMYFUNCTION("""COMPUTED_VALUE"""),0)</f>
        <v>0</v>
      </c>
      <c r="J7" s="140">
        <f ca="1">IFERROR(__xludf.DUMMYFUNCTION("""COMPUTED_VALUE"""),0)</f>
        <v>0</v>
      </c>
      <c r="K7" s="140">
        <f ca="1">IFERROR(__xludf.DUMMYFUNCTION("""COMPUTED_VALUE"""),0)</f>
        <v>0</v>
      </c>
      <c r="L7" s="140">
        <f ca="1">IFERROR(__xludf.DUMMYFUNCTION("""COMPUTED_VALUE"""),0)</f>
        <v>0</v>
      </c>
      <c r="M7" s="143">
        <f ca="1">IFERROR(__xludf.DUMMYFUNCTION("""COMPUTED_VALUE"""),0)</f>
        <v>0</v>
      </c>
      <c r="N7" s="140">
        <f ca="1">IFERROR(__xludf.DUMMYFUNCTION("""COMPUTED_VALUE"""),0)</f>
        <v>0</v>
      </c>
      <c r="O7" s="140">
        <f ca="1">IFERROR(__xludf.DUMMYFUNCTION("""COMPUTED_VALUE"""),0)</f>
        <v>0</v>
      </c>
      <c r="P7" s="140">
        <f ca="1">IFERROR(__xludf.DUMMYFUNCTION("""COMPUTED_VALUE"""),0)</f>
        <v>0</v>
      </c>
      <c r="Q7" s="140">
        <f ca="1">IFERROR(__xludf.DUMMYFUNCTION("""COMPUTED_VALUE"""),0)</f>
        <v>0</v>
      </c>
      <c r="R7" s="140">
        <f ca="1">IFERROR(__xludf.DUMMYFUNCTION("""COMPUTED_VALUE"""),0)</f>
        <v>0</v>
      </c>
      <c r="S7" s="140">
        <f ca="1">IFERROR(__xludf.DUMMYFUNCTION("""COMPUTED_VALUE"""),0)</f>
        <v>0</v>
      </c>
      <c r="T7" s="140">
        <f ca="1">IFERROR(__xludf.DUMMYFUNCTION("""COMPUTED_VALUE"""),0)</f>
        <v>0</v>
      </c>
      <c r="U7" s="140">
        <f ca="1">IFERROR(__xludf.DUMMYFUNCTION("""COMPUTED_VALUE"""),0)</f>
        <v>0</v>
      </c>
      <c r="V7" s="69"/>
    </row>
    <row r="8" spans="1:22" ht="15" customHeight="1" x14ac:dyDescent="0.25">
      <c r="A8" s="81" t="str">
        <f ca="1">IFERROR(__xludf.DUMMYFUNCTION("""COMPUTED_VALUE"""),"USA")</f>
        <v>USA</v>
      </c>
      <c r="B8" s="81" t="str">
        <f ca="1">IFERROR(__xludf.DUMMYFUNCTION("""COMPUTED_VALUE"""),"NH501C")</f>
        <v>NH501C</v>
      </c>
      <c r="C8" s="139" t="str">
        <f ca="1">IFERROR(__xludf.DUMMYFUNCTION("""COMPUTED_VALUE"""),"Digital Product")</f>
        <v>Digital Product</v>
      </c>
      <c r="D8" s="139" t="str">
        <f ca="1">IFERROR(__xludf.DUMMYFUNCTION("""COMPUTED_VALUE"""),"Country Product")</f>
        <v>Country Product</v>
      </c>
      <c r="E8" s="81" t="str">
        <f ca="1">IFERROR(__xludf.DUMMYFUNCTION("""COMPUTED_VALUE"""),"Direct Cost")</f>
        <v>Direct Cost</v>
      </c>
      <c r="F8" s="81" t="str">
        <f ca="1">IFERROR(__xludf.DUMMYFUNCTION("""COMPUTED_VALUE"""),"Travel &amp; Lodging Expenses")</f>
        <v>Travel &amp; Lodging Expenses</v>
      </c>
      <c r="G8" s="81" t="str">
        <f ca="1">IFERROR(__xludf.DUMMYFUNCTION("""COMPUTED_VALUE"""),"Food Expenses")</f>
        <v>Food Expenses</v>
      </c>
      <c r="H8" s="35">
        <f ca="1">IFERROR(__xludf.DUMMYFUNCTION("""COMPUTED_VALUE"""),93102)</f>
        <v>93102</v>
      </c>
      <c r="I8" s="140">
        <f ca="1">IFERROR(__xludf.DUMMYFUNCTION("""COMPUTED_VALUE"""),0)</f>
        <v>0</v>
      </c>
      <c r="J8" s="140">
        <f ca="1">IFERROR(__xludf.DUMMYFUNCTION("""COMPUTED_VALUE"""),0)</f>
        <v>0</v>
      </c>
      <c r="K8" s="140">
        <f ca="1">IFERROR(__xludf.DUMMYFUNCTION("""COMPUTED_VALUE"""),0)</f>
        <v>0</v>
      </c>
      <c r="L8" s="140">
        <f ca="1">IFERROR(__xludf.DUMMYFUNCTION("""COMPUTED_VALUE"""),0)</f>
        <v>0</v>
      </c>
      <c r="M8" s="143">
        <f ca="1">IFERROR(__xludf.DUMMYFUNCTION("""COMPUTED_VALUE"""),0)</f>
        <v>0</v>
      </c>
      <c r="N8" s="140">
        <f ca="1">IFERROR(__xludf.DUMMYFUNCTION("""COMPUTED_VALUE"""),0)</f>
        <v>0</v>
      </c>
      <c r="O8" s="140">
        <f ca="1">IFERROR(__xludf.DUMMYFUNCTION("""COMPUTED_VALUE"""),0)</f>
        <v>0</v>
      </c>
      <c r="P8" s="140">
        <f ca="1">IFERROR(__xludf.DUMMYFUNCTION("""COMPUTED_VALUE"""),0)</f>
        <v>0</v>
      </c>
      <c r="Q8" s="140">
        <f ca="1">IFERROR(__xludf.DUMMYFUNCTION("""COMPUTED_VALUE"""),0)</f>
        <v>0</v>
      </c>
      <c r="R8" s="140">
        <f ca="1">IFERROR(__xludf.DUMMYFUNCTION("""COMPUTED_VALUE"""),0)</f>
        <v>0</v>
      </c>
      <c r="S8" s="140">
        <f ca="1">IFERROR(__xludf.DUMMYFUNCTION("""COMPUTED_VALUE"""),0)</f>
        <v>0</v>
      </c>
      <c r="T8" s="140">
        <f ca="1">IFERROR(__xludf.DUMMYFUNCTION("""COMPUTED_VALUE"""),0)</f>
        <v>0</v>
      </c>
      <c r="U8" s="140">
        <f ca="1">IFERROR(__xludf.DUMMYFUNCTION("""COMPUTED_VALUE"""),0)</f>
        <v>0</v>
      </c>
      <c r="V8" s="69"/>
    </row>
    <row r="9" spans="1:22" ht="15" customHeight="1" x14ac:dyDescent="0.25">
      <c r="A9" s="81" t="str">
        <f ca="1">IFERROR(__xludf.DUMMYFUNCTION("""COMPUTED_VALUE"""),"USA")</f>
        <v>USA</v>
      </c>
      <c r="B9" s="81" t="str">
        <f ca="1">IFERROR(__xludf.DUMMYFUNCTION("""COMPUTED_VALUE"""),"NH501C")</f>
        <v>NH501C</v>
      </c>
      <c r="C9" s="139" t="str">
        <f ca="1">IFERROR(__xludf.DUMMYFUNCTION("""COMPUTED_VALUE"""),"Digital Product")</f>
        <v>Digital Product</v>
      </c>
      <c r="D9" s="139" t="str">
        <f ca="1">IFERROR(__xludf.DUMMYFUNCTION("""COMPUTED_VALUE"""),"Country Product")</f>
        <v>Country Product</v>
      </c>
      <c r="E9" s="81" t="str">
        <f ca="1">IFERROR(__xludf.DUMMYFUNCTION("""COMPUTED_VALUE"""),"Direct Cost")</f>
        <v>Direct Cost</v>
      </c>
      <c r="F9" s="81" t="str">
        <f ca="1">IFERROR(__xludf.DUMMYFUNCTION("""COMPUTED_VALUE"""),"Travel &amp; Lodging Expenses")</f>
        <v>Travel &amp; Lodging Expenses</v>
      </c>
      <c r="G9" s="81" t="str">
        <f ca="1">IFERROR(__xludf.DUMMYFUNCTION("""COMPUTED_VALUE"""),"Air fare")</f>
        <v>Air fare</v>
      </c>
      <c r="H9" s="35">
        <f ca="1">IFERROR(__xludf.DUMMYFUNCTION("""COMPUTED_VALUE"""),93103)</f>
        <v>93103</v>
      </c>
      <c r="I9" s="140">
        <f ca="1">IFERROR(__xludf.DUMMYFUNCTION("""COMPUTED_VALUE"""),0)</f>
        <v>0</v>
      </c>
      <c r="J9" s="140">
        <f ca="1">IFERROR(__xludf.DUMMYFUNCTION("""COMPUTED_VALUE"""),0)</f>
        <v>0</v>
      </c>
      <c r="K9" s="140">
        <f ca="1">IFERROR(__xludf.DUMMYFUNCTION("""COMPUTED_VALUE"""),0)</f>
        <v>0</v>
      </c>
      <c r="L9" s="140">
        <f ca="1">IFERROR(__xludf.DUMMYFUNCTION("""COMPUTED_VALUE"""),0)</f>
        <v>0</v>
      </c>
      <c r="M9" s="143">
        <f ca="1">IFERROR(__xludf.DUMMYFUNCTION("""COMPUTED_VALUE"""),0)</f>
        <v>0</v>
      </c>
      <c r="N9" s="140">
        <f ca="1">IFERROR(__xludf.DUMMYFUNCTION("""COMPUTED_VALUE"""),0)</f>
        <v>0</v>
      </c>
      <c r="O9" s="140">
        <f ca="1">IFERROR(__xludf.DUMMYFUNCTION("""COMPUTED_VALUE"""),0)</f>
        <v>0</v>
      </c>
      <c r="P9" s="140">
        <f ca="1">IFERROR(__xludf.DUMMYFUNCTION("""COMPUTED_VALUE"""),0)</f>
        <v>0</v>
      </c>
      <c r="Q9" s="140">
        <f ca="1">IFERROR(__xludf.DUMMYFUNCTION("""COMPUTED_VALUE"""),0)</f>
        <v>0</v>
      </c>
      <c r="R9" s="140">
        <f ca="1">IFERROR(__xludf.DUMMYFUNCTION("""COMPUTED_VALUE"""),0)</f>
        <v>0</v>
      </c>
      <c r="S9" s="140">
        <f ca="1">IFERROR(__xludf.DUMMYFUNCTION("""COMPUTED_VALUE"""),0)</f>
        <v>0</v>
      </c>
      <c r="T9" s="140">
        <f ca="1">IFERROR(__xludf.DUMMYFUNCTION("""COMPUTED_VALUE"""),0)</f>
        <v>0</v>
      </c>
      <c r="U9" s="140">
        <f ca="1">IFERROR(__xludf.DUMMYFUNCTION("""COMPUTED_VALUE"""),0)</f>
        <v>0</v>
      </c>
      <c r="V9" s="69"/>
    </row>
    <row r="10" spans="1:22" ht="15" customHeight="1" x14ac:dyDescent="0.25">
      <c r="A10" s="81" t="str">
        <f ca="1">IFERROR(__xludf.DUMMYFUNCTION("""COMPUTED_VALUE"""),"USA")</f>
        <v>USA</v>
      </c>
      <c r="B10" s="81" t="str">
        <f ca="1">IFERROR(__xludf.DUMMYFUNCTION("""COMPUTED_VALUE"""),"NH501C")</f>
        <v>NH501C</v>
      </c>
      <c r="C10" s="139" t="str">
        <f ca="1">IFERROR(__xludf.DUMMYFUNCTION("""COMPUTED_VALUE"""),"Digital Product")</f>
        <v>Digital Product</v>
      </c>
      <c r="D10" s="139" t="str">
        <f ca="1">IFERROR(__xludf.DUMMYFUNCTION("""COMPUTED_VALUE"""),"Country Product")</f>
        <v>Country Product</v>
      </c>
      <c r="E10" s="81" t="str">
        <f ca="1">IFERROR(__xludf.DUMMYFUNCTION("""COMPUTED_VALUE"""),"Direct Cost")</f>
        <v>Direct Cost</v>
      </c>
      <c r="F10" s="81" t="str">
        <f ca="1">IFERROR(__xludf.DUMMYFUNCTION("""COMPUTED_VALUE"""),"Travel &amp; Lodging Expenses")</f>
        <v>Travel &amp; Lodging Expenses</v>
      </c>
      <c r="G10" s="81" t="str">
        <f ca="1">IFERROR(__xludf.DUMMYFUNCTION("""COMPUTED_VALUE"""),"Cab/Auto")</f>
        <v>Cab/Auto</v>
      </c>
      <c r="H10" s="35">
        <f ca="1">IFERROR(__xludf.DUMMYFUNCTION("""COMPUTED_VALUE"""),93104)</f>
        <v>93104</v>
      </c>
      <c r="I10" s="140">
        <f ca="1">IFERROR(__xludf.DUMMYFUNCTION("""COMPUTED_VALUE"""),0)</f>
        <v>0</v>
      </c>
      <c r="J10" s="140">
        <f ca="1">IFERROR(__xludf.DUMMYFUNCTION("""COMPUTED_VALUE"""),0)</f>
        <v>0</v>
      </c>
      <c r="K10" s="140">
        <f ca="1">IFERROR(__xludf.DUMMYFUNCTION("""COMPUTED_VALUE"""),0)</f>
        <v>0</v>
      </c>
      <c r="L10" s="140">
        <f ca="1">IFERROR(__xludf.DUMMYFUNCTION("""COMPUTED_VALUE"""),0)</f>
        <v>0</v>
      </c>
      <c r="M10" s="143">
        <f ca="1">IFERROR(__xludf.DUMMYFUNCTION("""COMPUTED_VALUE"""),0)</f>
        <v>0</v>
      </c>
      <c r="N10" s="140">
        <f ca="1">IFERROR(__xludf.DUMMYFUNCTION("""COMPUTED_VALUE"""),0)</f>
        <v>0</v>
      </c>
      <c r="O10" s="140">
        <f ca="1">IFERROR(__xludf.DUMMYFUNCTION("""COMPUTED_VALUE"""),0)</f>
        <v>0</v>
      </c>
      <c r="P10" s="140">
        <f ca="1">IFERROR(__xludf.DUMMYFUNCTION("""COMPUTED_VALUE"""),0)</f>
        <v>0</v>
      </c>
      <c r="Q10" s="140">
        <f ca="1">IFERROR(__xludf.DUMMYFUNCTION("""COMPUTED_VALUE"""),0)</f>
        <v>0</v>
      </c>
      <c r="R10" s="140">
        <f ca="1">IFERROR(__xludf.DUMMYFUNCTION("""COMPUTED_VALUE"""),0)</f>
        <v>0</v>
      </c>
      <c r="S10" s="140">
        <f ca="1">IFERROR(__xludf.DUMMYFUNCTION("""COMPUTED_VALUE"""),0)</f>
        <v>0</v>
      </c>
      <c r="T10" s="140">
        <f ca="1">IFERROR(__xludf.DUMMYFUNCTION("""COMPUTED_VALUE"""),0)</f>
        <v>0</v>
      </c>
      <c r="U10" s="140">
        <f ca="1">IFERROR(__xludf.DUMMYFUNCTION("""COMPUTED_VALUE"""),0)</f>
        <v>0</v>
      </c>
      <c r="V10" s="69"/>
    </row>
    <row r="11" spans="1:22" ht="15" customHeight="1" x14ac:dyDescent="0.25">
      <c r="A11" s="81" t="str">
        <f ca="1">IFERROR(__xludf.DUMMYFUNCTION("""COMPUTED_VALUE"""),"USA")</f>
        <v>USA</v>
      </c>
      <c r="B11" s="81" t="str">
        <f ca="1">IFERROR(__xludf.DUMMYFUNCTION("""COMPUTED_VALUE"""),"NH501C")</f>
        <v>NH501C</v>
      </c>
      <c r="C11" s="139" t="str">
        <f ca="1">IFERROR(__xludf.DUMMYFUNCTION("""COMPUTED_VALUE"""),"Digital Product")</f>
        <v>Digital Product</v>
      </c>
      <c r="D11" s="139" t="str">
        <f ca="1">IFERROR(__xludf.DUMMYFUNCTION("""COMPUTED_VALUE"""),"Country Product")</f>
        <v>Country Product</v>
      </c>
      <c r="E11" s="81" t="str">
        <f ca="1">IFERROR(__xludf.DUMMYFUNCTION("""COMPUTED_VALUE"""),"Direct Cost")</f>
        <v>Direct Cost</v>
      </c>
      <c r="F11" s="81" t="str">
        <f ca="1">IFERROR(__xludf.DUMMYFUNCTION("""COMPUTED_VALUE"""),"Travel &amp; Lodging Expenses")</f>
        <v>Travel &amp; Lodging Expenses</v>
      </c>
      <c r="G11" s="81" t="str">
        <f ca="1">IFERROR(__xludf.DUMMYFUNCTION("""COMPUTED_VALUE"""),"Bus/Train")</f>
        <v>Bus/Train</v>
      </c>
      <c r="H11" s="35">
        <f ca="1">IFERROR(__xludf.DUMMYFUNCTION("""COMPUTED_VALUE"""),93105)</f>
        <v>93105</v>
      </c>
      <c r="I11" s="140">
        <f ca="1">IFERROR(__xludf.DUMMYFUNCTION("""COMPUTED_VALUE"""),0)</f>
        <v>0</v>
      </c>
      <c r="J11" s="140">
        <f ca="1">IFERROR(__xludf.DUMMYFUNCTION("""COMPUTED_VALUE"""),0)</f>
        <v>0</v>
      </c>
      <c r="K11" s="140">
        <f ca="1">IFERROR(__xludf.DUMMYFUNCTION("""COMPUTED_VALUE"""),0)</f>
        <v>0</v>
      </c>
      <c r="L11" s="140">
        <f ca="1">IFERROR(__xludf.DUMMYFUNCTION("""COMPUTED_VALUE"""),0)</f>
        <v>0</v>
      </c>
      <c r="M11" s="143">
        <f ca="1">IFERROR(__xludf.DUMMYFUNCTION("""COMPUTED_VALUE"""),0)</f>
        <v>0</v>
      </c>
      <c r="N11" s="140">
        <f ca="1">IFERROR(__xludf.DUMMYFUNCTION("""COMPUTED_VALUE"""),0)</f>
        <v>0</v>
      </c>
      <c r="O11" s="140">
        <f ca="1">IFERROR(__xludf.DUMMYFUNCTION("""COMPUTED_VALUE"""),0)</f>
        <v>0</v>
      </c>
      <c r="P11" s="140">
        <f ca="1">IFERROR(__xludf.DUMMYFUNCTION("""COMPUTED_VALUE"""),0)</f>
        <v>0</v>
      </c>
      <c r="Q11" s="140">
        <f ca="1">IFERROR(__xludf.DUMMYFUNCTION("""COMPUTED_VALUE"""),0)</f>
        <v>0</v>
      </c>
      <c r="R11" s="140">
        <f ca="1">IFERROR(__xludf.DUMMYFUNCTION("""COMPUTED_VALUE"""),0)</f>
        <v>0</v>
      </c>
      <c r="S11" s="140">
        <f ca="1">IFERROR(__xludf.DUMMYFUNCTION("""COMPUTED_VALUE"""),0)</f>
        <v>0</v>
      </c>
      <c r="T11" s="140">
        <f ca="1">IFERROR(__xludf.DUMMYFUNCTION("""COMPUTED_VALUE"""),0)</f>
        <v>0</v>
      </c>
      <c r="U11" s="140">
        <f ca="1">IFERROR(__xludf.DUMMYFUNCTION("""COMPUTED_VALUE"""),0)</f>
        <v>0</v>
      </c>
      <c r="V11" s="69"/>
    </row>
    <row r="12" spans="1:22" ht="15" customHeight="1" x14ac:dyDescent="0.25">
      <c r="A12" s="81" t="str">
        <f ca="1">IFERROR(__xludf.DUMMYFUNCTION("""COMPUTED_VALUE"""),"USA")</f>
        <v>USA</v>
      </c>
      <c r="B12" s="81" t="str">
        <f ca="1">IFERROR(__xludf.DUMMYFUNCTION("""COMPUTED_VALUE"""),"NH501C")</f>
        <v>NH501C</v>
      </c>
      <c r="C12" s="139" t="str">
        <f ca="1">IFERROR(__xludf.DUMMYFUNCTION("""COMPUTED_VALUE"""),"Digital Product")</f>
        <v>Digital Product</v>
      </c>
      <c r="D12" s="139" t="str">
        <f ca="1">IFERROR(__xludf.DUMMYFUNCTION("""COMPUTED_VALUE"""),"Country Product")</f>
        <v>Country Product</v>
      </c>
      <c r="E12" s="81" t="str">
        <f ca="1">IFERROR(__xludf.DUMMYFUNCTION("""COMPUTED_VALUE"""),"Direct Cost")</f>
        <v>Direct Cost</v>
      </c>
      <c r="F12" s="81" t="str">
        <f ca="1">IFERROR(__xludf.DUMMYFUNCTION("""COMPUTED_VALUE"""),"Travel &amp; Lodging Expenses")</f>
        <v>Travel &amp; Lodging Expenses</v>
      </c>
      <c r="G12" s="81" t="str">
        <f ca="1">IFERROR(__xludf.DUMMYFUNCTION("""COMPUTED_VALUE"""),"Other incidental travel costs")</f>
        <v>Other incidental travel costs</v>
      </c>
      <c r="H12" s="35">
        <f ca="1">IFERROR(__xludf.DUMMYFUNCTION("""COMPUTED_VALUE"""),93106)</f>
        <v>93106</v>
      </c>
      <c r="I12" s="140">
        <f ca="1">IFERROR(__xludf.DUMMYFUNCTION("""COMPUTED_VALUE"""),0)</f>
        <v>0</v>
      </c>
      <c r="J12" s="140">
        <f ca="1">IFERROR(__xludf.DUMMYFUNCTION("""COMPUTED_VALUE"""),0)</f>
        <v>0</v>
      </c>
      <c r="K12" s="140">
        <f ca="1">IFERROR(__xludf.DUMMYFUNCTION("""COMPUTED_VALUE"""),0)</f>
        <v>0</v>
      </c>
      <c r="L12" s="140">
        <f ca="1">IFERROR(__xludf.DUMMYFUNCTION("""COMPUTED_VALUE"""),0)</f>
        <v>0</v>
      </c>
      <c r="M12" s="143">
        <f ca="1">IFERROR(__xludf.DUMMYFUNCTION("""COMPUTED_VALUE"""),0)</f>
        <v>0</v>
      </c>
      <c r="N12" s="140">
        <f ca="1">IFERROR(__xludf.DUMMYFUNCTION("""COMPUTED_VALUE"""),0)</f>
        <v>0</v>
      </c>
      <c r="O12" s="140">
        <f ca="1">IFERROR(__xludf.DUMMYFUNCTION("""COMPUTED_VALUE"""),0)</f>
        <v>0</v>
      </c>
      <c r="P12" s="140">
        <f ca="1">IFERROR(__xludf.DUMMYFUNCTION("""COMPUTED_VALUE"""),0)</f>
        <v>0</v>
      </c>
      <c r="Q12" s="140">
        <f ca="1">IFERROR(__xludf.DUMMYFUNCTION("""COMPUTED_VALUE"""),0)</f>
        <v>0</v>
      </c>
      <c r="R12" s="140">
        <f ca="1">IFERROR(__xludf.DUMMYFUNCTION("""COMPUTED_VALUE"""),0)</f>
        <v>0</v>
      </c>
      <c r="S12" s="140">
        <f ca="1">IFERROR(__xludf.DUMMYFUNCTION("""COMPUTED_VALUE"""),0)</f>
        <v>0</v>
      </c>
      <c r="T12" s="140">
        <f ca="1">IFERROR(__xludf.DUMMYFUNCTION("""COMPUTED_VALUE"""),0)</f>
        <v>0</v>
      </c>
      <c r="U12" s="140">
        <f ca="1">IFERROR(__xludf.DUMMYFUNCTION("""COMPUTED_VALUE"""),0)</f>
        <v>0</v>
      </c>
      <c r="V12" s="69"/>
    </row>
    <row r="13" spans="1:22" ht="15" customHeight="1" x14ac:dyDescent="0.25">
      <c r="A13" s="81" t="str">
        <f ca="1">IFERROR(__xludf.DUMMYFUNCTION("""COMPUTED_VALUE"""),"USA")</f>
        <v>USA</v>
      </c>
      <c r="B13" s="81" t="str">
        <f ca="1">IFERROR(__xludf.DUMMYFUNCTION("""COMPUTED_VALUE"""),"NH501C")</f>
        <v>NH501C</v>
      </c>
      <c r="C13" s="139" t="str">
        <f ca="1">IFERROR(__xludf.DUMMYFUNCTION("""COMPUTED_VALUE"""),"Digital Product")</f>
        <v>Digital Product</v>
      </c>
      <c r="D13" s="139" t="str">
        <f ca="1">IFERROR(__xludf.DUMMYFUNCTION("""COMPUTED_VALUE"""),"Country Product")</f>
        <v>Country Product</v>
      </c>
      <c r="E13" s="81" t="str">
        <f ca="1">IFERROR(__xludf.DUMMYFUNCTION("""COMPUTED_VALUE"""),"Direct Cost")</f>
        <v>Direct Cost</v>
      </c>
      <c r="F13" s="81" t="str">
        <f ca="1">IFERROR(__xludf.DUMMYFUNCTION("""COMPUTED_VALUE"""),"Other Direct Expenses")</f>
        <v>Other Direct Expenses</v>
      </c>
      <c r="G13" s="81" t="str">
        <f ca="1">IFERROR(__xludf.DUMMYFUNCTION("""COMPUTED_VALUE"""),"Other Direct Expenses")</f>
        <v>Other Direct Expenses</v>
      </c>
      <c r="H13" s="35">
        <f ca="1">IFERROR(__xludf.DUMMYFUNCTION("""COMPUTED_VALUE"""),93201)</f>
        <v>93201</v>
      </c>
      <c r="I13" s="140">
        <f ca="1">IFERROR(__xludf.DUMMYFUNCTION("""COMPUTED_VALUE"""),0)</f>
        <v>0</v>
      </c>
      <c r="J13" s="140"/>
      <c r="K13" s="140"/>
      <c r="L13" s="140"/>
      <c r="M13" s="143"/>
      <c r="N13" s="140"/>
      <c r="O13" s="140"/>
      <c r="P13" s="140"/>
      <c r="Q13" s="140"/>
      <c r="R13" s="140"/>
      <c r="S13" s="140"/>
      <c r="T13" s="140"/>
      <c r="U13" s="140"/>
      <c r="V13" s="69"/>
    </row>
    <row r="14" spans="1:22" ht="15" customHeight="1" x14ac:dyDescent="0.25">
      <c r="A14" s="81" t="str">
        <f ca="1">IFERROR(__xludf.DUMMYFUNCTION("""COMPUTED_VALUE"""),"USA")</f>
        <v>USA</v>
      </c>
      <c r="B14" s="81" t="str">
        <f ca="1">IFERROR(__xludf.DUMMYFUNCTION("""COMPUTED_VALUE"""),"NH501C")</f>
        <v>NH501C</v>
      </c>
      <c r="C14" s="139" t="str">
        <f ca="1">IFERROR(__xludf.DUMMYFUNCTION("""COMPUTED_VALUE"""),"Digital Product")</f>
        <v>Digital Product</v>
      </c>
      <c r="D14" s="139" t="str">
        <f ca="1">IFERROR(__xludf.DUMMYFUNCTION("""COMPUTED_VALUE"""),"Country Product")</f>
        <v>Country Product</v>
      </c>
      <c r="E14" s="81" t="str">
        <f ca="1">IFERROR(__xludf.DUMMYFUNCTION("""COMPUTED_VALUE"""),"Direct Cost")</f>
        <v>Direct Cost</v>
      </c>
      <c r="F14" s="81" t="str">
        <f ca="1">IFERROR(__xludf.DUMMYFUNCTION("""COMPUTED_VALUE"""),"Supplies &amp; Printing Costs")</f>
        <v>Supplies &amp; Printing Costs</v>
      </c>
      <c r="G14" s="81" t="str">
        <f ca="1">IFERROR(__xludf.DUMMYFUNCTION("""COMPUTED_VALUE"""),"Printing expenses")</f>
        <v>Printing expenses</v>
      </c>
      <c r="H14" s="35">
        <f ca="1">IFERROR(__xludf.DUMMYFUNCTION("""COMPUTED_VALUE"""),93204)</f>
        <v>93204</v>
      </c>
      <c r="I14" s="140">
        <f ca="1">IFERROR(__xludf.DUMMYFUNCTION("""COMPUTED_VALUE"""),0)</f>
        <v>0</v>
      </c>
      <c r="J14" s="140"/>
      <c r="K14" s="140"/>
      <c r="L14" s="140"/>
      <c r="M14" s="143"/>
      <c r="N14" s="140"/>
      <c r="O14" s="140"/>
      <c r="P14" s="140"/>
      <c r="Q14" s="140"/>
      <c r="R14" s="140"/>
      <c r="S14" s="140"/>
      <c r="T14" s="140"/>
      <c r="U14" s="140"/>
      <c r="V14" s="69"/>
    </row>
    <row r="15" spans="1:22" ht="15" customHeight="1" x14ac:dyDescent="0.25">
      <c r="A15" s="81" t="str">
        <f ca="1">IFERROR(__xludf.DUMMYFUNCTION("""COMPUTED_VALUE"""),"USA")</f>
        <v>USA</v>
      </c>
      <c r="B15" s="81" t="str">
        <f ca="1">IFERROR(__xludf.DUMMYFUNCTION("""COMPUTED_VALUE"""),"NH501C")</f>
        <v>NH501C</v>
      </c>
      <c r="C15" s="139" t="str">
        <f ca="1">IFERROR(__xludf.DUMMYFUNCTION("""COMPUTED_VALUE"""),"Digital Product")</f>
        <v>Digital Product</v>
      </c>
      <c r="D15" s="139" t="str">
        <f ca="1">IFERROR(__xludf.DUMMYFUNCTION("""COMPUTED_VALUE"""),"Country Product")</f>
        <v>Country Product</v>
      </c>
      <c r="E15" s="81" t="str">
        <f ca="1">IFERROR(__xludf.DUMMYFUNCTION("""COMPUTED_VALUE"""),"Direct Cost")</f>
        <v>Direct Cost</v>
      </c>
      <c r="F15" s="81" t="str">
        <f ca="1">IFERROR(__xludf.DUMMYFUNCTION("""COMPUTED_VALUE"""),"Communication Cost")</f>
        <v>Communication Cost</v>
      </c>
      <c r="G15" s="81" t="str">
        <f ca="1">IFERROR(__xludf.DUMMYFUNCTION("""COMPUTED_VALUE"""),"Internet Expenses")</f>
        <v>Internet Expenses</v>
      </c>
      <c r="H15" s="35">
        <f ca="1">IFERROR(__xludf.DUMMYFUNCTION("""COMPUTED_VALUE"""),93301)</f>
        <v>93301</v>
      </c>
      <c r="I15" s="140">
        <f ca="1">IFERROR(__xludf.DUMMYFUNCTION("""COMPUTED_VALUE"""),0)</f>
        <v>0</v>
      </c>
      <c r="J15" s="140"/>
      <c r="K15" s="140"/>
      <c r="L15" s="140"/>
      <c r="M15" s="143"/>
      <c r="N15" s="140"/>
      <c r="O15" s="140"/>
      <c r="P15" s="140"/>
      <c r="Q15" s="140"/>
      <c r="R15" s="140"/>
      <c r="S15" s="140"/>
      <c r="T15" s="140"/>
      <c r="U15" s="140"/>
      <c r="V15" s="69"/>
    </row>
    <row r="16" spans="1:22" ht="15" customHeight="1" x14ac:dyDescent="0.25">
      <c r="A16" s="81" t="str">
        <f ca="1">IFERROR(__xludf.DUMMYFUNCTION("""COMPUTED_VALUE"""),"USA")</f>
        <v>USA</v>
      </c>
      <c r="B16" s="81" t="str">
        <f ca="1">IFERROR(__xludf.DUMMYFUNCTION("""COMPUTED_VALUE"""),"NH501C")</f>
        <v>NH501C</v>
      </c>
      <c r="C16" s="139" t="str">
        <f ca="1">IFERROR(__xludf.DUMMYFUNCTION("""COMPUTED_VALUE"""),"Digital Product")</f>
        <v>Digital Product</v>
      </c>
      <c r="D16" s="139" t="str">
        <f ca="1">IFERROR(__xludf.DUMMYFUNCTION("""COMPUTED_VALUE"""),"Country Product")</f>
        <v>Country Product</v>
      </c>
      <c r="E16" s="81" t="str">
        <f ca="1">IFERROR(__xludf.DUMMYFUNCTION("""COMPUTED_VALUE"""),"Direct Cost")</f>
        <v>Direct Cost</v>
      </c>
      <c r="F16" s="81" t="str">
        <f ca="1">IFERROR(__xludf.DUMMYFUNCTION("""COMPUTED_VALUE"""),"Communication Cost")</f>
        <v>Communication Cost</v>
      </c>
      <c r="G16" s="81" t="str">
        <f ca="1">IFERROR(__xludf.DUMMYFUNCTION("""COMPUTED_VALUE"""),"Postage &amp; Courier Expenses")</f>
        <v>Postage &amp; Courier Expenses</v>
      </c>
      <c r="H16" s="35">
        <f ca="1">IFERROR(__xludf.DUMMYFUNCTION("""COMPUTED_VALUE"""),93302)</f>
        <v>93302</v>
      </c>
      <c r="I16" s="140">
        <f ca="1">IFERROR(__xludf.DUMMYFUNCTION("""COMPUTED_VALUE"""),0)</f>
        <v>0</v>
      </c>
      <c r="J16" s="140"/>
      <c r="K16" s="140"/>
      <c r="L16" s="140"/>
      <c r="M16" s="143"/>
      <c r="N16" s="140"/>
      <c r="O16" s="140"/>
      <c r="P16" s="140"/>
      <c r="Q16" s="140"/>
      <c r="R16" s="140"/>
      <c r="S16" s="140"/>
      <c r="T16" s="140"/>
      <c r="U16" s="140"/>
      <c r="V16" s="69"/>
    </row>
    <row r="17" spans="1:22" ht="15" customHeight="1" x14ac:dyDescent="0.25">
      <c r="A17" s="81" t="str">
        <f ca="1">IFERROR(__xludf.DUMMYFUNCTION("""COMPUTED_VALUE"""),"USA")</f>
        <v>USA</v>
      </c>
      <c r="B17" s="81" t="str">
        <f ca="1">IFERROR(__xludf.DUMMYFUNCTION("""COMPUTED_VALUE"""),"NH501C")</f>
        <v>NH501C</v>
      </c>
      <c r="C17" s="139" t="str">
        <f ca="1">IFERROR(__xludf.DUMMYFUNCTION("""COMPUTED_VALUE"""),"Digital Product")</f>
        <v>Digital Product</v>
      </c>
      <c r="D17" s="139" t="str">
        <f ca="1">IFERROR(__xludf.DUMMYFUNCTION("""COMPUTED_VALUE"""),"Country Product")</f>
        <v>Country Product</v>
      </c>
      <c r="E17" s="81" t="str">
        <f ca="1">IFERROR(__xludf.DUMMYFUNCTION("""COMPUTED_VALUE"""),"Direct Cost")</f>
        <v>Direct Cost</v>
      </c>
      <c r="F17" s="81" t="str">
        <f ca="1">IFERROR(__xludf.DUMMYFUNCTION("""COMPUTED_VALUE"""),"Communication Cost")</f>
        <v>Communication Cost</v>
      </c>
      <c r="G17" s="81" t="str">
        <f ca="1">IFERROR(__xludf.DUMMYFUNCTION("""COMPUTED_VALUE"""),"Telecommunication expenses")</f>
        <v>Telecommunication expenses</v>
      </c>
      <c r="H17" s="35">
        <f ca="1">IFERROR(__xludf.DUMMYFUNCTION("""COMPUTED_VALUE"""),93303)</f>
        <v>93303</v>
      </c>
      <c r="I17" s="140">
        <f ca="1">IFERROR(__xludf.DUMMYFUNCTION("""COMPUTED_VALUE"""),0)</f>
        <v>0</v>
      </c>
      <c r="J17" s="140"/>
      <c r="K17" s="140"/>
      <c r="L17" s="140"/>
      <c r="M17" s="143"/>
      <c r="N17" s="140"/>
      <c r="O17" s="140"/>
      <c r="P17" s="140"/>
      <c r="Q17" s="140"/>
      <c r="R17" s="140"/>
      <c r="S17" s="140"/>
      <c r="T17" s="140"/>
      <c r="U17" s="140"/>
      <c r="V17" s="69"/>
    </row>
    <row r="18" spans="1:22" ht="15" customHeight="1" x14ac:dyDescent="0.25">
      <c r="A18" s="81" t="str">
        <f ca="1">IFERROR(__xludf.DUMMYFUNCTION("""COMPUTED_VALUE"""),"USA")</f>
        <v>USA</v>
      </c>
      <c r="B18" s="81" t="str">
        <f ca="1">IFERROR(__xludf.DUMMYFUNCTION("""COMPUTED_VALUE"""),"NH501C")</f>
        <v>NH501C</v>
      </c>
      <c r="C18" s="139" t="str">
        <f ca="1">IFERROR(__xludf.DUMMYFUNCTION("""COMPUTED_VALUE"""),"Digital Product")</f>
        <v>Digital Product</v>
      </c>
      <c r="D18" s="139" t="str">
        <f ca="1">IFERROR(__xludf.DUMMYFUNCTION("""COMPUTED_VALUE"""),"Country Product")</f>
        <v>Country Product</v>
      </c>
      <c r="E18" s="81" t="str">
        <f ca="1">IFERROR(__xludf.DUMMYFUNCTION("""COMPUTED_VALUE"""),"Direct Cost")</f>
        <v>Direct Cost</v>
      </c>
      <c r="F18" s="81" t="str">
        <f ca="1">IFERROR(__xludf.DUMMYFUNCTION("""COMPUTED_VALUE"""),"Office Expenses")</f>
        <v>Office Expenses</v>
      </c>
      <c r="G18" s="81" t="str">
        <f ca="1">IFERROR(__xludf.DUMMYFUNCTION("""COMPUTED_VALUE"""),"Software and Subscriptions")</f>
        <v>Software and Subscriptions</v>
      </c>
      <c r="H18" s="35">
        <f ca="1">IFERROR(__xludf.DUMMYFUNCTION("""COMPUTED_VALUE"""),93401)</f>
        <v>93401</v>
      </c>
      <c r="I18" s="140">
        <f ca="1">IFERROR(__xludf.DUMMYFUNCTION("""COMPUTED_VALUE"""),0)</f>
        <v>0</v>
      </c>
      <c r="J18" s="140"/>
      <c r="K18" s="140"/>
      <c r="L18" s="140"/>
      <c r="M18" s="143"/>
      <c r="N18" s="140"/>
      <c r="O18" s="140"/>
      <c r="P18" s="140"/>
      <c r="Q18" s="140"/>
      <c r="R18" s="140"/>
      <c r="S18" s="140"/>
      <c r="T18" s="140"/>
      <c r="U18" s="140"/>
      <c r="V18" s="69"/>
    </row>
    <row r="19" spans="1:22" ht="15" customHeight="1" x14ac:dyDescent="0.25">
      <c r="A19" s="81" t="str">
        <f ca="1">IFERROR(__xludf.DUMMYFUNCTION("""COMPUTED_VALUE"""),"USA")</f>
        <v>USA</v>
      </c>
      <c r="B19" s="81" t="str">
        <f ca="1">IFERROR(__xludf.DUMMYFUNCTION("""COMPUTED_VALUE"""),"NH501C")</f>
        <v>NH501C</v>
      </c>
      <c r="C19" s="139" t="str">
        <f ca="1">IFERROR(__xludf.DUMMYFUNCTION("""COMPUTED_VALUE"""),"Digital Product")</f>
        <v>Digital Product</v>
      </c>
      <c r="D19" s="139" t="str">
        <f ca="1">IFERROR(__xludf.DUMMYFUNCTION("""COMPUTED_VALUE"""),"Country Product")</f>
        <v>Country Product</v>
      </c>
      <c r="E19" s="81" t="str">
        <f ca="1">IFERROR(__xludf.DUMMYFUNCTION("""COMPUTED_VALUE"""),"Direct Cost")</f>
        <v>Direct Cost</v>
      </c>
      <c r="F19" s="81" t="str">
        <f ca="1">IFERROR(__xludf.DUMMYFUNCTION("""COMPUTED_VALUE"""),"Office Expenses")</f>
        <v>Office Expenses</v>
      </c>
      <c r="G19" s="81" t="str">
        <f ca="1">IFERROR(__xludf.DUMMYFUNCTION("""COMPUTED_VALUE"""),"Stationery &amp; Consumables")</f>
        <v>Stationery &amp; Consumables</v>
      </c>
      <c r="H19" s="35">
        <f ca="1">IFERROR(__xludf.DUMMYFUNCTION("""COMPUTED_VALUE"""),93404)</f>
        <v>93404</v>
      </c>
      <c r="I19" s="140">
        <f ca="1">IFERROR(__xludf.DUMMYFUNCTION("""COMPUTED_VALUE"""),0)</f>
        <v>0</v>
      </c>
      <c r="J19" s="140"/>
      <c r="K19" s="140"/>
      <c r="L19" s="140"/>
      <c r="M19" s="143"/>
      <c r="N19" s="140"/>
      <c r="O19" s="140"/>
      <c r="P19" s="140"/>
      <c r="Q19" s="140"/>
      <c r="R19" s="140"/>
      <c r="S19" s="140"/>
      <c r="T19" s="140"/>
      <c r="U19" s="140"/>
      <c r="V19" s="69"/>
    </row>
    <row r="20" spans="1:22" ht="15" customHeight="1" x14ac:dyDescent="0.25">
      <c r="A20" s="81" t="str">
        <f ca="1">IFERROR(__xludf.DUMMYFUNCTION("""COMPUTED_VALUE"""),"USA")</f>
        <v>USA</v>
      </c>
      <c r="B20" s="81" t="str">
        <f ca="1">IFERROR(__xludf.DUMMYFUNCTION("""COMPUTED_VALUE"""),"NH501C")</f>
        <v>NH501C</v>
      </c>
      <c r="C20" s="139" t="str">
        <f ca="1">IFERROR(__xludf.DUMMYFUNCTION("""COMPUTED_VALUE"""),"Digital Product")</f>
        <v>Digital Product</v>
      </c>
      <c r="D20" s="139" t="str">
        <f ca="1">IFERROR(__xludf.DUMMYFUNCTION("""COMPUTED_VALUE"""),"Country Product")</f>
        <v>Country Product</v>
      </c>
      <c r="E20" s="81" t="str">
        <f ca="1">IFERROR(__xludf.DUMMYFUNCTION("""COMPUTED_VALUE"""),"Direct Cost")</f>
        <v>Direct Cost</v>
      </c>
      <c r="F20" s="81" t="str">
        <f ca="1">IFERROR(__xludf.DUMMYFUNCTION("""COMPUTED_VALUE"""),"Office Expenses")</f>
        <v>Office Expenses</v>
      </c>
      <c r="G20" s="81" t="str">
        <f ca="1">IFERROR(__xludf.DUMMYFUNCTION("""COMPUTED_VALUE"""),"Office Equipment Expense")</f>
        <v>Office Equipment Expense</v>
      </c>
      <c r="H20" s="35">
        <f ca="1">IFERROR(__xludf.DUMMYFUNCTION("""COMPUTED_VALUE"""),93405)</f>
        <v>93405</v>
      </c>
      <c r="I20" s="140">
        <f ca="1">IFERROR(__xludf.DUMMYFUNCTION("""COMPUTED_VALUE"""),0)</f>
        <v>0</v>
      </c>
      <c r="J20" s="140"/>
      <c r="K20" s="140"/>
      <c r="L20" s="140"/>
      <c r="M20" s="143"/>
      <c r="N20" s="140"/>
      <c r="O20" s="140"/>
      <c r="P20" s="140"/>
      <c r="Q20" s="140"/>
      <c r="R20" s="140"/>
      <c r="S20" s="140"/>
      <c r="T20" s="140"/>
      <c r="U20" s="140"/>
      <c r="V20" s="69"/>
    </row>
    <row r="21" spans="1:22" ht="15" customHeight="1" x14ac:dyDescent="0.25">
      <c r="A21" s="81" t="str">
        <f ca="1">IFERROR(__xludf.DUMMYFUNCTION("""COMPUTED_VALUE"""),"USA")</f>
        <v>USA</v>
      </c>
      <c r="B21" s="81" t="str">
        <f ca="1">IFERROR(__xludf.DUMMYFUNCTION("""COMPUTED_VALUE"""),"NH501C")</f>
        <v>NH501C</v>
      </c>
      <c r="C21" s="139" t="str">
        <f ca="1">IFERROR(__xludf.DUMMYFUNCTION("""COMPUTED_VALUE"""),"Digital Product")</f>
        <v>Digital Product</v>
      </c>
      <c r="D21" s="139" t="str">
        <f ca="1">IFERROR(__xludf.DUMMYFUNCTION("""COMPUTED_VALUE"""),"Country Product")</f>
        <v>Country Product</v>
      </c>
      <c r="E21" s="81" t="str">
        <f ca="1">IFERROR(__xludf.DUMMYFUNCTION("""COMPUTED_VALUE"""),"Indirect Cost")</f>
        <v>Indirect Cost</v>
      </c>
      <c r="F21" s="81" t="str">
        <f ca="1">IFERROR(__xludf.DUMMYFUNCTION("""COMPUTED_VALUE"""),"Professional &amp; Consultancy Charges")</f>
        <v>Professional &amp; Consultancy Charges</v>
      </c>
      <c r="G21" s="81" t="str">
        <f ca="1">IFERROR(__xludf.DUMMYFUNCTION("""COMPUTED_VALUE"""),"Admin Consultants")</f>
        <v>Admin Consultants</v>
      </c>
      <c r="H21" s="35">
        <f ca="1">IFERROR(__xludf.DUMMYFUNCTION("""COMPUTED_VALUE"""),93703)</f>
        <v>93703</v>
      </c>
      <c r="I21" s="140">
        <f ca="1">IFERROR(__xludf.DUMMYFUNCTION("""COMPUTED_VALUE"""),0)</f>
        <v>0</v>
      </c>
      <c r="J21" s="140"/>
      <c r="K21" s="140"/>
      <c r="L21" s="140"/>
      <c r="M21" s="143"/>
      <c r="N21" s="140"/>
      <c r="O21" s="140"/>
      <c r="P21" s="140"/>
      <c r="Q21" s="140"/>
      <c r="R21" s="140"/>
      <c r="S21" s="140"/>
      <c r="T21" s="140"/>
      <c r="U21" s="140"/>
      <c r="V21" s="69"/>
    </row>
    <row r="22" spans="1:22" ht="15" customHeight="1" x14ac:dyDescent="0.25">
      <c r="A22" s="81" t="str">
        <f ca="1">IFERROR(__xludf.DUMMYFUNCTION("""COMPUTED_VALUE"""),"USA")</f>
        <v>USA</v>
      </c>
      <c r="B22" s="81" t="str">
        <f ca="1">IFERROR(__xludf.DUMMYFUNCTION("""COMPUTED_VALUE"""),"NH501C")</f>
        <v>NH501C</v>
      </c>
      <c r="C22" s="139" t="str">
        <f ca="1">IFERROR(__xludf.DUMMYFUNCTION("""COMPUTED_VALUE"""),"Digital Product")</f>
        <v>Digital Product</v>
      </c>
      <c r="D22" s="139" t="str">
        <f ca="1">IFERROR(__xludf.DUMMYFUNCTION("""COMPUTED_VALUE"""),"Country Product")</f>
        <v>Country Product</v>
      </c>
      <c r="E22" s="81" t="str">
        <f ca="1">IFERROR(__xludf.DUMMYFUNCTION("""COMPUTED_VALUE"""),"Fixed Assets")</f>
        <v>Fixed Assets</v>
      </c>
      <c r="F22" s="81" t="str">
        <f ca="1">IFERROR(__xludf.DUMMYFUNCTION("""COMPUTED_VALUE"""),"Fixed Assets")</f>
        <v>Fixed Assets</v>
      </c>
      <c r="G22" s="81" t="str">
        <f ca="1">IFERROR(__xludf.DUMMYFUNCTION("""COMPUTED_VALUE"""),"Laptop/ Printer")</f>
        <v>Laptop/ Printer</v>
      </c>
      <c r="H22" s="35">
        <f ca="1">IFERROR(__xludf.DUMMYFUNCTION("""COMPUTED_VALUE"""),11301)</f>
        <v>11301</v>
      </c>
      <c r="I22" s="140">
        <f ca="1">IFERROR(__xludf.DUMMYFUNCTION("""COMPUTED_VALUE"""),0)</f>
        <v>0</v>
      </c>
      <c r="J22" s="140">
        <f ca="1">IFERROR(__xludf.DUMMYFUNCTION("""COMPUTED_VALUE"""),0)</f>
        <v>0</v>
      </c>
      <c r="K22" s="140">
        <f ca="1">IFERROR(__xludf.DUMMYFUNCTION("""COMPUTED_VALUE"""),0)</f>
        <v>0</v>
      </c>
      <c r="L22" s="140">
        <f ca="1">IFERROR(__xludf.DUMMYFUNCTION("""COMPUTED_VALUE"""),0)</f>
        <v>0</v>
      </c>
      <c r="M22" s="143">
        <f ca="1">IFERROR(__xludf.DUMMYFUNCTION("""COMPUTED_VALUE"""),0)</f>
        <v>0</v>
      </c>
      <c r="N22" s="140">
        <f ca="1">IFERROR(__xludf.DUMMYFUNCTION("""COMPUTED_VALUE"""),0)</f>
        <v>0</v>
      </c>
      <c r="O22" s="140">
        <f ca="1">IFERROR(__xludf.DUMMYFUNCTION("""COMPUTED_VALUE"""),0)</f>
        <v>0</v>
      </c>
      <c r="P22" s="140">
        <f ca="1">IFERROR(__xludf.DUMMYFUNCTION("""COMPUTED_VALUE"""),0)</f>
        <v>0</v>
      </c>
      <c r="Q22" s="140">
        <f ca="1">IFERROR(__xludf.DUMMYFUNCTION("""COMPUTED_VALUE"""),0)</f>
        <v>0</v>
      </c>
      <c r="R22" s="140">
        <f ca="1">IFERROR(__xludf.DUMMYFUNCTION("""COMPUTED_VALUE"""),0)</f>
        <v>0</v>
      </c>
      <c r="S22" s="140">
        <f ca="1">IFERROR(__xludf.DUMMYFUNCTION("""COMPUTED_VALUE"""),0)</f>
        <v>0</v>
      </c>
      <c r="T22" s="140">
        <f ca="1">IFERROR(__xludf.DUMMYFUNCTION("""COMPUTED_VALUE"""),0)</f>
        <v>0</v>
      </c>
      <c r="U22" s="140">
        <f ca="1">IFERROR(__xludf.DUMMYFUNCTION("""COMPUTED_VALUE"""),0)</f>
        <v>0</v>
      </c>
      <c r="V22" s="69"/>
    </row>
    <row r="23" spans="1:22" x14ac:dyDescent="0.3">
      <c r="A23" s="170"/>
      <c r="B23" s="170"/>
      <c r="C23" s="170"/>
      <c r="D23" s="170"/>
      <c r="E23" s="170"/>
      <c r="F23" s="170"/>
      <c r="G23" s="170" t="str">
        <f ca="1">IFERROR(__xludf.DUMMYFUNCTION("""COMPUTED_VALUE"""),"Total")</f>
        <v>Total</v>
      </c>
      <c r="H23" s="170"/>
      <c r="I23" s="171">
        <f ca="1">IFERROR(__xludf.DUMMYFUNCTION("""COMPUTED_VALUE"""),0)</f>
        <v>0</v>
      </c>
      <c r="J23" s="171">
        <f ca="1">IFERROR(__xludf.DUMMYFUNCTION("""COMPUTED_VALUE"""),0)</f>
        <v>0</v>
      </c>
      <c r="K23" s="171">
        <f ca="1">IFERROR(__xludf.DUMMYFUNCTION("""COMPUTED_VALUE"""),0)</f>
        <v>0</v>
      </c>
      <c r="L23" s="171">
        <f ca="1">IFERROR(__xludf.DUMMYFUNCTION("""COMPUTED_VALUE"""),0)</f>
        <v>0</v>
      </c>
      <c r="M23" s="171">
        <f ca="1">IFERROR(__xludf.DUMMYFUNCTION("""COMPUTED_VALUE"""),0)</f>
        <v>0</v>
      </c>
      <c r="N23" s="171">
        <f ca="1">IFERROR(__xludf.DUMMYFUNCTION("""COMPUTED_VALUE"""),0)</f>
        <v>0</v>
      </c>
      <c r="O23" s="171">
        <f ca="1">IFERROR(__xludf.DUMMYFUNCTION("""COMPUTED_VALUE"""),0)</f>
        <v>0</v>
      </c>
      <c r="P23" s="171">
        <f ca="1">IFERROR(__xludf.DUMMYFUNCTION("""COMPUTED_VALUE"""),0)</f>
        <v>0</v>
      </c>
      <c r="Q23" s="171">
        <f ca="1">IFERROR(__xludf.DUMMYFUNCTION("""COMPUTED_VALUE"""),0)</f>
        <v>0</v>
      </c>
      <c r="R23" s="171">
        <f ca="1">IFERROR(__xludf.DUMMYFUNCTION("""COMPUTED_VALUE"""),0)</f>
        <v>0</v>
      </c>
      <c r="S23" s="171">
        <f ca="1">IFERROR(__xludf.DUMMYFUNCTION("""COMPUTED_VALUE"""),0)</f>
        <v>0</v>
      </c>
      <c r="T23" s="171">
        <f ca="1">IFERROR(__xludf.DUMMYFUNCTION("""COMPUTED_VALUE"""),0)</f>
        <v>0</v>
      </c>
      <c r="U23" s="171">
        <f ca="1">IFERROR(__xludf.DUMMYFUNCTION("""COMPUTED_VALUE"""),0)</f>
        <v>0</v>
      </c>
      <c r="V23" s="69">
        <f ca="1">IFERROR(__xludf.DUMMYFUNCTION("""COMPUTED_VALUE"""),2026)</f>
        <v>2026</v>
      </c>
    </row>
    <row r="26" spans="1:22" ht="12.5" x14ac:dyDescent="0.25">
      <c r="A26" s="137" t="str">
        <f ca="1">IFERROR(__xludf.DUMMYFUNCTION("importrange(""https://docs.google.com/spreadsheets/d/1EqCc4uk4prH46nYUw_imMj7W_SeADSfqNzR4vO2j1oY/edit?gid=95180092#"",""Master Summary!A3:V23"")"),"USA")</f>
        <v>USA</v>
      </c>
      <c r="B26" s="81" t="str">
        <f ca="1">IFERROR(__xludf.DUMMYFUNCTION("""COMPUTED_VALUE"""),"NH501C")</f>
        <v>NH501C</v>
      </c>
      <c r="C26" s="139" t="str">
        <f ca="1">IFERROR(__xludf.DUMMYFUNCTION("""COMPUTED_VALUE"""),"Digital Product")</f>
        <v>Digital Product</v>
      </c>
      <c r="D26" s="139" t="str">
        <f ca="1">IFERROR(__xludf.DUMMYFUNCTION("""COMPUTED_VALUE"""),"Engineering")</f>
        <v>Engineering</v>
      </c>
      <c r="E26" s="139" t="str">
        <f ca="1">IFERROR(__xludf.DUMMYFUNCTION("""COMPUTED_VALUE"""),"Payroll Cost")</f>
        <v>Payroll Cost</v>
      </c>
      <c r="F26" s="139" t="str">
        <f ca="1">IFERROR(__xludf.DUMMYFUNCTION("""COMPUTED_VALUE"""),"Salaries and Wages")</f>
        <v>Salaries and Wages</v>
      </c>
      <c r="G26" s="139" t="str">
        <f ca="1">IFERROR(__xludf.DUMMYFUNCTION("""COMPUTED_VALUE"""),"Salaries and Wages")</f>
        <v>Salaries and Wages</v>
      </c>
      <c r="H26" s="141" t="str">
        <f ca="1">IFERROR(__xludf.DUMMYFUNCTION("""COMPUTED_VALUE"""),"91101-91107")</f>
        <v>91101-91107</v>
      </c>
      <c r="I26" s="140">
        <f ca="1">IFERROR(__xludf.DUMMYFUNCTION("""COMPUTED_VALUE"""),0)</f>
        <v>0</v>
      </c>
      <c r="J26" s="140">
        <f ca="1">IFERROR(__xludf.DUMMYFUNCTION("""COMPUTED_VALUE"""),0)</f>
        <v>0</v>
      </c>
      <c r="K26" s="140">
        <f ca="1">IFERROR(__xludf.DUMMYFUNCTION("""COMPUTED_VALUE"""),0)</f>
        <v>0</v>
      </c>
      <c r="L26" s="140">
        <f ca="1">IFERROR(__xludf.DUMMYFUNCTION("""COMPUTED_VALUE"""),0)</f>
        <v>0</v>
      </c>
      <c r="M26" s="143">
        <f ca="1">IFERROR(__xludf.DUMMYFUNCTION("""COMPUTED_VALUE"""),0)</f>
        <v>0</v>
      </c>
      <c r="N26" s="140">
        <f ca="1">IFERROR(__xludf.DUMMYFUNCTION("""COMPUTED_VALUE"""),0)</f>
        <v>0</v>
      </c>
      <c r="O26" s="140">
        <f ca="1">IFERROR(__xludf.DUMMYFUNCTION("""COMPUTED_VALUE"""),0)</f>
        <v>0</v>
      </c>
      <c r="P26" s="140">
        <f ca="1">IFERROR(__xludf.DUMMYFUNCTION("""COMPUTED_VALUE"""),0)</f>
        <v>0</v>
      </c>
      <c r="Q26" s="140">
        <f ca="1">IFERROR(__xludf.DUMMYFUNCTION("""COMPUTED_VALUE"""),0)</f>
        <v>0</v>
      </c>
      <c r="R26" s="140">
        <f ca="1">IFERROR(__xludf.DUMMYFUNCTION("""COMPUTED_VALUE"""),0)</f>
        <v>0</v>
      </c>
      <c r="S26" s="140">
        <f ca="1">IFERROR(__xludf.DUMMYFUNCTION("""COMPUTED_VALUE"""),0)</f>
        <v>0</v>
      </c>
      <c r="T26" s="140">
        <f ca="1">IFERROR(__xludf.DUMMYFUNCTION("""COMPUTED_VALUE"""),0)</f>
        <v>0</v>
      </c>
      <c r="U26" s="140">
        <f ca="1">IFERROR(__xludf.DUMMYFUNCTION("""COMPUTED_VALUE"""),0)</f>
        <v>0</v>
      </c>
      <c r="V26" s="69"/>
    </row>
    <row r="27" spans="1:22" ht="12.5" x14ac:dyDescent="0.25">
      <c r="A27" s="81" t="str">
        <f ca="1">IFERROR(__xludf.DUMMYFUNCTION("""COMPUTED_VALUE"""),"USA")</f>
        <v>USA</v>
      </c>
      <c r="B27" s="81" t="str">
        <f ca="1">IFERROR(__xludf.DUMMYFUNCTION("""COMPUTED_VALUE"""),"NH501C")</f>
        <v>NH501C</v>
      </c>
      <c r="C27" s="139" t="str">
        <f ca="1">IFERROR(__xludf.DUMMYFUNCTION("""COMPUTED_VALUE"""),"Digital Product")</f>
        <v>Digital Product</v>
      </c>
      <c r="D27" s="139" t="str">
        <f ca="1">IFERROR(__xludf.DUMMYFUNCTION("""COMPUTED_VALUE"""),"Engineering")</f>
        <v>Engineering</v>
      </c>
      <c r="E27" s="139" t="str">
        <f ca="1">IFERROR(__xludf.DUMMYFUNCTION("""COMPUTED_VALUE"""),"Payroll Cost")</f>
        <v>Payroll Cost</v>
      </c>
      <c r="F27" s="139" t="str">
        <f ca="1">IFERROR(__xludf.DUMMYFUNCTION("""COMPUTED_VALUE"""),"Health and Retirement Benefits")</f>
        <v>Health and Retirement Benefits</v>
      </c>
      <c r="G27" s="139" t="str">
        <f ca="1">IFERROR(__xludf.DUMMYFUNCTION("""COMPUTED_VALUE"""),"Gratuity &amp; Bonus")</f>
        <v>Gratuity &amp; Bonus</v>
      </c>
      <c r="H27" s="141" t="str">
        <f ca="1">IFERROR(__xludf.DUMMYFUNCTION("""COMPUTED_VALUE"""),"91201-91207")</f>
        <v>91201-91207</v>
      </c>
      <c r="I27" s="140">
        <f ca="1">IFERROR(__xludf.DUMMYFUNCTION("""COMPUTED_VALUE"""),0)</f>
        <v>0</v>
      </c>
      <c r="J27" s="140">
        <f ca="1">IFERROR(__xludf.DUMMYFUNCTION("""COMPUTED_VALUE"""),0)</f>
        <v>0</v>
      </c>
      <c r="K27" s="140">
        <f ca="1">IFERROR(__xludf.DUMMYFUNCTION("""COMPUTED_VALUE"""),0)</f>
        <v>0</v>
      </c>
      <c r="L27" s="140">
        <f ca="1">IFERROR(__xludf.DUMMYFUNCTION("""COMPUTED_VALUE"""),0)</f>
        <v>0</v>
      </c>
      <c r="M27" s="143">
        <f ca="1">IFERROR(__xludf.DUMMYFUNCTION("""COMPUTED_VALUE"""),0)</f>
        <v>0</v>
      </c>
      <c r="N27" s="140">
        <f ca="1">IFERROR(__xludf.DUMMYFUNCTION("""COMPUTED_VALUE"""),0)</f>
        <v>0</v>
      </c>
      <c r="O27" s="140">
        <f ca="1">IFERROR(__xludf.DUMMYFUNCTION("""COMPUTED_VALUE"""),0)</f>
        <v>0</v>
      </c>
      <c r="P27" s="140">
        <f ca="1">IFERROR(__xludf.DUMMYFUNCTION("""COMPUTED_VALUE"""),0)</f>
        <v>0</v>
      </c>
      <c r="Q27" s="140">
        <f ca="1">IFERROR(__xludf.DUMMYFUNCTION("""COMPUTED_VALUE"""),0)</f>
        <v>0</v>
      </c>
      <c r="R27" s="140">
        <f ca="1">IFERROR(__xludf.DUMMYFUNCTION("""COMPUTED_VALUE"""),0)</f>
        <v>0</v>
      </c>
      <c r="S27" s="140">
        <f ca="1">IFERROR(__xludf.DUMMYFUNCTION("""COMPUTED_VALUE"""),0)</f>
        <v>0</v>
      </c>
      <c r="T27" s="140">
        <f ca="1">IFERROR(__xludf.DUMMYFUNCTION("""COMPUTED_VALUE"""),0)</f>
        <v>0</v>
      </c>
      <c r="U27" s="140">
        <f ca="1">IFERROR(__xludf.DUMMYFUNCTION("""COMPUTED_VALUE"""),0)</f>
        <v>0</v>
      </c>
      <c r="V27" s="69"/>
    </row>
    <row r="28" spans="1:22" ht="12.5" x14ac:dyDescent="0.25">
      <c r="A28" s="81" t="str">
        <f ca="1">IFERROR(__xludf.DUMMYFUNCTION("""COMPUTED_VALUE"""),"USA")</f>
        <v>USA</v>
      </c>
      <c r="B28" s="81" t="str">
        <f ca="1">IFERROR(__xludf.DUMMYFUNCTION("""COMPUTED_VALUE"""),"NH501C")</f>
        <v>NH501C</v>
      </c>
      <c r="C28" s="139" t="str">
        <f ca="1">IFERROR(__xludf.DUMMYFUNCTION("""COMPUTED_VALUE"""),"Digital Product")</f>
        <v>Digital Product</v>
      </c>
      <c r="D28" s="139" t="str">
        <f ca="1">IFERROR(__xludf.DUMMYFUNCTION("""COMPUTED_VALUE"""),"Engineering")</f>
        <v>Engineering</v>
      </c>
      <c r="E28" s="139" t="str">
        <f ca="1">IFERROR(__xludf.DUMMYFUNCTION("""COMPUTED_VALUE"""),"Payroll Cost")</f>
        <v>Payroll Cost</v>
      </c>
      <c r="F28" s="139" t="str">
        <f ca="1">IFERROR(__xludf.DUMMYFUNCTION("""COMPUTED_VALUE"""),"Other Staff Expenses")</f>
        <v>Other Staff Expenses</v>
      </c>
      <c r="G28" s="139" t="str">
        <f ca="1">IFERROR(__xludf.DUMMYFUNCTION("""COMPUTED_VALUE"""),"Staff Training, Learning &amp; Development Exp")</f>
        <v>Staff Training, Learning &amp; Development Exp</v>
      </c>
      <c r="H28" s="152">
        <f ca="1">IFERROR(__xludf.DUMMYFUNCTION("""COMPUTED_VALUE"""),91302)</f>
        <v>91302</v>
      </c>
      <c r="I28" s="140">
        <f ca="1">IFERROR(__xludf.DUMMYFUNCTION("""COMPUTED_VALUE"""),0)</f>
        <v>0</v>
      </c>
      <c r="J28" s="140">
        <f ca="1">IFERROR(__xludf.DUMMYFUNCTION("""COMPUTED_VALUE"""),0)</f>
        <v>0</v>
      </c>
      <c r="K28" s="140">
        <f ca="1">IFERROR(__xludf.DUMMYFUNCTION("""COMPUTED_VALUE"""),0)</f>
        <v>0</v>
      </c>
      <c r="L28" s="140">
        <f ca="1">IFERROR(__xludf.DUMMYFUNCTION("""COMPUTED_VALUE"""),0)</f>
        <v>0</v>
      </c>
      <c r="M28" s="143">
        <f ca="1">IFERROR(__xludf.DUMMYFUNCTION("""COMPUTED_VALUE"""),0)</f>
        <v>0</v>
      </c>
      <c r="N28" s="140">
        <f ca="1">IFERROR(__xludf.DUMMYFUNCTION("""COMPUTED_VALUE"""),0)</f>
        <v>0</v>
      </c>
      <c r="O28" s="140">
        <f ca="1">IFERROR(__xludf.DUMMYFUNCTION("""COMPUTED_VALUE"""),0)</f>
        <v>0</v>
      </c>
      <c r="P28" s="140">
        <f ca="1">IFERROR(__xludf.DUMMYFUNCTION("""COMPUTED_VALUE"""),0)</f>
        <v>0</v>
      </c>
      <c r="Q28" s="140">
        <f ca="1">IFERROR(__xludf.DUMMYFUNCTION("""COMPUTED_VALUE"""),0)</f>
        <v>0</v>
      </c>
      <c r="R28" s="140">
        <f ca="1">IFERROR(__xludf.DUMMYFUNCTION("""COMPUTED_VALUE"""),0)</f>
        <v>0</v>
      </c>
      <c r="S28" s="140">
        <f ca="1">IFERROR(__xludf.DUMMYFUNCTION("""COMPUTED_VALUE"""),0)</f>
        <v>0</v>
      </c>
      <c r="T28" s="140">
        <f ca="1">IFERROR(__xludf.DUMMYFUNCTION("""COMPUTED_VALUE"""),0)</f>
        <v>0</v>
      </c>
      <c r="U28" s="140">
        <f ca="1">IFERROR(__xludf.DUMMYFUNCTION("""COMPUTED_VALUE"""),0)</f>
        <v>0</v>
      </c>
      <c r="V28" s="69"/>
    </row>
    <row r="29" spans="1:22" ht="12.5" x14ac:dyDescent="0.25">
      <c r="A29" s="81" t="str">
        <f ca="1">IFERROR(__xludf.DUMMYFUNCTION("""COMPUTED_VALUE"""),"USA")</f>
        <v>USA</v>
      </c>
      <c r="B29" s="81" t="str">
        <f ca="1">IFERROR(__xludf.DUMMYFUNCTION("""COMPUTED_VALUE"""),"NH501C")</f>
        <v>NH501C</v>
      </c>
      <c r="C29" s="139" t="str">
        <f ca="1">IFERROR(__xludf.DUMMYFUNCTION("""COMPUTED_VALUE"""),"Digital Product")</f>
        <v>Digital Product</v>
      </c>
      <c r="D29" s="139" t="str">
        <f ca="1">IFERROR(__xludf.DUMMYFUNCTION("""COMPUTED_VALUE"""),"Engineering")</f>
        <v>Engineering</v>
      </c>
      <c r="E29" s="81" t="str">
        <f ca="1">IFERROR(__xludf.DUMMYFUNCTION("""COMPUTED_VALUE"""),"Direct Consultants")</f>
        <v>Direct Consultants</v>
      </c>
      <c r="F29" s="81" t="str">
        <f ca="1">IFERROR(__xludf.DUMMYFUNCTION("""COMPUTED_VALUE"""),"Resource Persons")</f>
        <v>Resource Persons</v>
      </c>
      <c r="G29" s="81" t="str">
        <f ca="1">IFERROR(__xludf.DUMMYFUNCTION("""COMPUTED_VALUE"""),"Program Resource Consultant (EHA)")</f>
        <v>Program Resource Consultant (EHA)</v>
      </c>
      <c r="H29" s="35">
        <f ca="1">IFERROR(__xludf.DUMMYFUNCTION("""COMPUTED_VALUE"""),92101)</f>
        <v>92101</v>
      </c>
      <c r="I29" s="140">
        <f ca="1">IFERROR(__xludf.DUMMYFUNCTION("""COMPUTED_VALUE"""),8715)</f>
        <v>8715</v>
      </c>
      <c r="J29" s="140">
        <f ca="1">IFERROR(__xludf.DUMMYFUNCTION("""COMPUTED_VALUE"""),2905)</f>
        <v>2905</v>
      </c>
      <c r="K29" s="140">
        <f ca="1">IFERROR(__xludf.DUMMYFUNCTION("""COMPUTED_VALUE"""),2905)</f>
        <v>2905</v>
      </c>
      <c r="L29" s="140">
        <f ca="1">IFERROR(__xludf.DUMMYFUNCTION("""COMPUTED_VALUE"""),2905)</f>
        <v>2905</v>
      </c>
      <c r="M29" s="143">
        <f ca="1">IFERROR(__xludf.DUMMYFUNCTION("""COMPUTED_VALUE"""),0)</f>
        <v>0</v>
      </c>
      <c r="N29" s="140">
        <f ca="1">IFERROR(__xludf.DUMMYFUNCTION("""COMPUTED_VALUE"""),0)</f>
        <v>0</v>
      </c>
      <c r="O29" s="140">
        <f ca="1">IFERROR(__xludf.DUMMYFUNCTION("""COMPUTED_VALUE"""),0)</f>
        <v>0</v>
      </c>
      <c r="P29" s="140">
        <f ca="1">IFERROR(__xludf.DUMMYFUNCTION("""COMPUTED_VALUE"""),0)</f>
        <v>0</v>
      </c>
      <c r="Q29" s="140">
        <f ca="1">IFERROR(__xludf.DUMMYFUNCTION("""COMPUTED_VALUE"""),0)</f>
        <v>0</v>
      </c>
      <c r="R29" s="140">
        <f ca="1">IFERROR(__xludf.DUMMYFUNCTION("""COMPUTED_VALUE"""),0)</f>
        <v>0</v>
      </c>
      <c r="S29" s="140">
        <f ca="1">IFERROR(__xludf.DUMMYFUNCTION("""COMPUTED_VALUE"""),0)</f>
        <v>0</v>
      </c>
      <c r="T29" s="140">
        <f ca="1">IFERROR(__xludf.DUMMYFUNCTION("""COMPUTED_VALUE"""),0)</f>
        <v>0</v>
      </c>
      <c r="U29" s="140">
        <f ca="1">IFERROR(__xludf.DUMMYFUNCTION("""COMPUTED_VALUE"""),0)</f>
        <v>0</v>
      </c>
      <c r="V29" s="69"/>
    </row>
    <row r="30" spans="1:22" ht="12.5" x14ac:dyDescent="0.25">
      <c r="A30" s="81" t="str">
        <f ca="1">IFERROR(__xludf.DUMMYFUNCTION("""COMPUTED_VALUE"""),"USA")</f>
        <v>USA</v>
      </c>
      <c r="B30" s="81" t="str">
        <f ca="1">IFERROR(__xludf.DUMMYFUNCTION("""COMPUTED_VALUE"""),"NH501C")</f>
        <v>NH501C</v>
      </c>
      <c r="C30" s="139" t="str">
        <f ca="1">IFERROR(__xludf.DUMMYFUNCTION("""COMPUTED_VALUE"""),"Digital Product")</f>
        <v>Digital Product</v>
      </c>
      <c r="D30" s="139" t="str">
        <f ca="1">IFERROR(__xludf.DUMMYFUNCTION("""COMPUTED_VALUE"""),"Engineering")</f>
        <v>Engineering</v>
      </c>
      <c r="E30" s="81" t="str">
        <f ca="1">IFERROR(__xludf.DUMMYFUNCTION("""COMPUTED_VALUE"""),"Direct Cost")</f>
        <v>Direct Cost</v>
      </c>
      <c r="F30" s="81" t="str">
        <f ca="1">IFERROR(__xludf.DUMMYFUNCTION("""COMPUTED_VALUE"""),"Travel &amp; Lodging Expenses")</f>
        <v>Travel &amp; Lodging Expenses</v>
      </c>
      <c r="G30" s="81" t="str">
        <f ca="1">IFERROR(__xludf.DUMMYFUNCTION("""COMPUTED_VALUE"""),"Hotel Accomodation")</f>
        <v>Hotel Accomodation</v>
      </c>
      <c r="H30" s="35">
        <f ca="1">IFERROR(__xludf.DUMMYFUNCTION("""COMPUTED_VALUE"""),93101)</f>
        <v>93101</v>
      </c>
      <c r="I30" s="140">
        <f ca="1">IFERROR(__xludf.DUMMYFUNCTION("""COMPUTED_VALUE"""),0)</f>
        <v>0</v>
      </c>
      <c r="J30" s="140">
        <f ca="1">IFERROR(__xludf.DUMMYFUNCTION("""COMPUTED_VALUE"""),0)</f>
        <v>0</v>
      </c>
      <c r="K30" s="140">
        <f ca="1">IFERROR(__xludf.DUMMYFUNCTION("""COMPUTED_VALUE"""),0)</f>
        <v>0</v>
      </c>
      <c r="L30" s="140">
        <f ca="1">IFERROR(__xludf.DUMMYFUNCTION("""COMPUTED_VALUE"""),0)</f>
        <v>0</v>
      </c>
      <c r="M30" s="143">
        <f ca="1">IFERROR(__xludf.DUMMYFUNCTION("""COMPUTED_VALUE"""),0)</f>
        <v>0</v>
      </c>
      <c r="N30" s="140">
        <f ca="1">IFERROR(__xludf.DUMMYFUNCTION("""COMPUTED_VALUE"""),0)</f>
        <v>0</v>
      </c>
      <c r="O30" s="140">
        <f ca="1">IFERROR(__xludf.DUMMYFUNCTION("""COMPUTED_VALUE"""),0)</f>
        <v>0</v>
      </c>
      <c r="P30" s="140">
        <f ca="1">IFERROR(__xludf.DUMMYFUNCTION("""COMPUTED_VALUE"""),0)</f>
        <v>0</v>
      </c>
      <c r="Q30" s="140">
        <f ca="1">IFERROR(__xludf.DUMMYFUNCTION("""COMPUTED_VALUE"""),0)</f>
        <v>0</v>
      </c>
      <c r="R30" s="140">
        <f ca="1">IFERROR(__xludf.DUMMYFUNCTION("""COMPUTED_VALUE"""),0)</f>
        <v>0</v>
      </c>
      <c r="S30" s="140">
        <f ca="1">IFERROR(__xludf.DUMMYFUNCTION("""COMPUTED_VALUE"""),0)</f>
        <v>0</v>
      </c>
      <c r="T30" s="140">
        <f ca="1">IFERROR(__xludf.DUMMYFUNCTION("""COMPUTED_VALUE"""),0)</f>
        <v>0</v>
      </c>
      <c r="U30" s="140">
        <f ca="1">IFERROR(__xludf.DUMMYFUNCTION("""COMPUTED_VALUE"""),0)</f>
        <v>0</v>
      </c>
      <c r="V30" s="69"/>
    </row>
    <row r="31" spans="1:22" ht="12.5" x14ac:dyDescent="0.25">
      <c r="A31" s="81" t="str">
        <f ca="1">IFERROR(__xludf.DUMMYFUNCTION("""COMPUTED_VALUE"""),"USA")</f>
        <v>USA</v>
      </c>
      <c r="B31" s="81" t="str">
        <f ca="1">IFERROR(__xludf.DUMMYFUNCTION("""COMPUTED_VALUE"""),"NH501C")</f>
        <v>NH501C</v>
      </c>
      <c r="C31" s="139" t="str">
        <f ca="1">IFERROR(__xludf.DUMMYFUNCTION("""COMPUTED_VALUE"""),"Digital Product")</f>
        <v>Digital Product</v>
      </c>
      <c r="D31" s="139" t="str">
        <f ca="1">IFERROR(__xludf.DUMMYFUNCTION("""COMPUTED_VALUE"""),"Engineering")</f>
        <v>Engineering</v>
      </c>
      <c r="E31" s="81" t="str">
        <f ca="1">IFERROR(__xludf.DUMMYFUNCTION("""COMPUTED_VALUE"""),"Direct Cost")</f>
        <v>Direct Cost</v>
      </c>
      <c r="F31" s="81" t="str">
        <f ca="1">IFERROR(__xludf.DUMMYFUNCTION("""COMPUTED_VALUE"""),"Travel &amp; Lodging Expenses")</f>
        <v>Travel &amp; Lodging Expenses</v>
      </c>
      <c r="G31" s="81" t="str">
        <f ca="1">IFERROR(__xludf.DUMMYFUNCTION("""COMPUTED_VALUE"""),"Food Expenses")</f>
        <v>Food Expenses</v>
      </c>
      <c r="H31" s="35">
        <f ca="1">IFERROR(__xludf.DUMMYFUNCTION("""COMPUTED_VALUE"""),93102)</f>
        <v>93102</v>
      </c>
      <c r="I31" s="140">
        <f ca="1">IFERROR(__xludf.DUMMYFUNCTION("""COMPUTED_VALUE"""),0)</f>
        <v>0</v>
      </c>
      <c r="J31" s="140">
        <f ca="1">IFERROR(__xludf.DUMMYFUNCTION("""COMPUTED_VALUE"""),0)</f>
        <v>0</v>
      </c>
      <c r="K31" s="140">
        <f ca="1">IFERROR(__xludf.DUMMYFUNCTION("""COMPUTED_VALUE"""),0)</f>
        <v>0</v>
      </c>
      <c r="L31" s="140">
        <f ca="1">IFERROR(__xludf.DUMMYFUNCTION("""COMPUTED_VALUE"""),0)</f>
        <v>0</v>
      </c>
      <c r="M31" s="143">
        <f ca="1">IFERROR(__xludf.DUMMYFUNCTION("""COMPUTED_VALUE"""),0)</f>
        <v>0</v>
      </c>
      <c r="N31" s="140">
        <f ca="1">IFERROR(__xludf.DUMMYFUNCTION("""COMPUTED_VALUE"""),0)</f>
        <v>0</v>
      </c>
      <c r="O31" s="140">
        <f ca="1">IFERROR(__xludf.DUMMYFUNCTION("""COMPUTED_VALUE"""),0)</f>
        <v>0</v>
      </c>
      <c r="P31" s="140">
        <f ca="1">IFERROR(__xludf.DUMMYFUNCTION("""COMPUTED_VALUE"""),0)</f>
        <v>0</v>
      </c>
      <c r="Q31" s="140">
        <f ca="1">IFERROR(__xludf.DUMMYFUNCTION("""COMPUTED_VALUE"""),0)</f>
        <v>0</v>
      </c>
      <c r="R31" s="140">
        <f ca="1">IFERROR(__xludf.DUMMYFUNCTION("""COMPUTED_VALUE"""),0)</f>
        <v>0</v>
      </c>
      <c r="S31" s="140">
        <f ca="1">IFERROR(__xludf.DUMMYFUNCTION("""COMPUTED_VALUE"""),0)</f>
        <v>0</v>
      </c>
      <c r="T31" s="140">
        <f ca="1">IFERROR(__xludf.DUMMYFUNCTION("""COMPUTED_VALUE"""),0)</f>
        <v>0</v>
      </c>
      <c r="U31" s="140">
        <f ca="1">IFERROR(__xludf.DUMMYFUNCTION("""COMPUTED_VALUE"""),0)</f>
        <v>0</v>
      </c>
      <c r="V31" s="69"/>
    </row>
    <row r="32" spans="1:22" ht="12.5" x14ac:dyDescent="0.25">
      <c r="A32" s="81" t="str">
        <f ca="1">IFERROR(__xludf.DUMMYFUNCTION("""COMPUTED_VALUE"""),"USA")</f>
        <v>USA</v>
      </c>
      <c r="B32" s="81" t="str">
        <f ca="1">IFERROR(__xludf.DUMMYFUNCTION("""COMPUTED_VALUE"""),"NH501C")</f>
        <v>NH501C</v>
      </c>
      <c r="C32" s="139" t="str">
        <f ca="1">IFERROR(__xludf.DUMMYFUNCTION("""COMPUTED_VALUE"""),"Digital Product")</f>
        <v>Digital Product</v>
      </c>
      <c r="D32" s="139" t="str">
        <f ca="1">IFERROR(__xludf.DUMMYFUNCTION("""COMPUTED_VALUE"""),"Engineering")</f>
        <v>Engineering</v>
      </c>
      <c r="E32" s="81" t="str">
        <f ca="1">IFERROR(__xludf.DUMMYFUNCTION("""COMPUTED_VALUE"""),"Direct Cost")</f>
        <v>Direct Cost</v>
      </c>
      <c r="F32" s="81" t="str">
        <f ca="1">IFERROR(__xludf.DUMMYFUNCTION("""COMPUTED_VALUE"""),"Travel &amp; Lodging Expenses")</f>
        <v>Travel &amp; Lodging Expenses</v>
      </c>
      <c r="G32" s="81" t="str">
        <f ca="1">IFERROR(__xludf.DUMMYFUNCTION("""COMPUTED_VALUE"""),"Air fare")</f>
        <v>Air fare</v>
      </c>
      <c r="H32" s="35">
        <f ca="1">IFERROR(__xludf.DUMMYFUNCTION("""COMPUTED_VALUE"""),93103)</f>
        <v>93103</v>
      </c>
      <c r="I32" s="140">
        <f ca="1">IFERROR(__xludf.DUMMYFUNCTION("""COMPUTED_VALUE"""),0)</f>
        <v>0</v>
      </c>
      <c r="J32" s="140">
        <f ca="1">IFERROR(__xludf.DUMMYFUNCTION("""COMPUTED_VALUE"""),0)</f>
        <v>0</v>
      </c>
      <c r="K32" s="140">
        <f ca="1">IFERROR(__xludf.DUMMYFUNCTION("""COMPUTED_VALUE"""),0)</f>
        <v>0</v>
      </c>
      <c r="L32" s="140">
        <f ca="1">IFERROR(__xludf.DUMMYFUNCTION("""COMPUTED_VALUE"""),0)</f>
        <v>0</v>
      </c>
      <c r="M32" s="143">
        <f ca="1">IFERROR(__xludf.DUMMYFUNCTION("""COMPUTED_VALUE"""),0)</f>
        <v>0</v>
      </c>
      <c r="N32" s="140">
        <f ca="1">IFERROR(__xludf.DUMMYFUNCTION("""COMPUTED_VALUE"""),0)</f>
        <v>0</v>
      </c>
      <c r="O32" s="140">
        <f ca="1">IFERROR(__xludf.DUMMYFUNCTION("""COMPUTED_VALUE"""),0)</f>
        <v>0</v>
      </c>
      <c r="P32" s="140">
        <f ca="1">IFERROR(__xludf.DUMMYFUNCTION("""COMPUTED_VALUE"""),0)</f>
        <v>0</v>
      </c>
      <c r="Q32" s="140">
        <f ca="1">IFERROR(__xludf.DUMMYFUNCTION("""COMPUTED_VALUE"""),0)</f>
        <v>0</v>
      </c>
      <c r="R32" s="140">
        <f ca="1">IFERROR(__xludf.DUMMYFUNCTION("""COMPUTED_VALUE"""),0)</f>
        <v>0</v>
      </c>
      <c r="S32" s="140">
        <f ca="1">IFERROR(__xludf.DUMMYFUNCTION("""COMPUTED_VALUE"""),0)</f>
        <v>0</v>
      </c>
      <c r="T32" s="140">
        <f ca="1">IFERROR(__xludf.DUMMYFUNCTION("""COMPUTED_VALUE"""),0)</f>
        <v>0</v>
      </c>
      <c r="U32" s="140">
        <f ca="1">IFERROR(__xludf.DUMMYFUNCTION("""COMPUTED_VALUE"""),0)</f>
        <v>0</v>
      </c>
      <c r="V32" s="69"/>
    </row>
    <row r="33" spans="1:22" ht="12.5" x14ac:dyDescent="0.25">
      <c r="A33" s="81" t="str">
        <f ca="1">IFERROR(__xludf.DUMMYFUNCTION("""COMPUTED_VALUE"""),"USA")</f>
        <v>USA</v>
      </c>
      <c r="B33" s="81" t="str">
        <f ca="1">IFERROR(__xludf.DUMMYFUNCTION("""COMPUTED_VALUE"""),"NH501C")</f>
        <v>NH501C</v>
      </c>
      <c r="C33" s="139" t="str">
        <f ca="1">IFERROR(__xludf.DUMMYFUNCTION("""COMPUTED_VALUE"""),"Digital Product")</f>
        <v>Digital Product</v>
      </c>
      <c r="D33" s="139" t="str">
        <f ca="1">IFERROR(__xludf.DUMMYFUNCTION("""COMPUTED_VALUE"""),"Engineering")</f>
        <v>Engineering</v>
      </c>
      <c r="E33" s="81" t="str">
        <f ca="1">IFERROR(__xludf.DUMMYFUNCTION("""COMPUTED_VALUE"""),"Direct Cost")</f>
        <v>Direct Cost</v>
      </c>
      <c r="F33" s="81" t="str">
        <f ca="1">IFERROR(__xludf.DUMMYFUNCTION("""COMPUTED_VALUE"""),"Travel &amp; Lodging Expenses")</f>
        <v>Travel &amp; Lodging Expenses</v>
      </c>
      <c r="G33" s="81" t="str">
        <f ca="1">IFERROR(__xludf.DUMMYFUNCTION("""COMPUTED_VALUE"""),"Cab/Auto")</f>
        <v>Cab/Auto</v>
      </c>
      <c r="H33" s="35">
        <f ca="1">IFERROR(__xludf.DUMMYFUNCTION("""COMPUTED_VALUE"""),93104)</f>
        <v>93104</v>
      </c>
      <c r="I33" s="140">
        <f ca="1">IFERROR(__xludf.DUMMYFUNCTION("""COMPUTED_VALUE"""),0)</f>
        <v>0</v>
      </c>
      <c r="J33" s="140">
        <f ca="1">IFERROR(__xludf.DUMMYFUNCTION("""COMPUTED_VALUE"""),0)</f>
        <v>0</v>
      </c>
      <c r="K33" s="140">
        <f ca="1">IFERROR(__xludf.DUMMYFUNCTION("""COMPUTED_VALUE"""),0)</f>
        <v>0</v>
      </c>
      <c r="L33" s="140">
        <f ca="1">IFERROR(__xludf.DUMMYFUNCTION("""COMPUTED_VALUE"""),0)</f>
        <v>0</v>
      </c>
      <c r="M33" s="143">
        <f ca="1">IFERROR(__xludf.DUMMYFUNCTION("""COMPUTED_VALUE"""),0)</f>
        <v>0</v>
      </c>
      <c r="N33" s="140">
        <f ca="1">IFERROR(__xludf.DUMMYFUNCTION("""COMPUTED_VALUE"""),0)</f>
        <v>0</v>
      </c>
      <c r="O33" s="140">
        <f ca="1">IFERROR(__xludf.DUMMYFUNCTION("""COMPUTED_VALUE"""),0)</f>
        <v>0</v>
      </c>
      <c r="P33" s="140">
        <f ca="1">IFERROR(__xludf.DUMMYFUNCTION("""COMPUTED_VALUE"""),0)</f>
        <v>0</v>
      </c>
      <c r="Q33" s="140">
        <f ca="1">IFERROR(__xludf.DUMMYFUNCTION("""COMPUTED_VALUE"""),0)</f>
        <v>0</v>
      </c>
      <c r="R33" s="140">
        <f ca="1">IFERROR(__xludf.DUMMYFUNCTION("""COMPUTED_VALUE"""),0)</f>
        <v>0</v>
      </c>
      <c r="S33" s="140">
        <f ca="1">IFERROR(__xludf.DUMMYFUNCTION("""COMPUTED_VALUE"""),0)</f>
        <v>0</v>
      </c>
      <c r="T33" s="140">
        <f ca="1">IFERROR(__xludf.DUMMYFUNCTION("""COMPUTED_VALUE"""),0)</f>
        <v>0</v>
      </c>
      <c r="U33" s="140">
        <f ca="1">IFERROR(__xludf.DUMMYFUNCTION("""COMPUTED_VALUE"""),0)</f>
        <v>0</v>
      </c>
      <c r="V33" s="69"/>
    </row>
    <row r="34" spans="1:22" ht="12.5" x14ac:dyDescent="0.25">
      <c r="A34" s="81" t="str">
        <f ca="1">IFERROR(__xludf.DUMMYFUNCTION("""COMPUTED_VALUE"""),"USA")</f>
        <v>USA</v>
      </c>
      <c r="B34" s="81" t="str">
        <f ca="1">IFERROR(__xludf.DUMMYFUNCTION("""COMPUTED_VALUE"""),"NH501C")</f>
        <v>NH501C</v>
      </c>
      <c r="C34" s="139" t="str">
        <f ca="1">IFERROR(__xludf.DUMMYFUNCTION("""COMPUTED_VALUE"""),"Digital Product")</f>
        <v>Digital Product</v>
      </c>
      <c r="D34" s="139" t="str">
        <f ca="1">IFERROR(__xludf.DUMMYFUNCTION("""COMPUTED_VALUE"""),"Engineering")</f>
        <v>Engineering</v>
      </c>
      <c r="E34" s="81" t="str">
        <f ca="1">IFERROR(__xludf.DUMMYFUNCTION("""COMPUTED_VALUE"""),"Direct Cost")</f>
        <v>Direct Cost</v>
      </c>
      <c r="F34" s="81" t="str">
        <f ca="1">IFERROR(__xludf.DUMMYFUNCTION("""COMPUTED_VALUE"""),"Travel &amp; Lodging Expenses")</f>
        <v>Travel &amp; Lodging Expenses</v>
      </c>
      <c r="G34" s="81" t="str">
        <f ca="1">IFERROR(__xludf.DUMMYFUNCTION("""COMPUTED_VALUE"""),"Bus/Train")</f>
        <v>Bus/Train</v>
      </c>
      <c r="H34" s="35">
        <f ca="1">IFERROR(__xludf.DUMMYFUNCTION("""COMPUTED_VALUE"""),93105)</f>
        <v>93105</v>
      </c>
      <c r="I34" s="140">
        <f ca="1">IFERROR(__xludf.DUMMYFUNCTION("""COMPUTED_VALUE"""),0)</f>
        <v>0</v>
      </c>
      <c r="J34" s="140">
        <f ca="1">IFERROR(__xludf.DUMMYFUNCTION("""COMPUTED_VALUE"""),0)</f>
        <v>0</v>
      </c>
      <c r="K34" s="140">
        <f ca="1">IFERROR(__xludf.DUMMYFUNCTION("""COMPUTED_VALUE"""),0)</f>
        <v>0</v>
      </c>
      <c r="L34" s="140">
        <f ca="1">IFERROR(__xludf.DUMMYFUNCTION("""COMPUTED_VALUE"""),0)</f>
        <v>0</v>
      </c>
      <c r="M34" s="143">
        <f ca="1">IFERROR(__xludf.DUMMYFUNCTION("""COMPUTED_VALUE"""),0)</f>
        <v>0</v>
      </c>
      <c r="N34" s="140">
        <f ca="1">IFERROR(__xludf.DUMMYFUNCTION("""COMPUTED_VALUE"""),0)</f>
        <v>0</v>
      </c>
      <c r="O34" s="140">
        <f ca="1">IFERROR(__xludf.DUMMYFUNCTION("""COMPUTED_VALUE"""),0)</f>
        <v>0</v>
      </c>
      <c r="P34" s="140">
        <f ca="1">IFERROR(__xludf.DUMMYFUNCTION("""COMPUTED_VALUE"""),0)</f>
        <v>0</v>
      </c>
      <c r="Q34" s="140">
        <f ca="1">IFERROR(__xludf.DUMMYFUNCTION("""COMPUTED_VALUE"""),0)</f>
        <v>0</v>
      </c>
      <c r="R34" s="140">
        <f ca="1">IFERROR(__xludf.DUMMYFUNCTION("""COMPUTED_VALUE"""),0)</f>
        <v>0</v>
      </c>
      <c r="S34" s="140">
        <f ca="1">IFERROR(__xludf.DUMMYFUNCTION("""COMPUTED_VALUE"""),0)</f>
        <v>0</v>
      </c>
      <c r="T34" s="140">
        <f ca="1">IFERROR(__xludf.DUMMYFUNCTION("""COMPUTED_VALUE"""),0)</f>
        <v>0</v>
      </c>
      <c r="U34" s="140">
        <f ca="1">IFERROR(__xludf.DUMMYFUNCTION("""COMPUTED_VALUE"""),0)</f>
        <v>0</v>
      </c>
      <c r="V34" s="69"/>
    </row>
    <row r="35" spans="1:22" ht="12.5" x14ac:dyDescent="0.25">
      <c r="A35" s="81" t="str">
        <f ca="1">IFERROR(__xludf.DUMMYFUNCTION("""COMPUTED_VALUE"""),"USA")</f>
        <v>USA</v>
      </c>
      <c r="B35" s="81" t="str">
        <f ca="1">IFERROR(__xludf.DUMMYFUNCTION("""COMPUTED_VALUE"""),"NH501C")</f>
        <v>NH501C</v>
      </c>
      <c r="C35" s="139" t="str">
        <f ca="1">IFERROR(__xludf.DUMMYFUNCTION("""COMPUTED_VALUE"""),"Digital Product")</f>
        <v>Digital Product</v>
      </c>
      <c r="D35" s="139" t="str">
        <f ca="1">IFERROR(__xludf.DUMMYFUNCTION("""COMPUTED_VALUE"""),"Engineering")</f>
        <v>Engineering</v>
      </c>
      <c r="E35" s="81" t="str">
        <f ca="1">IFERROR(__xludf.DUMMYFUNCTION("""COMPUTED_VALUE"""),"Direct Cost")</f>
        <v>Direct Cost</v>
      </c>
      <c r="F35" s="81" t="str">
        <f ca="1">IFERROR(__xludf.DUMMYFUNCTION("""COMPUTED_VALUE"""),"Travel &amp; Lodging Expenses")</f>
        <v>Travel &amp; Lodging Expenses</v>
      </c>
      <c r="G35" s="81" t="str">
        <f ca="1">IFERROR(__xludf.DUMMYFUNCTION("""COMPUTED_VALUE"""),"Other incidental travel costs")</f>
        <v>Other incidental travel costs</v>
      </c>
      <c r="H35" s="35">
        <f ca="1">IFERROR(__xludf.DUMMYFUNCTION("""COMPUTED_VALUE"""),93106)</f>
        <v>93106</v>
      </c>
      <c r="I35" s="140">
        <f ca="1">IFERROR(__xludf.DUMMYFUNCTION("""COMPUTED_VALUE"""),0)</f>
        <v>0</v>
      </c>
      <c r="J35" s="140">
        <f ca="1">IFERROR(__xludf.DUMMYFUNCTION("""COMPUTED_VALUE"""),0)</f>
        <v>0</v>
      </c>
      <c r="K35" s="140">
        <f ca="1">IFERROR(__xludf.DUMMYFUNCTION("""COMPUTED_VALUE"""),0)</f>
        <v>0</v>
      </c>
      <c r="L35" s="140">
        <f ca="1">IFERROR(__xludf.DUMMYFUNCTION("""COMPUTED_VALUE"""),0)</f>
        <v>0</v>
      </c>
      <c r="M35" s="143">
        <f ca="1">IFERROR(__xludf.DUMMYFUNCTION("""COMPUTED_VALUE"""),0)</f>
        <v>0</v>
      </c>
      <c r="N35" s="140">
        <f ca="1">IFERROR(__xludf.DUMMYFUNCTION("""COMPUTED_VALUE"""),0)</f>
        <v>0</v>
      </c>
      <c r="O35" s="140">
        <f ca="1">IFERROR(__xludf.DUMMYFUNCTION("""COMPUTED_VALUE"""),0)</f>
        <v>0</v>
      </c>
      <c r="P35" s="140">
        <f ca="1">IFERROR(__xludf.DUMMYFUNCTION("""COMPUTED_VALUE"""),0)</f>
        <v>0</v>
      </c>
      <c r="Q35" s="140">
        <f ca="1">IFERROR(__xludf.DUMMYFUNCTION("""COMPUTED_VALUE"""),0)</f>
        <v>0</v>
      </c>
      <c r="R35" s="140">
        <f ca="1">IFERROR(__xludf.DUMMYFUNCTION("""COMPUTED_VALUE"""),0)</f>
        <v>0</v>
      </c>
      <c r="S35" s="140">
        <f ca="1">IFERROR(__xludf.DUMMYFUNCTION("""COMPUTED_VALUE"""),0)</f>
        <v>0</v>
      </c>
      <c r="T35" s="140">
        <f ca="1">IFERROR(__xludf.DUMMYFUNCTION("""COMPUTED_VALUE"""),0)</f>
        <v>0</v>
      </c>
      <c r="U35" s="140">
        <f ca="1">IFERROR(__xludf.DUMMYFUNCTION("""COMPUTED_VALUE"""),0)</f>
        <v>0</v>
      </c>
      <c r="V35" s="69"/>
    </row>
    <row r="36" spans="1:22" ht="12.5" x14ac:dyDescent="0.25">
      <c r="A36" s="81" t="str">
        <f ca="1">IFERROR(__xludf.DUMMYFUNCTION("""COMPUTED_VALUE"""),"USA")</f>
        <v>USA</v>
      </c>
      <c r="B36" s="81" t="str">
        <f ca="1">IFERROR(__xludf.DUMMYFUNCTION("""COMPUTED_VALUE"""),"NH501C")</f>
        <v>NH501C</v>
      </c>
      <c r="C36" s="139" t="str">
        <f ca="1">IFERROR(__xludf.DUMMYFUNCTION("""COMPUTED_VALUE"""),"Digital Product")</f>
        <v>Digital Product</v>
      </c>
      <c r="D36" s="139" t="str">
        <f ca="1">IFERROR(__xludf.DUMMYFUNCTION("""COMPUTED_VALUE"""),"Engineering")</f>
        <v>Engineering</v>
      </c>
      <c r="E36" s="81" t="str">
        <f ca="1">IFERROR(__xludf.DUMMYFUNCTION("""COMPUTED_VALUE"""),"Direct Cost")</f>
        <v>Direct Cost</v>
      </c>
      <c r="F36" s="81" t="str">
        <f ca="1">IFERROR(__xludf.DUMMYFUNCTION("""COMPUTED_VALUE"""),"Other Direct Expenses")</f>
        <v>Other Direct Expenses</v>
      </c>
      <c r="G36" s="81" t="str">
        <f ca="1">IFERROR(__xludf.DUMMYFUNCTION("""COMPUTED_VALUE"""),"Other Direct Expenses")</f>
        <v>Other Direct Expenses</v>
      </c>
      <c r="H36" s="35">
        <f ca="1">IFERROR(__xludf.DUMMYFUNCTION("""COMPUTED_VALUE"""),93201)</f>
        <v>93201</v>
      </c>
      <c r="I36" s="140">
        <f ca="1">IFERROR(__xludf.DUMMYFUNCTION("""COMPUTED_VALUE"""),0)</f>
        <v>0</v>
      </c>
      <c r="J36" s="140">
        <f ca="1">IFERROR(__xludf.DUMMYFUNCTION("""COMPUTED_VALUE"""),0)</f>
        <v>0</v>
      </c>
      <c r="K36" s="140">
        <f ca="1">IFERROR(__xludf.DUMMYFUNCTION("""COMPUTED_VALUE"""),0)</f>
        <v>0</v>
      </c>
      <c r="L36" s="140">
        <f ca="1">IFERROR(__xludf.DUMMYFUNCTION("""COMPUTED_VALUE"""),0)</f>
        <v>0</v>
      </c>
      <c r="M36" s="143">
        <f ca="1">IFERROR(__xludf.DUMMYFUNCTION("""COMPUTED_VALUE"""),0)</f>
        <v>0</v>
      </c>
      <c r="N36" s="140">
        <f ca="1">IFERROR(__xludf.DUMMYFUNCTION("""COMPUTED_VALUE"""),0)</f>
        <v>0</v>
      </c>
      <c r="O36" s="140">
        <f ca="1">IFERROR(__xludf.DUMMYFUNCTION("""COMPUTED_VALUE"""),0)</f>
        <v>0</v>
      </c>
      <c r="P36" s="140">
        <f ca="1">IFERROR(__xludf.DUMMYFUNCTION("""COMPUTED_VALUE"""),0)</f>
        <v>0</v>
      </c>
      <c r="Q36" s="140">
        <f ca="1">IFERROR(__xludf.DUMMYFUNCTION("""COMPUTED_VALUE"""),0)</f>
        <v>0</v>
      </c>
      <c r="R36" s="140">
        <f ca="1">IFERROR(__xludf.DUMMYFUNCTION("""COMPUTED_VALUE"""),0)</f>
        <v>0</v>
      </c>
      <c r="S36" s="140">
        <f ca="1">IFERROR(__xludf.DUMMYFUNCTION("""COMPUTED_VALUE"""),0)</f>
        <v>0</v>
      </c>
      <c r="T36" s="140">
        <f ca="1">IFERROR(__xludf.DUMMYFUNCTION("""COMPUTED_VALUE"""),0)</f>
        <v>0</v>
      </c>
      <c r="U36" s="140">
        <f ca="1">IFERROR(__xludf.DUMMYFUNCTION("""COMPUTED_VALUE"""),0)</f>
        <v>0</v>
      </c>
      <c r="V36" s="69"/>
    </row>
    <row r="37" spans="1:22" ht="12.5" x14ac:dyDescent="0.25">
      <c r="A37" s="81" t="str">
        <f ca="1">IFERROR(__xludf.DUMMYFUNCTION("""COMPUTED_VALUE"""),"USA")</f>
        <v>USA</v>
      </c>
      <c r="B37" s="81" t="str">
        <f ca="1">IFERROR(__xludf.DUMMYFUNCTION("""COMPUTED_VALUE"""),"NH501C")</f>
        <v>NH501C</v>
      </c>
      <c r="C37" s="139" t="str">
        <f ca="1">IFERROR(__xludf.DUMMYFUNCTION("""COMPUTED_VALUE"""),"Digital Product")</f>
        <v>Digital Product</v>
      </c>
      <c r="D37" s="139" t="str">
        <f ca="1">IFERROR(__xludf.DUMMYFUNCTION("""COMPUTED_VALUE"""),"Engineering")</f>
        <v>Engineering</v>
      </c>
      <c r="E37" s="81" t="str">
        <f ca="1">IFERROR(__xludf.DUMMYFUNCTION("""COMPUTED_VALUE"""),"Direct Cost")</f>
        <v>Direct Cost</v>
      </c>
      <c r="F37" s="81" t="str">
        <f ca="1">IFERROR(__xludf.DUMMYFUNCTION("""COMPUTED_VALUE"""),"Supplies &amp; Printing Costs")</f>
        <v>Supplies &amp; Printing Costs</v>
      </c>
      <c r="G37" s="81" t="str">
        <f ca="1">IFERROR(__xludf.DUMMYFUNCTION("""COMPUTED_VALUE"""),"Printing expenses")</f>
        <v>Printing expenses</v>
      </c>
      <c r="H37" s="35">
        <f ca="1">IFERROR(__xludf.DUMMYFUNCTION("""COMPUTED_VALUE"""),93204)</f>
        <v>93204</v>
      </c>
      <c r="I37" s="140">
        <f ca="1">IFERROR(__xludf.DUMMYFUNCTION("""COMPUTED_VALUE"""),0)</f>
        <v>0</v>
      </c>
      <c r="J37" s="140">
        <f ca="1">IFERROR(__xludf.DUMMYFUNCTION("""COMPUTED_VALUE"""),0)</f>
        <v>0</v>
      </c>
      <c r="K37" s="140">
        <f ca="1">IFERROR(__xludf.DUMMYFUNCTION("""COMPUTED_VALUE"""),0)</f>
        <v>0</v>
      </c>
      <c r="L37" s="140">
        <f ca="1">IFERROR(__xludf.DUMMYFUNCTION("""COMPUTED_VALUE"""),0)</f>
        <v>0</v>
      </c>
      <c r="M37" s="143">
        <f ca="1">IFERROR(__xludf.DUMMYFUNCTION("""COMPUTED_VALUE"""),0)</f>
        <v>0</v>
      </c>
      <c r="N37" s="140">
        <f ca="1">IFERROR(__xludf.DUMMYFUNCTION("""COMPUTED_VALUE"""),0)</f>
        <v>0</v>
      </c>
      <c r="O37" s="140">
        <f ca="1">IFERROR(__xludf.DUMMYFUNCTION("""COMPUTED_VALUE"""),0)</f>
        <v>0</v>
      </c>
      <c r="P37" s="140">
        <f ca="1">IFERROR(__xludf.DUMMYFUNCTION("""COMPUTED_VALUE"""),0)</f>
        <v>0</v>
      </c>
      <c r="Q37" s="140">
        <f ca="1">IFERROR(__xludf.DUMMYFUNCTION("""COMPUTED_VALUE"""),0)</f>
        <v>0</v>
      </c>
      <c r="R37" s="140">
        <f ca="1">IFERROR(__xludf.DUMMYFUNCTION("""COMPUTED_VALUE"""),0)</f>
        <v>0</v>
      </c>
      <c r="S37" s="140">
        <f ca="1">IFERROR(__xludf.DUMMYFUNCTION("""COMPUTED_VALUE"""),0)</f>
        <v>0</v>
      </c>
      <c r="T37" s="140">
        <f ca="1">IFERROR(__xludf.DUMMYFUNCTION("""COMPUTED_VALUE"""),0)</f>
        <v>0</v>
      </c>
      <c r="U37" s="140">
        <f ca="1">IFERROR(__xludf.DUMMYFUNCTION("""COMPUTED_VALUE"""),0)</f>
        <v>0</v>
      </c>
      <c r="V37" s="69"/>
    </row>
    <row r="38" spans="1:22" ht="12.5" x14ac:dyDescent="0.25">
      <c r="A38" s="81" t="str">
        <f ca="1">IFERROR(__xludf.DUMMYFUNCTION("""COMPUTED_VALUE"""),"USA")</f>
        <v>USA</v>
      </c>
      <c r="B38" s="81" t="str">
        <f ca="1">IFERROR(__xludf.DUMMYFUNCTION("""COMPUTED_VALUE"""),"NH501C")</f>
        <v>NH501C</v>
      </c>
      <c r="C38" s="139" t="str">
        <f ca="1">IFERROR(__xludf.DUMMYFUNCTION("""COMPUTED_VALUE"""),"Digital Product")</f>
        <v>Digital Product</v>
      </c>
      <c r="D38" s="139" t="str">
        <f ca="1">IFERROR(__xludf.DUMMYFUNCTION("""COMPUTED_VALUE"""),"Engineering")</f>
        <v>Engineering</v>
      </c>
      <c r="E38" s="81" t="str">
        <f ca="1">IFERROR(__xludf.DUMMYFUNCTION("""COMPUTED_VALUE"""),"Direct Cost")</f>
        <v>Direct Cost</v>
      </c>
      <c r="F38" s="81" t="str">
        <f ca="1">IFERROR(__xludf.DUMMYFUNCTION("""COMPUTED_VALUE"""),"Communication Cost")</f>
        <v>Communication Cost</v>
      </c>
      <c r="G38" s="81" t="str">
        <f ca="1">IFERROR(__xludf.DUMMYFUNCTION("""COMPUTED_VALUE"""),"Internet Expenses")</f>
        <v>Internet Expenses</v>
      </c>
      <c r="H38" s="35">
        <f ca="1">IFERROR(__xludf.DUMMYFUNCTION("""COMPUTED_VALUE"""),93301)</f>
        <v>93301</v>
      </c>
      <c r="I38" s="140">
        <f ca="1">IFERROR(__xludf.DUMMYFUNCTION("""COMPUTED_VALUE"""),0)</f>
        <v>0</v>
      </c>
      <c r="J38" s="140">
        <f ca="1">IFERROR(__xludf.DUMMYFUNCTION("""COMPUTED_VALUE"""),0)</f>
        <v>0</v>
      </c>
      <c r="K38" s="140">
        <f ca="1">IFERROR(__xludf.DUMMYFUNCTION("""COMPUTED_VALUE"""),0)</f>
        <v>0</v>
      </c>
      <c r="L38" s="140">
        <f ca="1">IFERROR(__xludf.DUMMYFUNCTION("""COMPUTED_VALUE"""),0)</f>
        <v>0</v>
      </c>
      <c r="M38" s="143">
        <f ca="1">IFERROR(__xludf.DUMMYFUNCTION("""COMPUTED_VALUE"""),0)</f>
        <v>0</v>
      </c>
      <c r="N38" s="140">
        <f ca="1">IFERROR(__xludf.DUMMYFUNCTION("""COMPUTED_VALUE"""),0)</f>
        <v>0</v>
      </c>
      <c r="O38" s="140">
        <f ca="1">IFERROR(__xludf.DUMMYFUNCTION("""COMPUTED_VALUE"""),0)</f>
        <v>0</v>
      </c>
      <c r="P38" s="140">
        <f ca="1">IFERROR(__xludf.DUMMYFUNCTION("""COMPUTED_VALUE"""),0)</f>
        <v>0</v>
      </c>
      <c r="Q38" s="140">
        <f ca="1">IFERROR(__xludf.DUMMYFUNCTION("""COMPUTED_VALUE"""),0)</f>
        <v>0</v>
      </c>
      <c r="R38" s="140">
        <f ca="1">IFERROR(__xludf.DUMMYFUNCTION("""COMPUTED_VALUE"""),0)</f>
        <v>0</v>
      </c>
      <c r="S38" s="140">
        <f ca="1">IFERROR(__xludf.DUMMYFUNCTION("""COMPUTED_VALUE"""),0)</f>
        <v>0</v>
      </c>
      <c r="T38" s="140">
        <f ca="1">IFERROR(__xludf.DUMMYFUNCTION("""COMPUTED_VALUE"""),0)</f>
        <v>0</v>
      </c>
      <c r="U38" s="140">
        <f ca="1">IFERROR(__xludf.DUMMYFUNCTION("""COMPUTED_VALUE"""),0)</f>
        <v>0</v>
      </c>
      <c r="V38" s="69"/>
    </row>
    <row r="39" spans="1:22" ht="12.5" x14ac:dyDescent="0.25">
      <c r="A39" s="81" t="str">
        <f ca="1">IFERROR(__xludf.DUMMYFUNCTION("""COMPUTED_VALUE"""),"USA")</f>
        <v>USA</v>
      </c>
      <c r="B39" s="81" t="str">
        <f ca="1">IFERROR(__xludf.DUMMYFUNCTION("""COMPUTED_VALUE"""),"NH501C")</f>
        <v>NH501C</v>
      </c>
      <c r="C39" s="139" t="str">
        <f ca="1">IFERROR(__xludf.DUMMYFUNCTION("""COMPUTED_VALUE"""),"Digital Product")</f>
        <v>Digital Product</v>
      </c>
      <c r="D39" s="139" t="str">
        <f ca="1">IFERROR(__xludf.DUMMYFUNCTION("""COMPUTED_VALUE"""),"Engineering")</f>
        <v>Engineering</v>
      </c>
      <c r="E39" s="81" t="str">
        <f ca="1">IFERROR(__xludf.DUMMYFUNCTION("""COMPUTED_VALUE"""),"Direct Cost")</f>
        <v>Direct Cost</v>
      </c>
      <c r="F39" s="81" t="str">
        <f ca="1">IFERROR(__xludf.DUMMYFUNCTION("""COMPUTED_VALUE"""),"Communication Cost")</f>
        <v>Communication Cost</v>
      </c>
      <c r="G39" s="81" t="str">
        <f ca="1">IFERROR(__xludf.DUMMYFUNCTION("""COMPUTED_VALUE"""),"Postage &amp; Courier Expenses")</f>
        <v>Postage &amp; Courier Expenses</v>
      </c>
      <c r="H39" s="35">
        <f ca="1">IFERROR(__xludf.DUMMYFUNCTION("""COMPUTED_VALUE"""),93302)</f>
        <v>93302</v>
      </c>
      <c r="I39" s="140">
        <f ca="1">IFERROR(__xludf.DUMMYFUNCTION("""COMPUTED_VALUE"""),0)</f>
        <v>0</v>
      </c>
      <c r="J39" s="140">
        <f ca="1">IFERROR(__xludf.DUMMYFUNCTION("""COMPUTED_VALUE"""),0)</f>
        <v>0</v>
      </c>
      <c r="K39" s="140">
        <f ca="1">IFERROR(__xludf.DUMMYFUNCTION("""COMPUTED_VALUE"""),0)</f>
        <v>0</v>
      </c>
      <c r="L39" s="140">
        <f ca="1">IFERROR(__xludf.DUMMYFUNCTION("""COMPUTED_VALUE"""),0)</f>
        <v>0</v>
      </c>
      <c r="M39" s="143">
        <f ca="1">IFERROR(__xludf.DUMMYFUNCTION("""COMPUTED_VALUE"""),0)</f>
        <v>0</v>
      </c>
      <c r="N39" s="140">
        <f ca="1">IFERROR(__xludf.DUMMYFUNCTION("""COMPUTED_VALUE"""),0)</f>
        <v>0</v>
      </c>
      <c r="O39" s="140">
        <f ca="1">IFERROR(__xludf.DUMMYFUNCTION("""COMPUTED_VALUE"""),0)</f>
        <v>0</v>
      </c>
      <c r="P39" s="140">
        <f ca="1">IFERROR(__xludf.DUMMYFUNCTION("""COMPUTED_VALUE"""),0)</f>
        <v>0</v>
      </c>
      <c r="Q39" s="140">
        <f ca="1">IFERROR(__xludf.DUMMYFUNCTION("""COMPUTED_VALUE"""),0)</f>
        <v>0</v>
      </c>
      <c r="R39" s="140">
        <f ca="1">IFERROR(__xludf.DUMMYFUNCTION("""COMPUTED_VALUE"""),0)</f>
        <v>0</v>
      </c>
      <c r="S39" s="140">
        <f ca="1">IFERROR(__xludf.DUMMYFUNCTION("""COMPUTED_VALUE"""),0)</f>
        <v>0</v>
      </c>
      <c r="T39" s="140">
        <f ca="1">IFERROR(__xludf.DUMMYFUNCTION("""COMPUTED_VALUE"""),0)</f>
        <v>0</v>
      </c>
      <c r="U39" s="140">
        <f ca="1">IFERROR(__xludf.DUMMYFUNCTION("""COMPUTED_VALUE"""),0)</f>
        <v>0</v>
      </c>
      <c r="V39" s="69"/>
    </row>
    <row r="40" spans="1:22" ht="12.5" x14ac:dyDescent="0.25">
      <c r="A40" s="81" t="str">
        <f ca="1">IFERROR(__xludf.DUMMYFUNCTION("""COMPUTED_VALUE"""),"USA")</f>
        <v>USA</v>
      </c>
      <c r="B40" s="81" t="str">
        <f ca="1">IFERROR(__xludf.DUMMYFUNCTION("""COMPUTED_VALUE"""),"NH501C")</f>
        <v>NH501C</v>
      </c>
      <c r="C40" s="139" t="str">
        <f ca="1">IFERROR(__xludf.DUMMYFUNCTION("""COMPUTED_VALUE"""),"Digital Product")</f>
        <v>Digital Product</v>
      </c>
      <c r="D40" s="139" t="str">
        <f ca="1">IFERROR(__xludf.DUMMYFUNCTION("""COMPUTED_VALUE"""),"Engineering")</f>
        <v>Engineering</v>
      </c>
      <c r="E40" s="81" t="str">
        <f ca="1">IFERROR(__xludf.DUMMYFUNCTION("""COMPUTED_VALUE"""),"Direct Cost")</f>
        <v>Direct Cost</v>
      </c>
      <c r="F40" s="81" t="str">
        <f ca="1">IFERROR(__xludf.DUMMYFUNCTION("""COMPUTED_VALUE"""),"Communication Cost")</f>
        <v>Communication Cost</v>
      </c>
      <c r="G40" s="81" t="str">
        <f ca="1">IFERROR(__xludf.DUMMYFUNCTION("""COMPUTED_VALUE"""),"Telecommunication expenses")</f>
        <v>Telecommunication expenses</v>
      </c>
      <c r="H40" s="35">
        <f ca="1">IFERROR(__xludf.DUMMYFUNCTION("""COMPUTED_VALUE"""),93303)</f>
        <v>93303</v>
      </c>
      <c r="I40" s="140">
        <f ca="1">IFERROR(__xludf.DUMMYFUNCTION("""COMPUTED_VALUE"""),0)</f>
        <v>0</v>
      </c>
      <c r="J40" s="140">
        <f ca="1">IFERROR(__xludf.DUMMYFUNCTION("""COMPUTED_VALUE"""),0)</f>
        <v>0</v>
      </c>
      <c r="K40" s="140">
        <f ca="1">IFERROR(__xludf.DUMMYFUNCTION("""COMPUTED_VALUE"""),0)</f>
        <v>0</v>
      </c>
      <c r="L40" s="140">
        <f ca="1">IFERROR(__xludf.DUMMYFUNCTION("""COMPUTED_VALUE"""),0)</f>
        <v>0</v>
      </c>
      <c r="M40" s="143">
        <f ca="1">IFERROR(__xludf.DUMMYFUNCTION("""COMPUTED_VALUE"""),0)</f>
        <v>0</v>
      </c>
      <c r="N40" s="140">
        <f ca="1">IFERROR(__xludf.DUMMYFUNCTION("""COMPUTED_VALUE"""),0)</f>
        <v>0</v>
      </c>
      <c r="O40" s="140">
        <f ca="1">IFERROR(__xludf.DUMMYFUNCTION("""COMPUTED_VALUE"""),0)</f>
        <v>0</v>
      </c>
      <c r="P40" s="140">
        <f ca="1">IFERROR(__xludf.DUMMYFUNCTION("""COMPUTED_VALUE"""),0)</f>
        <v>0</v>
      </c>
      <c r="Q40" s="140">
        <f ca="1">IFERROR(__xludf.DUMMYFUNCTION("""COMPUTED_VALUE"""),0)</f>
        <v>0</v>
      </c>
      <c r="R40" s="140">
        <f ca="1">IFERROR(__xludf.DUMMYFUNCTION("""COMPUTED_VALUE"""),0)</f>
        <v>0</v>
      </c>
      <c r="S40" s="140">
        <f ca="1">IFERROR(__xludf.DUMMYFUNCTION("""COMPUTED_VALUE"""),0)</f>
        <v>0</v>
      </c>
      <c r="T40" s="140">
        <f ca="1">IFERROR(__xludf.DUMMYFUNCTION("""COMPUTED_VALUE"""),0)</f>
        <v>0</v>
      </c>
      <c r="U40" s="140">
        <f ca="1">IFERROR(__xludf.DUMMYFUNCTION("""COMPUTED_VALUE"""),0)</f>
        <v>0</v>
      </c>
      <c r="V40" s="69"/>
    </row>
    <row r="41" spans="1:22" ht="12.5" x14ac:dyDescent="0.25">
      <c r="A41" s="81" t="str">
        <f ca="1">IFERROR(__xludf.DUMMYFUNCTION("""COMPUTED_VALUE"""),"USA")</f>
        <v>USA</v>
      </c>
      <c r="B41" s="81" t="str">
        <f ca="1">IFERROR(__xludf.DUMMYFUNCTION("""COMPUTED_VALUE"""),"NH501C")</f>
        <v>NH501C</v>
      </c>
      <c r="C41" s="139" t="str">
        <f ca="1">IFERROR(__xludf.DUMMYFUNCTION("""COMPUTED_VALUE"""),"Digital Product")</f>
        <v>Digital Product</v>
      </c>
      <c r="D41" s="139" t="str">
        <f ca="1">IFERROR(__xludf.DUMMYFUNCTION("""COMPUTED_VALUE"""),"Engineering")</f>
        <v>Engineering</v>
      </c>
      <c r="E41" s="81" t="str">
        <f ca="1">IFERROR(__xludf.DUMMYFUNCTION("""COMPUTED_VALUE"""),"Direct Cost")</f>
        <v>Direct Cost</v>
      </c>
      <c r="F41" s="81" t="str">
        <f ca="1">IFERROR(__xludf.DUMMYFUNCTION("""COMPUTED_VALUE"""),"Office Expenses")</f>
        <v>Office Expenses</v>
      </c>
      <c r="G41" s="81" t="str">
        <f ca="1">IFERROR(__xludf.DUMMYFUNCTION("""COMPUTED_VALUE"""),"Software and Subscriptions")</f>
        <v>Software and Subscriptions</v>
      </c>
      <c r="H41" s="35">
        <f ca="1">IFERROR(__xludf.DUMMYFUNCTION("""COMPUTED_VALUE"""),93401)</f>
        <v>93401</v>
      </c>
      <c r="I41" s="140">
        <f ca="1">IFERROR(__xludf.DUMMYFUNCTION("""COMPUTED_VALUE"""),274183.999999999)</f>
        <v>274183.99999999901</v>
      </c>
      <c r="J41" s="140">
        <f ca="1">IFERROR(__xludf.DUMMYFUNCTION("""COMPUTED_VALUE"""),28292.6666666666)</f>
        <v>28292.666666666599</v>
      </c>
      <c r="K41" s="140">
        <f ca="1">IFERROR(__xludf.DUMMYFUNCTION("""COMPUTED_VALUE"""),21780.6666666666)</f>
        <v>21780.666666666599</v>
      </c>
      <c r="L41" s="140">
        <f ca="1">IFERROR(__xludf.DUMMYFUNCTION("""COMPUTED_VALUE"""),22620.6666666666)</f>
        <v>22620.666666666599</v>
      </c>
      <c r="M41" s="143">
        <f ca="1">IFERROR(__xludf.DUMMYFUNCTION("""COMPUTED_VALUE"""),22182.6666666666)</f>
        <v>22182.666666666599</v>
      </c>
      <c r="N41" s="140">
        <f ca="1">IFERROR(__xludf.DUMMYFUNCTION("""COMPUTED_VALUE"""),22758.6666666666)</f>
        <v>22758.666666666599</v>
      </c>
      <c r="O41" s="140">
        <f ca="1">IFERROR(__xludf.DUMMYFUNCTION("""COMPUTED_VALUE"""),21745.6666666666)</f>
        <v>21745.666666666599</v>
      </c>
      <c r="P41" s="140">
        <f ca="1">IFERROR(__xludf.DUMMYFUNCTION("""COMPUTED_VALUE"""),24333.6666666666)</f>
        <v>24333.666666666599</v>
      </c>
      <c r="Q41" s="140">
        <f ca="1">IFERROR(__xludf.DUMMYFUNCTION("""COMPUTED_VALUE"""),21855.6666666666)</f>
        <v>21855.666666666599</v>
      </c>
      <c r="R41" s="140">
        <f ca="1">IFERROR(__xludf.DUMMYFUNCTION("""COMPUTED_VALUE"""),22471.6666666666)</f>
        <v>22471.666666666599</v>
      </c>
      <c r="S41" s="140">
        <f ca="1">IFERROR(__xludf.DUMMYFUNCTION("""COMPUTED_VALUE"""),21874.6666666666)</f>
        <v>21874.666666666599</v>
      </c>
      <c r="T41" s="140">
        <f ca="1">IFERROR(__xludf.DUMMYFUNCTION("""COMPUTED_VALUE"""),22496.6666666666)</f>
        <v>22496.666666666599</v>
      </c>
      <c r="U41" s="140">
        <f ca="1">IFERROR(__xludf.DUMMYFUNCTION("""COMPUTED_VALUE"""),21770.6666666666)</f>
        <v>21770.666666666599</v>
      </c>
      <c r="V41" s="69"/>
    </row>
    <row r="42" spans="1:22" ht="12.5" x14ac:dyDescent="0.25">
      <c r="A42" s="81" t="str">
        <f ca="1">IFERROR(__xludf.DUMMYFUNCTION("""COMPUTED_VALUE"""),"USA")</f>
        <v>USA</v>
      </c>
      <c r="B42" s="81" t="str">
        <f ca="1">IFERROR(__xludf.DUMMYFUNCTION("""COMPUTED_VALUE"""),"NH501C")</f>
        <v>NH501C</v>
      </c>
      <c r="C42" s="139" t="str">
        <f ca="1">IFERROR(__xludf.DUMMYFUNCTION("""COMPUTED_VALUE"""),"Digital Product")</f>
        <v>Digital Product</v>
      </c>
      <c r="D42" s="139" t="str">
        <f ca="1">IFERROR(__xludf.DUMMYFUNCTION("""COMPUTED_VALUE"""),"Engineering")</f>
        <v>Engineering</v>
      </c>
      <c r="E42" s="81" t="str">
        <f ca="1">IFERROR(__xludf.DUMMYFUNCTION("""COMPUTED_VALUE"""),"Direct Cost")</f>
        <v>Direct Cost</v>
      </c>
      <c r="F42" s="81" t="str">
        <f ca="1">IFERROR(__xludf.DUMMYFUNCTION("""COMPUTED_VALUE"""),"Office Expenses")</f>
        <v>Office Expenses</v>
      </c>
      <c r="G42" s="81" t="str">
        <f ca="1">IFERROR(__xludf.DUMMYFUNCTION("""COMPUTED_VALUE"""),"Stationery &amp; Consumables")</f>
        <v>Stationery &amp; Consumables</v>
      </c>
      <c r="H42" s="35">
        <f ca="1">IFERROR(__xludf.DUMMYFUNCTION("""COMPUTED_VALUE"""),93404)</f>
        <v>93404</v>
      </c>
      <c r="I42" s="140">
        <f ca="1">IFERROR(__xludf.DUMMYFUNCTION("""COMPUTED_VALUE"""),0)</f>
        <v>0</v>
      </c>
      <c r="J42" s="140">
        <f ca="1">IFERROR(__xludf.DUMMYFUNCTION("""COMPUTED_VALUE"""),0)</f>
        <v>0</v>
      </c>
      <c r="K42" s="140">
        <f ca="1">IFERROR(__xludf.DUMMYFUNCTION("""COMPUTED_VALUE"""),0)</f>
        <v>0</v>
      </c>
      <c r="L42" s="140">
        <f ca="1">IFERROR(__xludf.DUMMYFUNCTION("""COMPUTED_VALUE"""),0)</f>
        <v>0</v>
      </c>
      <c r="M42" s="143">
        <f ca="1">IFERROR(__xludf.DUMMYFUNCTION("""COMPUTED_VALUE"""),0)</f>
        <v>0</v>
      </c>
      <c r="N42" s="140">
        <f ca="1">IFERROR(__xludf.DUMMYFUNCTION("""COMPUTED_VALUE"""),0)</f>
        <v>0</v>
      </c>
      <c r="O42" s="140">
        <f ca="1">IFERROR(__xludf.DUMMYFUNCTION("""COMPUTED_VALUE"""),0)</f>
        <v>0</v>
      </c>
      <c r="P42" s="140">
        <f ca="1">IFERROR(__xludf.DUMMYFUNCTION("""COMPUTED_VALUE"""),0)</f>
        <v>0</v>
      </c>
      <c r="Q42" s="140">
        <f ca="1">IFERROR(__xludf.DUMMYFUNCTION("""COMPUTED_VALUE"""),0)</f>
        <v>0</v>
      </c>
      <c r="R42" s="140">
        <f ca="1">IFERROR(__xludf.DUMMYFUNCTION("""COMPUTED_VALUE"""),0)</f>
        <v>0</v>
      </c>
      <c r="S42" s="140">
        <f ca="1">IFERROR(__xludf.DUMMYFUNCTION("""COMPUTED_VALUE"""),0)</f>
        <v>0</v>
      </c>
      <c r="T42" s="140">
        <f ca="1">IFERROR(__xludf.DUMMYFUNCTION("""COMPUTED_VALUE"""),0)</f>
        <v>0</v>
      </c>
      <c r="U42" s="140">
        <f ca="1">IFERROR(__xludf.DUMMYFUNCTION("""COMPUTED_VALUE"""),0)</f>
        <v>0</v>
      </c>
      <c r="V42" s="69"/>
    </row>
    <row r="43" spans="1:22" ht="12.5" x14ac:dyDescent="0.25">
      <c r="A43" s="81" t="str">
        <f ca="1">IFERROR(__xludf.DUMMYFUNCTION("""COMPUTED_VALUE"""),"USA")</f>
        <v>USA</v>
      </c>
      <c r="B43" s="81" t="str">
        <f ca="1">IFERROR(__xludf.DUMMYFUNCTION("""COMPUTED_VALUE"""),"NH501C")</f>
        <v>NH501C</v>
      </c>
      <c r="C43" s="139" t="str">
        <f ca="1">IFERROR(__xludf.DUMMYFUNCTION("""COMPUTED_VALUE"""),"Digital Product")</f>
        <v>Digital Product</v>
      </c>
      <c r="D43" s="139" t="str">
        <f ca="1">IFERROR(__xludf.DUMMYFUNCTION("""COMPUTED_VALUE"""),"Engineering")</f>
        <v>Engineering</v>
      </c>
      <c r="E43" s="81" t="str">
        <f ca="1">IFERROR(__xludf.DUMMYFUNCTION("""COMPUTED_VALUE"""),"Direct Cost")</f>
        <v>Direct Cost</v>
      </c>
      <c r="F43" s="81" t="str">
        <f ca="1">IFERROR(__xludf.DUMMYFUNCTION("""COMPUTED_VALUE"""),"Office Expenses")</f>
        <v>Office Expenses</v>
      </c>
      <c r="G43" s="81" t="str">
        <f ca="1">IFERROR(__xludf.DUMMYFUNCTION("""COMPUTED_VALUE"""),"Office Equipment Expense")</f>
        <v>Office Equipment Expense</v>
      </c>
      <c r="H43" s="35">
        <f ca="1">IFERROR(__xludf.DUMMYFUNCTION("""COMPUTED_VALUE"""),93405)</f>
        <v>93405</v>
      </c>
      <c r="I43" s="140">
        <f ca="1">IFERROR(__xludf.DUMMYFUNCTION("""COMPUTED_VALUE"""),0)</f>
        <v>0</v>
      </c>
      <c r="J43" s="140">
        <f ca="1">IFERROR(__xludf.DUMMYFUNCTION("""COMPUTED_VALUE"""),0)</f>
        <v>0</v>
      </c>
      <c r="K43" s="140">
        <f ca="1">IFERROR(__xludf.DUMMYFUNCTION("""COMPUTED_VALUE"""),0)</f>
        <v>0</v>
      </c>
      <c r="L43" s="140">
        <f ca="1">IFERROR(__xludf.DUMMYFUNCTION("""COMPUTED_VALUE"""),0)</f>
        <v>0</v>
      </c>
      <c r="M43" s="143">
        <f ca="1">IFERROR(__xludf.DUMMYFUNCTION("""COMPUTED_VALUE"""),0)</f>
        <v>0</v>
      </c>
      <c r="N43" s="140">
        <f ca="1">IFERROR(__xludf.DUMMYFUNCTION("""COMPUTED_VALUE"""),0)</f>
        <v>0</v>
      </c>
      <c r="O43" s="140">
        <f ca="1">IFERROR(__xludf.DUMMYFUNCTION("""COMPUTED_VALUE"""),0)</f>
        <v>0</v>
      </c>
      <c r="P43" s="140">
        <f ca="1">IFERROR(__xludf.DUMMYFUNCTION("""COMPUTED_VALUE"""),0)</f>
        <v>0</v>
      </c>
      <c r="Q43" s="140">
        <f ca="1">IFERROR(__xludf.DUMMYFUNCTION("""COMPUTED_VALUE"""),0)</f>
        <v>0</v>
      </c>
      <c r="R43" s="140">
        <f ca="1">IFERROR(__xludf.DUMMYFUNCTION("""COMPUTED_VALUE"""),0)</f>
        <v>0</v>
      </c>
      <c r="S43" s="140">
        <f ca="1">IFERROR(__xludf.DUMMYFUNCTION("""COMPUTED_VALUE"""),0)</f>
        <v>0</v>
      </c>
      <c r="T43" s="140">
        <f ca="1">IFERROR(__xludf.DUMMYFUNCTION("""COMPUTED_VALUE"""),0)</f>
        <v>0</v>
      </c>
      <c r="U43" s="140">
        <f ca="1">IFERROR(__xludf.DUMMYFUNCTION("""COMPUTED_VALUE"""),0)</f>
        <v>0</v>
      </c>
      <c r="V43" s="69"/>
    </row>
    <row r="44" spans="1:22" ht="12.5" x14ac:dyDescent="0.25">
      <c r="A44" s="81" t="str">
        <f ca="1">IFERROR(__xludf.DUMMYFUNCTION("""COMPUTED_VALUE"""),"USA")</f>
        <v>USA</v>
      </c>
      <c r="B44" s="81" t="str">
        <f ca="1">IFERROR(__xludf.DUMMYFUNCTION("""COMPUTED_VALUE"""),"NH501C")</f>
        <v>NH501C</v>
      </c>
      <c r="C44" s="139" t="str">
        <f ca="1">IFERROR(__xludf.DUMMYFUNCTION("""COMPUTED_VALUE"""),"Digital Product")</f>
        <v>Digital Product</v>
      </c>
      <c r="D44" s="139" t="str">
        <f ca="1">IFERROR(__xludf.DUMMYFUNCTION("""COMPUTED_VALUE"""),"Engineering")</f>
        <v>Engineering</v>
      </c>
      <c r="E44" s="81" t="str">
        <f ca="1">IFERROR(__xludf.DUMMYFUNCTION("""COMPUTED_VALUE"""),"Indirect Cost")</f>
        <v>Indirect Cost</v>
      </c>
      <c r="F44" s="81" t="str">
        <f ca="1">IFERROR(__xludf.DUMMYFUNCTION("""COMPUTED_VALUE"""),"Professional &amp; Consultancy Charges")</f>
        <v>Professional &amp; Consultancy Charges</v>
      </c>
      <c r="G44" s="81" t="str">
        <f ca="1">IFERROR(__xludf.DUMMYFUNCTION("""COMPUTED_VALUE"""),"Admin Consultants")</f>
        <v>Admin Consultants</v>
      </c>
      <c r="H44" s="35">
        <f ca="1">IFERROR(__xludf.DUMMYFUNCTION("""COMPUTED_VALUE"""),93703)</f>
        <v>93703</v>
      </c>
      <c r="I44" s="140">
        <f ca="1">IFERROR(__xludf.DUMMYFUNCTION("""COMPUTED_VALUE"""),5955)</f>
        <v>5955</v>
      </c>
      <c r="J44" s="140">
        <f ca="1">IFERROR(__xludf.DUMMYFUNCTION("""COMPUTED_VALUE"""),5955)</f>
        <v>5955</v>
      </c>
      <c r="K44" s="140">
        <f ca="1">IFERROR(__xludf.DUMMYFUNCTION("""COMPUTED_VALUE"""),0)</f>
        <v>0</v>
      </c>
      <c r="L44" s="140">
        <f ca="1">IFERROR(__xludf.DUMMYFUNCTION("""COMPUTED_VALUE"""),0)</f>
        <v>0</v>
      </c>
      <c r="M44" s="143">
        <f ca="1">IFERROR(__xludf.DUMMYFUNCTION("""COMPUTED_VALUE"""),0)</f>
        <v>0</v>
      </c>
      <c r="N44" s="140">
        <f ca="1">IFERROR(__xludf.DUMMYFUNCTION("""COMPUTED_VALUE"""),0)</f>
        <v>0</v>
      </c>
      <c r="O44" s="140">
        <f ca="1">IFERROR(__xludf.DUMMYFUNCTION("""COMPUTED_VALUE"""),0)</f>
        <v>0</v>
      </c>
      <c r="P44" s="140">
        <f ca="1">IFERROR(__xludf.DUMMYFUNCTION("""COMPUTED_VALUE"""),0)</f>
        <v>0</v>
      </c>
      <c r="Q44" s="140">
        <f ca="1">IFERROR(__xludf.DUMMYFUNCTION("""COMPUTED_VALUE"""),0)</f>
        <v>0</v>
      </c>
      <c r="R44" s="140">
        <f ca="1">IFERROR(__xludf.DUMMYFUNCTION("""COMPUTED_VALUE"""),0)</f>
        <v>0</v>
      </c>
      <c r="S44" s="140">
        <f ca="1">IFERROR(__xludf.DUMMYFUNCTION("""COMPUTED_VALUE"""),0)</f>
        <v>0</v>
      </c>
      <c r="T44" s="140">
        <f ca="1">IFERROR(__xludf.DUMMYFUNCTION("""COMPUTED_VALUE"""),0)</f>
        <v>0</v>
      </c>
      <c r="U44" s="140">
        <f ca="1">IFERROR(__xludf.DUMMYFUNCTION("""COMPUTED_VALUE"""),0)</f>
        <v>0</v>
      </c>
      <c r="V44" s="69"/>
    </row>
    <row r="45" spans="1:22" ht="12.5" x14ac:dyDescent="0.25">
      <c r="A45" s="81" t="str">
        <f ca="1">IFERROR(__xludf.DUMMYFUNCTION("""COMPUTED_VALUE"""),"USA")</f>
        <v>USA</v>
      </c>
      <c r="B45" s="81" t="str">
        <f ca="1">IFERROR(__xludf.DUMMYFUNCTION("""COMPUTED_VALUE"""),"NH501C")</f>
        <v>NH501C</v>
      </c>
      <c r="C45" s="139" t="str">
        <f ca="1">IFERROR(__xludf.DUMMYFUNCTION("""COMPUTED_VALUE"""),"Digital Product")</f>
        <v>Digital Product</v>
      </c>
      <c r="D45" s="139" t="str">
        <f ca="1">IFERROR(__xludf.DUMMYFUNCTION("""COMPUTED_VALUE"""),"Engineering")</f>
        <v>Engineering</v>
      </c>
      <c r="E45" s="81" t="str">
        <f ca="1">IFERROR(__xludf.DUMMYFUNCTION("""COMPUTED_VALUE"""),"Fixed Assets")</f>
        <v>Fixed Assets</v>
      </c>
      <c r="F45" s="81" t="str">
        <f ca="1">IFERROR(__xludf.DUMMYFUNCTION("""COMPUTED_VALUE"""),"Fixed Assets")</f>
        <v>Fixed Assets</v>
      </c>
      <c r="G45" s="81" t="str">
        <f ca="1">IFERROR(__xludf.DUMMYFUNCTION("""COMPUTED_VALUE"""),"Laptop/ Printer")</f>
        <v>Laptop/ Printer</v>
      </c>
      <c r="H45" s="35">
        <f ca="1">IFERROR(__xludf.DUMMYFUNCTION("""COMPUTED_VALUE"""),11301)</f>
        <v>11301</v>
      </c>
      <c r="I45" s="140">
        <f ca="1">IFERROR(__xludf.DUMMYFUNCTION("""COMPUTED_VALUE"""),0)</f>
        <v>0</v>
      </c>
      <c r="J45" s="140">
        <f ca="1">IFERROR(__xludf.DUMMYFUNCTION("""COMPUTED_VALUE"""),0)</f>
        <v>0</v>
      </c>
      <c r="K45" s="140">
        <f ca="1">IFERROR(__xludf.DUMMYFUNCTION("""COMPUTED_VALUE"""),0)</f>
        <v>0</v>
      </c>
      <c r="L45" s="140">
        <f ca="1">IFERROR(__xludf.DUMMYFUNCTION("""COMPUTED_VALUE"""),0)</f>
        <v>0</v>
      </c>
      <c r="M45" s="143">
        <f ca="1">IFERROR(__xludf.DUMMYFUNCTION("""COMPUTED_VALUE"""),0)</f>
        <v>0</v>
      </c>
      <c r="N45" s="140">
        <f ca="1">IFERROR(__xludf.DUMMYFUNCTION("""COMPUTED_VALUE"""),0)</f>
        <v>0</v>
      </c>
      <c r="O45" s="140">
        <f ca="1">IFERROR(__xludf.DUMMYFUNCTION("""COMPUTED_VALUE"""),0)</f>
        <v>0</v>
      </c>
      <c r="P45" s="140">
        <f ca="1">IFERROR(__xludf.DUMMYFUNCTION("""COMPUTED_VALUE"""),0)</f>
        <v>0</v>
      </c>
      <c r="Q45" s="140">
        <f ca="1">IFERROR(__xludf.DUMMYFUNCTION("""COMPUTED_VALUE"""),0)</f>
        <v>0</v>
      </c>
      <c r="R45" s="140">
        <f ca="1">IFERROR(__xludf.DUMMYFUNCTION("""COMPUTED_VALUE"""),0)</f>
        <v>0</v>
      </c>
      <c r="S45" s="140">
        <f ca="1">IFERROR(__xludf.DUMMYFUNCTION("""COMPUTED_VALUE"""),0)</f>
        <v>0</v>
      </c>
      <c r="T45" s="140">
        <f ca="1">IFERROR(__xludf.DUMMYFUNCTION("""COMPUTED_VALUE"""),0)</f>
        <v>0</v>
      </c>
      <c r="U45" s="140">
        <f ca="1">IFERROR(__xludf.DUMMYFUNCTION("""COMPUTED_VALUE"""),0)</f>
        <v>0</v>
      </c>
      <c r="V45" s="69"/>
    </row>
    <row r="46" spans="1:22" ht="13" x14ac:dyDescent="0.3">
      <c r="A46" s="170"/>
      <c r="B46" s="170"/>
      <c r="C46" s="170"/>
      <c r="D46" s="170"/>
      <c r="E46" s="170"/>
      <c r="F46" s="170"/>
      <c r="G46" s="170" t="str">
        <f ca="1">IFERROR(__xludf.DUMMYFUNCTION("""COMPUTED_VALUE"""),"Total")</f>
        <v>Total</v>
      </c>
      <c r="H46" s="170"/>
      <c r="I46" s="171">
        <f ca="1">IFERROR(__xludf.DUMMYFUNCTION("""COMPUTED_VALUE"""),288853.999999999)</f>
        <v>288853.99999999901</v>
      </c>
      <c r="J46" s="171">
        <f ca="1">IFERROR(__xludf.DUMMYFUNCTION("""COMPUTED_VALUE"""),37152.6666666666)</f>
        <v>37152.666666666599</v>
      </c>
      <c r="K46" s="171">
        <f ca="1">IFERROR(__xludf.DUMMYFUNCTION("""COMPUTED_VALUE"""),24685.6666666666)</f>
        <v>24685.666666666599</v>
      </c>
      <c r="L46" s="171">
        <f ca="1">IFERROR(__xludf.DUMMYFUNCTION("""COMPUTED_VALUE"""),25525.6666666666)</f>
        <v>25525.666666666599</v>
      </c>
      <c r="M46" s="171">
        <f ca="1">IFERROR(__xludf.DUMMYFUNCTION("""COMPUTED_VALUE"""),22182.6666666666)</f>
        <v>22182.666666666599</v>
      </c>
      <c r="N46" s="171">
        <f ca="1">IFERROR(__xludf.DUMMYFUNCTION("""COMPUTED_VALUE"""),22758.6666666666)</f>
        <v>22758.666666666599</v>
      </c>
      <c r="O46" s="171">
        <f ca="1">IFERROR(__xludf.DUMMYFUNCTION("""COMPUTED_VALUE"""),21745.6666666666)</f>
        <v>21745.666666666599</v>
      </c>
      <c r="P46" s="171">
        <f ca="1">IFERROR(__xludf.DUMMYFUNCTION("""COMPUTED_VALUE"""),24333.6666666666)</f>
        <v>24333.666666666599</v>
      </c>
      <c r="Q46" s="171">
        <f ca="1">IFERROR(__xludf.DUMMYFUNCTION("""COMPUTED_VALUE"""),21855.6666666666)</f>
        <v>21855.666666666599</v>
      </c>
      <c r="R46" s="171">
        <f ca="1">IFERROR(__xludf.DUMMYFUNCTION("""COMPUTED_VALUE"""),22471.6666666666)</f>
        <v>22471.666666666599</v>
      </c>
      <c r="S46" s="171">
        <f ca="1">IFERROR(__xludf.DUMMYFUNCTION("""COMPUTED_VALUE"""),21874.6666666666)</f>
        <v>21874.666666666599</v>
      </c>
      <c r="T46" s="171">
        <f ca="1">IFERROR(__xludf.DUMMYFUNCTION("""COMPUTED_VALUE"""),22496.6666666666)</f>
        <v>22496.666666666599</v>
      </c>
      <c r="U46" s="171">
        <f ca="1">IFERROR(__xludf.DUMMYFUNCTION("""COMPUTED_VALUE"""),21770.6666666666)</f>
        <v>21770.666666666599</v>
      </c>
      <c r="V46" s="69">
        <f ca="1">IFERROR(__xludf.DUMMYFUNCTION("""COMPUTED_VALUE"""),2026)</f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AV879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defaultColWidth="12.6328125" defaultRowHeight="15" customHeight="1" x14ac:dyDescent="0.25"/>
  <cols>
    <col min="1" max="1" width="12.6328125" customWidth="1"/>
    <col min="2" max="2" width="5.08984375" customWidth="1"/>
    <col min="3" max="6" width="12.6328125" customWidth="1"/>
  </cols>
  <sheetData>
    <row r="1" spans="1:48" ht="15.75" customHeight="1" x14ac:dyDescent="0.85">
      <c r="A1" s="178"/>
      <c r="B1" s="179" t="s">
        <v>146</v>
      </c>
      <c r="C1" s="179" t="s">
        <v>4</v>
      </c>
      <c r="D1" s="179" t="s">
        <v>130</v>
      </c>
      <c r="E1" s="179" t="s">
        <v>131</v>
      </c>
      <c r="F1" s="179" t="s">
        <v>147</v>
      </c>
      <c r="G1" s="179" t="s">
        <v>148</v>
      </c>
      <c r="H1" s="179" t="s">
        <v>149</v>
      </c>
      <c r="I1" s="179" t="s">
        <v>150</v>
      </c>
      <c r="J1" s="179" t="s">
        <v>151</v>
      </c>
      <c r="K1" s="179" t="s">
        <v>152</v>
      </c>
      <c r="L1" s="179" t="s">
        <v>153</v>
      </c>
      <c r="M1" s="179" t="s">
        <v>154</v>
      </c>
      <c r="N1" s="180" t="s">
        <v>155</v>
      </c>
      <c r="O1" s="179" t="s">
        <v>156</v>
      </c>
      <c r="P1" s="179" t="s">
        <v>157</v>
      </c>
      <c r="Q1" s="181" t="s">
        <v>158</v>
      </c>
      <c r="R1" s="181" t="s">
        <v>159</v>
      </c>
      <c r="S1" s="180" t="s">
        <v>160</v>
      </c>
      <c r="T1" s="7" t="s">
        <v>161</v>
      </c>
      <c r="U1" s="182">
        <v>44951</v>
      </c>
      <c r="V1" s="182">
        <v>44982</v>
      </c>
      <c r="W1" s="182">
        <v>45010</v>
      </c>
      <c r="X1" s="182">
        <v>45041</v>
      </c>
      <c r="Y1" s="182">
        <v>45071</v>
      </c>
      <c r="Z1" s="182">
        <v>45102</v>
      </c>
      <c r="AA1" s="182">
        <v>45132</v>
      </c>
      <c r="AB1" s="182">
        <v>45163</v>
      </c>
      <c r="AC1" s="182">
        <v>45194</v>
      </c>
      <c r="AD1" s="182">
        <v>45224</v>
      </c>
      <c r="AE1" s="183">
        <v>45255</v>
      </c>
      <c r="AF1" s="183">
        <v>45285</v>
      </c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</row>
    <row r="2" spans="1:48" ht="15.75" customHeight="1" x14ac:dyDescent="0.25">
      <c r="A2" s="81">
        <v>1</v>
      </c>
      <c r="B2" s="81" t="str">
        <f ca="1">IFERROR(__xludf.DUMMYFUNCTION("importrange(""https://docs.google.com/spreadsheets/d/1FiswhKRZa9SQWXSCx6eRN6HSbn4sec7eiRyzjiAdLTQ/edit#"",""EHA!A2:AK67"")"),"#REF!")</f>
        <v>#REF!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139"/>
      <c r="P2" s="81"/>
      <c r="Q2" s="81"/>
      <c r="R2" s="81"/>
      <c r="S2" s="81"/>
      <c r="T2" s="139"/>
      <c r="U2" s="139"/>
      <c r="V2" s="139"/>
      <c r="W2" s="139"/>
      <c r="X2" s="139"/>
      <c r="Y2" s="139"/>
      <c r="Z2" s="139"/>
      <c r="AA2" s="81"/>
      <c r="AB2" s="81"/>
      <c r="AC2" s="81"/>
      <c r="AD2" s="81"/>
      <c r="AE2" s="81"/>
      <c r="AF2" s="81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</row>
    <row r="3" spans="1:48" ht="15.75" hidden="1" customHeight="1" x14ac:dyDescent="0.25">
      <c r="A3" s="81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</row>
    <row r="4" spans="1:48" ht="15.75" hidden="1" customHeight="1" x14ac:dyDescent="0.25">
      <c r="A4" s="81">
        <v>0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</row>
    <row r="5" spans="1:48" ht="15.75" hidden="1" customHeight="1" x14ac:dyDescent="0.25">
      <c r="A5" s="81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</row>
    <row r="6" spans="1:48" ht="15.75" hidden="1" customHeight="1" x14ac:dyDescent="0.25">
      <c r="A6" s="81">
        <v>0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</row>
    <row r="7" spans="1:48" ht="15.75" hidden="1" customHeight="1" x14ac:dyDescent="0.25">
      <c r="A7" s="81">
        <v>0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</row>
    <row r="8" spans="1:48" ht="15.75" hidden="1" customHeight="1" x14ac:dyDescent="0.25">
      <c r="A8" s="81">
        <v>0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</row>
    <row r="9" spans="1:48" ht="15.75" hidden="1" customHeight="1" x14ac:dyDescent="0.25">
      <c r="A9" s="81">
        <v>0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</row>
    <row r="10" spans="1:48" ht="15.75" hidden="1" customHeight="1" x14ac:dyDescent="0.25">
      <c r="A10" s="81">
        <v>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139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</row>
    <row r="11" spans="1:48" ht="15.75" hidden="1" customHeight="1" x14ac:dyDescent="0.25">
      <c r="A11" s="81">
        <v>0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</row>
    <row r="12" spans="1:48" ht="15.75" hidden="1" customHeight="1" x14ac:dyDescent="0.25">
      <c r="A12" s="81">
        <v>0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139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</row>
    <row r="13" spans="1:48" ht="15.75" hidden="1" customHeight="1" x14ac:dyDescent="0.25">
      <c r="A13" s="81">
        <v>0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</row>
    <row r="14" spans="1:48" ht="15.75" hidden="1" customHeight="1" x14ac:dyDescent="0.25">
      <c r="A14" s="81">
        <v>0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</row>
    <row r="15" spans="1:48" ht="15.75" hidden="1" customHeight="1" x14ac:dyDescent="0.25">
      <c r="A15" s="81">
        <v>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</row>
    <row r="16" spans="1:48" ht="15.75" hidden="1" customHeight="1" x14ac:dyDescent="0.25">
      <c r="A16" s="184"/>
      <c r="B16" s="184"/>
      <c r="C16" s="184"/>
      <c r="D16" s="185"/>
      <c r="E16" s="185"/>
      <c r="F16" s="184"/>
      <c r="G16" s="184"/>
      <c r="H16" s="184"/>
      <c r="I16" s="184"/>
      <c r="J16" s="184"/>
      <c r="K16" s="184"/>
      <c r="L16" s="184"/>
      <c r="M16" s="185"/>
      <c r="N16" s="185"/>
      <c r="O16" s="185"/>
      <c r="P16" s="184"/>
      <c r="Q16" s="184"/>
      <c r="R16" s="184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</row>
    <row r="17" spans="1:48" ht="15.75" hidden="1" customHeight="1" x14ac:dyDescent="0.25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</row>
    <row r="18" spans="1:48" ht="15.75" hidden="1" customHeight="1" x14ac:dyDescent="0.2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</row>
    <row r="19" spans="1:48" ht="15.75" hidden="1" customHeight="1" x14ac:dyDescent="0.25">
      <c r="A19" s="81">
        <v>0</v>
      </c>
      <c r="B19" s="81"/>
      <c r="C19" s="81"/>
      <c r="D19" s="81"/>
      <c r="E19" s="139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</row>
    <row r="20" spans="1:48" ht="15.75" hidden="1" customHeight="1" x14ac:dyDescent="0.25">
      <c r="A20" s="81">
        <v>0</v>
      </c>
      <c r="B20" s="81"/>
      <c r="C20" s="81"/>
      <c r="D20" s="81"/>
      <c r="E20" s="139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</row>
    <row r="21" spans="1:48" ht="15.75" hidden="1" customHeight="1" x14ac:dyDescent="0.25">
      <c r="A21" s="81">
        <v>0</v>
      </c>
      <c r="B21" s="81"/>
      <c r="C21" s="81"/>
      <c r="D21" s="81"/>
      <c r="E21" s="139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</row>
    <row r="22" spans="1:48" ht="15.75" hidden="1" customHeight="1" x14ac:dyDescent="0.25">
      <c r="A22" s="81">
        <v>0</v>
      </c>
      <c r="B22" s="81"/>
      <c r="C22" s="81"/>
      <c r="D22" s="81"/>
      <c r="E22" s="139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</row>
    <row r="23" spans="1:48" ht="15.75" hidden="1" customHeight="1" x14ac:dyDescent="0.25">
      <c r="A23" s="81">
        <v>0</v>
      </c>
      <c r="B23" s="81"/>
      <c r="C23" s="81"/>
      <c r="D23" s="81"/>
      <c r="E23" s="139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</row>
    <row r="24" spans="1:48" ht="15.75" hidden="1" customHeight="1" x14ac:dyDescent="0.25">
      <c r="A24" s="81">
        <v>0</v>
      </c>
      <c r="B24" s="81"/>
      <c r="C24" s="81"/>
      <c r="D24" s="81"/>
      <c r="E24" s="139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</row>
    <row r="25" spans="1:48" ht="15.75" hidden="1" customHeight="1" x14ac:dyDescent="0.25">
      <c r="A25" s="81">
        <v>0</v>
      </c>
      <c r="B25" s="81"/>
      <c r="C25" s="81"/>
      <c r="D25" s="81"/>
      <c r="E25" s="139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</row>
    <row r="26" spans="1:48" ht="15.75" hidden="1" customHeight="1" x14ac:dyDescent="0.25">
      <c r="A26" s="81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</row>
    <row r="27" spans="1:48" ht="15.75" hidden="1" customHeight="1" x14ac:dyDescent="0.25">
      <c r="A27" s="81">
        <v>0</v>
      </c>
      <c r="B27" s="81"/>
      <c r="C27" s="81"/>
      <c r="D27" s="81"/>
      <c r="E27" s="139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</row>
    <row r="28" spans="1:48" ht="15.75" hidden="1" customHeight="1" x14ac:dyDescent="0.25">
      <c r="A28" s="81">
        <v>0</v>
      </c>
      <c r="B28" s="81"/>
      <c r="C28" s="81"/>
      <c r="D28" s="81"/>
      <c r="E28" s="139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</row>
    <row r="29" spans="1:48" ht="15.75" hidden="1" customHeight="1" x14ac:dyDescent="0.25">
      <c r="A29" s="81">
        <v>0</v>
      </c>
      <c r="B29" s="81"/>
      <c r="C29" s="81"/>
      <c r="D29" s="81"/>
      <c r="E29" s="139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1:48" ht="15.75" hidden="1" customHeight="1" x14ac:dyDescent="0.25">
      <c r="A30" s="81">
        <v>0</v>
      </c>
      <c r="B30" s="81"/>
      <c r="C30" s="81"/>
      <c r="D30" s="81"/>
      <c r="E30" s="139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</row>
    <row r="31" spans="1:48" ht="15.75" hidden="1" customHeight="1" x14ac:dyDescent="0.25">
      <c r="A31" s="81">
        <v>0</v>
      </c>
      <c r="B31" s="81"/>
      <c r="C31" s="81"/>
      <c r="D31" s="81"/>
      <c r="E31" s="139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</row>
    <row r="32" spans="1:48" ht="15.75" hidden="1" customHeight="1" x14ac:dyDescent="0.25">
      <c r="A32" s="81">
        <v>0</v>
      </c>
      <c r="B32" s="81"/>
      <c r="C32" s="81"/>
      <c r="D32" s="81"/>
      <c r="E32" s="139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1:48" ht="15.75" hidden="1" customHeight="1" x14ac:dyDescent="0.25">
      <c r="A33" s="184"/>
      <c r="B33" s="184"/>
      <c r="C33" s="184"/>
      <c r="D33" s="185"/>
      <c r="E33" s="185"/>
      <c r="F33" s="184"/>
      <c r="G33" s="184"/>
      <c r="H33" s="184"/>
      <c r="I33" s="184"/>
      <c r="J33" s="184"/>
      <c r="K33" s="184"/>
      <c r="L33" s="184"/>
      <c r="M33" s="185"/>
      <c r="N33" s="185"/>
      <c r="O33" s="185"/>
      <c r="P33" s="184"/>
      <c r="Q33" s="184"/>
      <c r="R33" s="184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</row>
    <row r="34" spans="1:48" ht="15.75" hidden="1" customHeight="1" x14ac:dyDescent="0.2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</row>
    <row r="35" spans="1:48" ht="15.75" hidden="1" customHeight="1" x14ac:dyDescent="0.2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</row>
    <row r="36" spans="1:48" ht="15.75" hidden="1" customHeight="1" x14ac:dyDescent="0.25">
      <c r="A36" s="81">
        <v>0</v>
      </c>
      <c r="B36" s="81"/>
      <c r="C36" s="81"/>
      <c r="D36" s="81"/>
      <c r="E36" s="139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</row>
    <row r="37" spans="1:48" ht="15.75" hidden="1" customHeight="1" x14ac:dyDescent="0.25">
      <c r="A37" s="81">
        <v>0</v>
      </c>
      <c r="B37" s="81"/>
      <c r="C37" s="81"/>
      <c r="D37" s="81"/>
      <c r="E37" s="139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</row>
    <row r="38" spans="1:48" ht="15.75" hidden="1" customHeight="1" x14ac:dyDescent="0.25">
      <c r="A38" s="81">
        <v>0</v>
      </c>
      <c r="B38" s="81"/>
      <c r="C38" s="81"/>
      <c r="D38" s="81"/>
      <c r="E38" s="139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</row>
    <row r="39" spans="1:48" ht="15.75" hidden="1" customHeight="1" x14ac:dyDescent="0.25">
      <c r="A39" s="81">
        <v>0</v>
      </c>
      <c r="B39" s="81"/>
      <c r="C39" s="81"/>
      <c r="D39" s="81"/>
      <c r="E39" s="139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</row>
    <row r="40" spans="1:48" ht="15.75" hidden="1" customHeight="1" x14ac:dyDescent="0.25">
      <c r="A40" s="81">
        <v>0</v>
      </c>
      <c r="B40" s="81"/>
      <c r="C40" s="81"/>
      <c r="D40" s="81"/>
      <c r="E40" s="139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</row>
    <row r="41" spans="1:48" ht="15.75" hidden="1" customHeight="1" x14ac:dyDescent="0.25">
      <c r="A41" s="81">
        <v>0</v>
      </c>
      <c r="B41" s="81"/>
      <c r="C41" s="81"/>
      <c r="D41" s="81"/>
      <c r="E41" s="139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</row>
    <row r="42" spans="1:48" ht="15.75" hidden="1" customHeight="1" x14ac:dyDescent="0.25">
      <c r="A42" s="81">
        <v>0</v>
      </c>
      <c r="B42" s="81"/>
      <c r="C42" s="81"/>
      <c r="D42" s="81"/>
      <c r="E42" s="139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</row>
    <row r="43" spans="1:48" ht="15.75" hidden="1" customHeight="1" x14ac:dyDescent="0.25">
      <c r="A43" s="81">
        <v>0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</row>
    <row r="44" spans="1:48" ht="15.75" hidden="1" customHeight="1" x14ac:dyDescent="0.25">
      <c r="A44" s="81">
        <v>0</v>
      </c>
      <c r="B44" s="81"/>
      <c r="C44" s="81"/>
      <c r="D44" s="81"/>
      <c r="E44" s="139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</row>
    <row r="45" spans="1:48" ht="15.75" hidden="1" customHeight="1" x14ac:dyDescent="0.25">
      <c r="A45" s="81">
        <v>0</v>
      </c>
      <c r="B45" s="81"/>
      <c r="C45" s="81"/>
      <c r="D45" s="81"/>
      <c r="E45" s="139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</row>
    <row r="46" spans="1:48" ht="15.75" hidden="1" customHeight="1" x14ac:dyDescent="0.25">
      <c r="A46" s="81">
        <v>0</v>
      </c>
      <c r="B46" s="81"/>
      <c r="C46" s="81"/>
      <c r="D46" s="81"/>
      <c r="E46" s="139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</row>
    <row r="47" spans="1:48" ht="15.75" hidden="1" customHeight="1" x14ac:dyDescent="0.25">
      <c r="A47" s="81">
        <v>0</v>
      </c>
      <c r="B47" s="81"/>
      <c r="C47" s="81"/>
      <c r="D47" s="81"/>
      <c r="E47" s="139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</row>
    <row r="48" spans="1:48" ht="15.75" hidden="1" customHeight="1" x14ac:dyDescent="0.25">
      <c r="A48" s="81">
        <v>0</v>
      </c>
      <c r="B48" s="81"/>
      <c r="C48" s="81"/>
      <c r="D48" s="81"/>
      <c r="E48" s="139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</row>
    <row r="49" spans="1:48" ht="15.75" hidden="1" customHeight="1" x14ac:dyDescent="0.25">
      <c r="A49" s="81">
        <v>0</v>
      </c>
      <c r="B49" s="81"/>
      <c r="C49" s="81"/>
      <c r="D49" s="81"/>
      <c r="E49" s="139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</row>
    <row r="50" spans="1:48" ht="15.75" hidden="1" customHeight="1" x14ac:dyDescent="0.25">
      <c r="A50" s="184"/>
      <c r="B50" s="184"/>
      <c r="C50" s="184"/>
      <c r="D50" s="185"/>
      <c r="E50" s="185"/>
      <c r="F50" s="184"/>
      <c r="G50" s="184"/>
      <c r="H50" s="184"/>
      <c r="I50" s="184"/>
      <c r="J50" s="184"/>
      <c r="K50" s="184"/>
      <c r="L50" s="184"/>
      <c r="M50" s="185"/>
      <c r="N50" s="185"/>
      <c r="O50" s="185"/>
      <c r="P50" s="184"/>
      <c r="Q50" s="184"/>
      <c r="R50" s="184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</row>
    <row r="51" spans="1:48" ht="15.75" hidden="1" customHeight="1" x14ac:dyDescent="0.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</row>
    <row r="52" spans="1:48" ht="15.75" hidden="1" customHeight="1" x14ac:dyDescent="0.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</row>
    <row r="53" spans="1:48" ht="15.75" hidden="1" customHeight="1" x14ac:dyDescent="0.25">
      <c r="A53" s="81">
        <v>0</v>
      </c>
      <c r="B53" s="81"/>
      <c r="C53" s="81"/>
      <c r="D53" s="81"/>
      <c r="E53" s="139"/>
      <c r="F53" s="81"/>
      <c r="G53" s="81"/>
      <c r="H53" s="81"/>
      <c r="I53" s="64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139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</row>
    <row r="54" spans="1:48" ht="15.75" hidden="1" customHeight="1" x14ac:dyDescent="0.25">
      <c r="A54" s="81">
        <v>0</v>
      </c>
      <c r="B54" s="81"/>
      <c r="C54" s="81"/>
      <c r="D54" s="81"/>
      <c r="E54" s="139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</row>
    <row r="55" spans="1:48" ht="15.75" hidden="1" customHeight="1" x14ac:dyDescent="0.25">
      <c r="A55" s="81">
        <v>0</v>
      </c>
      <c r="B55" s="81"/>
      <c r="C55" s="81"/>
      <c r="D55" s="81"/>
      <c r="E55" s="139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</row>
    <row r="56" spans="1:48" ht="15.75" hidden="1" customHeight="1" x14ac:dyDescent="0.25">
      <c r="A56" s="81">
        <v>0</v>
      </c>
      <c r="B56" s="81"/>
      <c r="C56" s="81"/>
      <c r="D56" s="81"/>
      <c r="E56" s="139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</row>
    <row r="57" spans="1:48" ht="15.75" hidden="1" customHeight="1" x14ac:dyDescent="0.25">
      <c r="A57" s="81">
        <v>0</v>
      </c>
      <c r="B57" s="81"/>
      <c r="C57" s="81"/>
      <c r="D57" s="81"/>
      <c r="E57" s="139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</row>
    <row r="58" spans="1:48" ht="15.75" hidden="1" customHeight="1" x14ac:dyDescent="0.25">
      <c r="A58" s="81">
        <v>0</v>
      </c>
      <c r="B58" s="81"/>
      <c r="C58" s="81"/>
      <c r="D58" s="81"/>
      <c r="E58" s="139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</row>
    <row r="59" spans="1:48" ht="15.75" hidden="1" customHeight="1" x14ac:dyDescent="0.25">
      <c r="A59" s="81">
        <v>0</v>
      </c>
      <c r="B59" s="81"/>
      <c r="C59" s="81"/>
      <c r="D59" s="81"/>
      <c r="E59" s="139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</row>
    <row r="60" spans="1:48" ht="15.75" hidden="1" customHeight="1" x14ac:dyDescent="0.25">
      <c r="A60" s="81">
        <v>0</v>
      </c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</row>
    <row r="61" spans="1:48" ht="15.75" hidden="1" customHeight="1" x14ac:dyDescent="0.25">
      <c r="A61" s="81">
        <v>0</v>
      </c>
      <c r="B61" s="81"/>
      <c r="C61" s="81"/>
      <c r="D61" s="81"/>
      <c r="E61" s="139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</row>
    <row r="62" spans="1:48" ht="15.75" hidden="1" customHeight="1" x14ac:dyDescent="0.25">
      <c r="A62" s="81">
        <v>0</v>
      </c>
      <c r="B62" s="81"/>
      <c r="C62" s="81"/>
      <c r="D62" s="81"/>
      <c r="E62" s="139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</row>
    <row r="63" spans="1:48" ht="15.75" hidden="1" customHeight="1" x14ac:dyDescent="0.25">
      <c r="A63" s="81">
        <v>0</v>
      </c>
      <c r="B63" s="81"/>
      <c r="C63" s="81"/>
      <c r="D63" s="81"/>
      <c r="E63" s="139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</row>
    <row r="64" spans="1:48" ht="15.75" hidden="1" customHeight="1" x14ac:dyDescent="0.25">
      <c r="A64" s="81">
        <v>0</v>
      </c>
      <c r="B64" s="81"/>
      <c r="C64" s="81"/>
      <c r="D64" s="81"/>
      <c r="E64" s="139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</row>
    <row r="65" spans="1:48" ht="15.75" hidden="1" customHeight="1" x14ac:dyDescent="0.25">
      <c r="A65" s="81">
        <v>0</v>
      </c>
      <c r="B65" s="81"/>
      <c r="C65" s="81"/>
      <c r="D65" s="81"/>
      <c r="E65" s="139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</row>
    <row r="66" spans="1:48" ht="15.75" hidden="1" customHeight="1" x14ac:dyDescent="0.25">
      <c r="A66" s="81">
        <v>0</v>
      </c>
      <c r="B66" s="81"/>
      <c r="C66" s="81"/>
      <c r="D66" s="81"/>
      <c r="E66" s="139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</row>
    <row r="67" spans="1:48" ht="15.75" hidden="1" customHeight="1" x14ac:dyDescent="0.25">
      <c r="A67" s="81"/>
      <c r="B67" s="184"/>
      <c r="C67" s="184"/>
      <c r="D67" s="184"/>
      <c r="E67" s="185"/>
      <c r="F67" s="184"/>
      <c r="G67" s="184"/>
      <c r="H67" s="184"/>
      <c r="I67" s="184"/>
      <c r="J67" s="184"/>
      <c r="K67" s="184"/>
      <c r="L67" s="184"/>
      <c r="M67" s="184"/>
      <c r="N67" s="185"/>
      <c r="O67" s="185"/>
      <c r="P67" s="184"/>
      <c r="Q67" s="184"/>
      <c r="R67" s="184"/>
      <c r="S67" s="184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7"/>
      <c r="AH67" s="186"/>
      <c r="AI67" s="187"/>
      <c r="AJ67" s="186"/>
      <c r="AK67" s="187"/>
      <c r="AL67" s="186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</row>
    <row r="68" spans="1:48" ht="15.75" hidden="1" customHeight="1" x14ac:dyDescent="0.25">
      <c r="AE68" s="81"/>
      <c r="AF68" s="81"/>
    </row>
    <row r="69" spans="1:48" ht="15.75" customHeight="1" x14ac:dyDescent="0.25">
      <c r="A69" s="81">
        <v>1</v>
      </c>
      <c r="B69" s="81" t="str">
        <f ca="1">IFERROR(__xludf.DUMMYFUNCTION("IMPORTRANGE(""https://docs.google.com/spreadsheets/d/1Z7EyKetm5nDwe2_rDHm9n2IO87xe4EWGHKx_3K7aclQ/edit#"",""EHA!A2:AK50"")"),"#REF!")</f>
        <v>#REF!</v>
      </c>
      <c r="C69" s="81"/>
      <c r="D69" s="81"/>
      <c r="E69" s="139"/>
      <c r="F69" s="139"/>
      <c r="G69" s="81"/>
      <c r="H69" s="81"/>
      <c r="I69" s="188"/>
      <c r="J69" s="139"/>
      <c r="K69" s="81"/>
      <c r="L69" s="81"/>
      <c r="M69" s="189"/>
      <c r="N69" s="81"/>
      <c r="O69" s="139"/>
      <c r="P69" s="81"/>
      <c r="Q69" s="81"/>
      <c r="R69" s="81"/>
      <c r="S69" s="81"/>
      <c r="T69" s="81"/>
      <c r="U69" s="81"/>
      <c r="V69" s="81"/>
      <c r="W69" s="188"/>
      <c r="X69" s="188"/>
      <c r="Y69" s="81"/>
      <c r="Z69" s="81"/>
      <c r="AA69" s="81"/>
      <c r="AB69" s="81"/>
      <c r="AC69" s="81"/>
      <c r="AD69" s="81"/>
      <c r="AE69" s="81"/>
      <c r="AF69" s="81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</row>
    <row r="70" spans="1:48" ht="15.75" customHeight="1" x14ac:dyDescent="0.25">
      <c r="A70" s="81">
        <v>1</v>
      </c>
      <c r="B70" s="81"/>
      <c r="C70" s="81"/>
      <c r="D70" s="81"/>
      <c r="E70" s="139"/>
      <c r="F70" s="139"/>
      <c r="G70" s="81"/>
      <c r="H70" s="81"/>
      <c r="I70" s="81"/>
      <c r="J70" s="139"/>
      <c r="K70" s="81"/>
      <c r="L70" s="81"/>
      <c r="M70" s="81"/>
      <c r="N70" s="81"/>
      <c r="O70" s="139"/>
      <c r="P70" s="81"/>
      <c r="Q70" s="189"/>
      <c r="R70" s="190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</row>
    <row r="71" spans="1:48" ht="15.75" hidden="1" customHeight="1" x14ac:dyDescent="0.25">
      <c r="A71" s="81">
        <v>0</v>
      </c>
      <c r="B71" s="81"/>
      <c r="C71" s="81"/>
      <c r="D71" s="81"/>
      <c r="E71" s="139"/>
      <c r="F71" s="139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</row>
    <row r="72" spans="1:48" ht="15.75" hidden="1" customHeight="1" x14ac:dyDescent="0.25">
      <c r="A72" s="81">
        <v>0</v>
      </c>
      <c r="B72" s="81"/>
      <c r="C72" s="81"/>
      <c r="D72" s="81"/>
      <c r="E72" s="139"/>
      <c r="F72" s="139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</row>
    <row r="73" spans="1:48" ht="15.75" hidden="1" customHeight="1" x14ac:dyDescent="0.25">
      <c r="A73" s="81">
        <v>0</v>
      </c>
      <c r="B73" s="81"/>
      <c r="C73" s="81"/>
      <c r="D73" s="81"/>
      <c r="E73" s="139"/>
      <c r="F73" s="139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</row>
    <row r="74" spans="1:48" ht="15.75" hidden="1" customHeight="1" x14ac:dyDescent="0.25">
      <c r="A74" s="81">
        <v>0</v>
      </c>
      <c r="B74" s="81"/>
      <c r="C74" s="81"/>
      <c r="D74" s="81"/>
      <c r="E74" s="139"/>
      <c r="F74" s="139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</row>
    <row r="75" spans="1:48" ht="15.75" hidden="1" customHeight="1" x14ac:dyDescent="0.25">
      <c r="A75" s="81">
        <v>0</v>
      </c>
      <c r="B75" s="81"/>
      <c r="C75" s="81"/>
      <c r="D75" s="81"/>
      <c r="E75" s="139"/>
      <c r="F75" s="139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</row>
    <row r="76" spans="1:48" ht="15.75" hidden="1" customHeight="1" x14ac:dyDescent="0.25">
      <c r="A76" s="81">
        <v>0</v>
      </c>
      <c r="B76" s="81"/>
      <c r="C76" s="81"/>
      <c r="D76" s="81"/>
      <c r="E76" s="139"/>
      <c r="F76" s="139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</row>
    <row r="77" spans="1:48" ht="15.75" hidden="1" customHeight="1" x14ac:dyDescent="0.25">
      <c r="A77" s="81">
        <v>0</v>
      </c>
      <c r="B77" s="81"/>
      <c r="C77" s="81"/>
      <c r="D77" s="81"/>
      <c r="E77" s="139"/>
      <c r="F77" s="139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</row>
    <row r="78" spans="1:48" ht="15.75" hidden="1" customHeight="1" x14ac:dyDescent="0.25">
      <c r="A78" s="81">
        <v>0</v>
      </c>
      <c r="B78" s="81"/>
      <c r="C78" s="81"/>
      <c r="D78" s="81"/>
      <c r="E78" s="139"/>
      <c r="F78" s="139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</row>
    <row r="79" spans="1:48" ht="15.75" hidden="1" customHeight="1" x14ac:dyDescent="0.25">
      <c r="A79" s="81">
        <v>0</v>
      </c>
      <c r="B79" s="81"/>
      <c r="C79" s="81"/>
      <c r="D79" s="81"/>
      <c r="E79" s="139"/>
      <c r="F79" s="139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</row>
    <row r="80" spans="1:48" ht="15.75" hidden="1" customHeight="1" x14ac:dyDescent="0.25">
      <c r="A80" s="81">
        <v>0</v>
      </c>
      <c r="B80" s="81"/>
      <c r="C80" s="81"/>
      <c r="D80" s="81"/>
      <c r="E80" s="139"/>
      <c r="F80" s="139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</row>
    <row r="81" spans="1:48" ht="15.75" hidden="1" customHeight="1" x14ac:dyDescent="0.25">
      <c r="A81" s="81">
        <v>0</v>
      </c>
      <c r="B81" s="81"/>
      <c r="C81" s="81"/>
      <c r="D81" s="81"/>
      <c r="E81" s="139"/>
      <c r="F81" s="139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</row>
    <row r="82" spans="1:48" ht="15.75" hidden="1" customHeight="1" x14ac:dyDescent="0.25">
      <c r="A82" s="81">
        <v>0</v>
      </c>
      <c r="B82" s="81"/>
      <c r="C82" s="81"/>
      <c r="D82" s="81"/>
      <c r="E82" s="139"/>
      <c r="F82" s="139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</row>
    <row r="83" spans="1:48" ht="15.75" hidden="1" customHeight="1" x14ac:dyDescent="0.25">
      <c r="A83" s="81"/>
      <c r="B83" s="184"/>
      <c r="C83" s="184"/>
      <c r="D83" s="184"/>
      <c r="E83" s="185"/>
      <c r="F83" s="185"/>
      <c r="G83" s="184"/>
      <c r="H83" s="184"/>
      <c r="I83" s="184"/>
      <c r="J83" s="184"/>
      <c r="K83" s="184"/>
      <c r="L83" s="184"/>
      <c r="M83" s="184"/>
      <c r="N83" s="185"/>
      <c r="O83" s="185"/>
      <c r="P83" s="184"/>
      <c r="Q83" s="184"/>
      <c r="R83" s="184"/>
      <c r="S83" s="184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7"/>
      <c r="AH83" s="186"/>
      <c r="AI83" s="187"/>
      <c r="AJ83" s="186"/>
      <c r="AK83" s="187"/>
      <c r="AL83" s="186"/>
      <c r="AM83" s="187"/>
      <c r="AN83" s="187"/>
      <c r="AO83" s="187"/>
      <c r="AP83" s="187"/>
      <c r="AQ83" s="187"/>
      <c r="AR83" s="187"/>
      <c r="AS83" s="187"/>
      <c r="AT83" s="187"/>
      <c r="AU83" s="187"/>
      <c r="AV83" s="187"/>
    </row>
    <row r="84" spans="1:48" ht="15.75" hidden="1" customHeight="1" x14ac:dyDescent="0.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</row>
    <row r="85" spans="1:48" ht="15.75" hidden="1" customHeight="1" x14ac:dyDescent="0.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</row>
    <row r="86" spans="1:48" ht="15.75" hidden="1" customHeight="1" x14ac:dyDescent="0.25">
      <c r="A86" s="81">
        <v>0</v>
      </c>
      <c r="B86" s="81"/>
      <c r="C86" s="81"/>
      <c r="D86" s="81"/>
      <c r="E86" s="139"/>
      <c r="F86" s="139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</row>
    <row r="87" spans="1:48" ht="15.75" hidden="1" customHeight="1" x14ac:dyDescent="0.25">
      <c r="A87" s="81">
        <v>0</v>
      </c>
      <c r="B87" s="81"/>
      <c r="C87" s="81"/>
      <c r="D87" s="81"/>
      <c r="E87" s="139"/>
      <c r="F87" s="139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</row>
    <row r="88" spans="1:48" ht="15.75" hidden="1" customHeight="1" x14ac:dyDescent="0.25">
      <c r="A88" s="81">
        <v>0</v>
      </c>
      <c r="B88" s="81"/>
      <c r="C88" s="81"/>
      <c r="D88" s="81"/>
      <c r="E88" s="139"/>
      <c r="F88" s="139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</row>
    <row r="89" spans="1:48" ht="15.75" hidden="1" customHeight="1" x14ac:dyDescent="0.25">
      <c r="A89" s="81">
        <v>0</v>
      </c>
      <c r="B89" s="81"/>
      <c r="C89" s="81"/>
      <c r="D89" s="81"/>
      <c r="E89" s="139"/>
      <c r="F89" s="139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</row>
    <row r="90" spans="1:48" ht="15.75" hidden="1" customHeight="1" x14ac:dyDescent="0.25">
      <c r="A90" s="81">
        <v>0</v>
      </c>
      <c r="B90" s="81"/>
      <c r="C90" s="81"/>
      <c r="D90" s="81"/>
      <c r="E90" s="139"/>
      <c r="F90" s="139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</row>
    <row r="91" spans="1:48" ht="15.75" hidden="1" customHeight="1" x14ac:dyDescent="0.25">
      <c r="A91" s="81">
        <v>0</v>
      </c>
      <c r="B91" s="81"/>
      <c r="C91" s="81"/>
      <c r="D91" s="81"/>
      <c r="E91" s="139"/>
      <c r="F91" s="139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</row>
    <row r="92" spans="1:48" ht="15.75" hidden="1" customHeight="1" x14ac:dyDescent="0.25">
      <c r="A92" s="81">
        <v>0</v>
      </c>
      <c r="B92" s="81"/>
      <c r="C92" s="81"/>
      <c r="D92" s="81"/>
      <c r="E92" s="139"/>
      <c r="F92" s="139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</row>
    <row r="93" spans="1:48" ht="15.75" hidden="1" customHeight="1" x14ac:dyDescent="0.25">
      <c r="A93" s="81">
        <v>0</v>
      </c>
      <c r="B93" s="81"/>
      <c r="C93" s="81"/>
      <c r="D93" s="81"/>
      <c r="E93" s="81"/>
      <c r="F93" s="139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</row>
    <row r="94" spans="1:48" ht="15.75" hidden="1" customHeight="1" x14ac:dyDescent="0.25">
      <c r="A94" s="81">
        <v>0</v>
      </c>
      <c r="B94" s="81"/>
      <c r="C94" s="81"/>
      <c r="D94" s="81"/>
      <c r="E94" s="139"/>
      <c r="F94" s="139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</row>
    <row r="95" spans="1:48" ht="15.75" hidden="1" customHeight="1" x14ac:dyDescent="0.25">
      <c r="A95" s="81">
        <v>0</v>
      </c>
      <c r="B95" s="81"/>
      <c r="C95" s="81"/>
      <c r="D95" s="81"/>
      <c r="E95" s="139"/>
      <c r="F95" s="139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</row>
    <row r="96" spans="1:48" ht="15.75" hidden="1" customHeight="1" x14ac:dyDescent="0.25">
      <c r="A96" s="81">
        <v>0</v>
      </c>
      <c r="B96" s="81"/>
      <c r="C96" s="81"/>
      <c r="D96" s="81"/>
      <c r="E96" s="139"/>
      <c r="F96" s="139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</row>
    <row r="97" spans="1:48" ht="15.75" hidden="1" customHeight="1" x14ac:dyDescent="0.25">
      <c r="A97" s="81">
        <v>0</v>
      </c>
      <c r="B97" s="81"/>
      <c r="C97" s="81"/>
      <c r="D97" s="81"/>
      <c r="E97" s="139"/>
      <c r="F97" s="139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</row>
    <row r="98" spans="1:48" ht="15.75" hidden="1" customHeight="1" x14ac:dyDescent="0.25">
      <c r="A98" s="81">
        <v>0</v>
      </c>
      <c r="B98" s="81"/>
      <c r="C98" s="81"/>
      <c r="D98" s="81"/>
      <c r="E98" s="139"/>
      <c r="F98" s="139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</row>
    <row r="99" spans="1:48" ht="15.75" hidden="1" customHeight="1" x14ac:dyDescent="0.25">
      <c r="A99" s="81">
        <v>0</v>
      </c>
      <c r="B99" s="81"/>
      <c r="C99" s="81"/>
      <c r="D99" s="81"/>
      <c r="E99" s="139"/>
      <c r="F99" s="139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</row>
    <row r="100" spans="1:48" ht="15.75" hidden="1" customHeight="1" x14ac:dyDescent="0.25">
      <c r="A100" s="81"/>
      <c r="B100" s="184"/>
      <c r="C100" s="184"/>
      <c r="D100" s="184"/>
      <c r="E100" s="185"/>
      <c r="F100" s="185"/>
      <c r="G100" s="184"/>
      <c r="H100" s="184"/>
      <c r="I100" s="184"/>
      <c r="J100" s="184"/>
      <c r="K100" s="184"/>
      <c r="L100" s="184"/>
      <c r="M100" s="184"/>
      <c r="N100" s="185"/>
      <c r="O100" s="185"/>
      <c r="P100" s="184"/>
      <c r="Q100" s="184"/>
      <c r="R100" s="184"/>
      <c r="S100" s="184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7"/>
      <c r="AH100" s="186"/>
      <c r="AI100" s="187"/>
      <c r="AJ100" s="186"/>
      <c r="AK100" s="187"/>
      <c r="AL100" s="186"/>
      <c r="AM100" s="187"/>
      <c r="AN100" s="187"/>
      <c r="AO100" s="187"/>
      <c r="AP100" s="187"/>
      <c r="AQ100" s="187"/>
      <c r="AR100" s="187"/>
      <c r="AS100" s="187"/>
      <c r="AT100" s="187"/>
      <c r="AU100" s="187"/>
      <c r="AV100" s="187"/>
    </row>
    <row r="101" spans="1:48" ht="15.75" hidden="1" customHeight="1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</row>
    <row r="102" spans="1:48" ht="15.75" hidden="1" customHeight="1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</row>
    <row r="103" spans="1:48" ht="15.75" hidden="1" customHeight="1" x14ac:dyDescent="0.25">
      <c r="A103" s="81">
        <v>0</v>
      </c>
      <c r="B103" s="81"/>
      <c r="C103" s="81"/>
      <c r="D103" s="81"/>
      <c r="E103" s="139"/>
      <c r="F103" s="139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</row>
    <row r="104" spans="1:48" ht="15.75" hidden="1" customHeight="1" x14ac:dyDescent="0.25">
      <c r="A104" s="81">
        <v>0</v>
      </c>
      <c r="B104" s="81"/>
      <c r="C104" s="81"/>
      <c r="D104" s="81"/>
      <c r="E104" s="139"/>
      <c r="F104" s="139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</row>
    <row r="105" spans="1:48" ht="15.75" hidden="1" customHeight="1" x14ac:dyDescent="0.25">
      <c r="A105" s="81">
        <v>0</v>
      </c>
      <c r="B105" s="81"/>
      <c r="C105" s="81"/>
      <c r="D105" s="81"/>
      <c r="E105" s="139"/>
      <c r="F105" s="139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</row>
    <row r="106" spans="1:48" ht="15.75" hidden="1" customHeight="1" x14ac:dyDescent="0.25">
      <c r="A106" s="81">
        <v>0</v>
      </c>
      <c r="B106" s="81"/>
      <c r="C106" s="81"/>
      <c r="D106" s="81"/>
      <c r="E106" s="139"/>
      <c r="F106" s="139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</row>
    <row r="107" spans="1:48" ht="15.75" hidden="1" customHeight="1" x14ac:dyDescent="0.25">
      <c r="A107" s="81">
        <v>0</v>
      </c>
      <c r="B107" s="81"/>
      <c r="C107" s="81"/>
      <c r="D107" s="81"/>
      <c r="E107" s="139"/>
      <c r="F107" s="139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</row>
    <row r="108" spans="1:48" ht="15.75" hidden="1" customHeight="1" x14ac:dyDescent="0.25">
      <c r="A108" s="81">
        <v>0</v>
      </c>
      <c r="B108" s="81"/>
      <c r="C108" s="81"/>
      <c r="D108" s="81"/>
      <c r="E108" s="139"/>
      <c r="F108" s="139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</row>
    <row r="109" spans="1:48" ht="15.75" hidden="1" customHeight="1" x14ac:dyDescent="0.25">
      <c r="A109" s="81">
        <v>0</v>
      </c>
      <c r="B109" s="81"/>
      <c r="C109" s="81"/>
      <c r="D109" s="81"/>
      <c r="E109" s="139"/>
      <c r="F109" s="139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</row>
    <row r="110" spans="1:48" ht="15.75" hidden="1" customHeight="1" x14ac:dyDescent="0.25">
      <c r="A110" s="81">
        <v>0</v>
      </c>
      <c r="B110" s="81"/>
      <c r="C110" s="81"/>
      <c r="D110" s="81"/>
      <c r="E110" s="81"/>
      <c r="F110" s="139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</row>
    <row r="111" spans="1:48" ht="15.75" hidden="1" customHeight="1" x14ac:dyDescent="0.25">
      <c r="A111" s="81">
        <v>0</v>
      </c>
      <c r="B111" s="81"/>
      <c r="C111" s="81"/>
      <c r="D111" s="81"/>
      <c r="E111" s="139"/>
      <c r="F111" s="139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</row>
    <row r="112" spans="1:48" ht="15.75" hidden="1" customHeight="1" x14ac:dyDescent="0.25">
      <c r="A112" s="81">
        <v>0</v>
      </c>
      <c r="B112" s="81"/>
      <c r="C112" s="81"/>
      <c r="D112" s="81"/>
      <c r="E112" s="139"/>
      <c r="F112" s="139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</row>
    <row r="113" spans="1:48" ht="15.75" hidden="1" customHeight="1" x14ac:dyDescent="0.25">
      <c r="A113" s="81">
        <v>0</v>
      </c>
      <c r="B113" s="81"/>
      <c r="C113" s="81"/>
      <c r="D113" s="81"/>
      <c r="E113" s="139"/>
      <c r="F113" s="139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</row>
    <row r="114" spans="1:48" ht="15.75" hidden="1" customHeight="1" x14ac:dyDescent="0.25">
      <c r="A114" s="81">
        <v>0</v>
      </c>
      <c r="B114" s="81"/>
      <c r="C114" s="81"/>
      <c r="D114" s="81"/>
      <c r="E114" s="139"/>
      <c r="F114" s="139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</row>
    <row r="115" spans="1:48" ht="15.75" hidden="1" customHeight="1" x14ac:dyDescent="0.25">
      <c r="A115" s="81">
        <v>0</v>
      </c>
      <c r="B115" s="81"/>
      <c r="C115" s="81"/>
      <c r="D115" s="81"/>
      <c r="E115" s="139"/>
      <c r="F115" s="139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</row>
    <row r="116" spans="1:48" ht="15.75" hidden="1" customHeight="1" x14ac:dyDescent="0.25">
      <c r="A116" s="81">
        <v>0</v>
      </c>
      <c r="B116" s="81"/>
      <c r="C116" s="81"/>
      <c r="D116" s="81"/>
      <c r="E116" s="139"/>
      <c r="F116" s="139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</row>
    <row r="117" spans="1:48" ht="15.75" hidden="1" customHeight="1" x14ac:dyDescent="0.25">
      <c r="A117" s="81"/>
      <c r="B117" s="184"/>
      <c r="C117" s="184"/>
      <c r="D117" s="184"/>
      <c r="E117" s="185"/>
      <c r="F117" s="185"/>
      <c r="G117" s="184"/>
      <c r="H117" s="184"/>
      <c r="I117" s="184"/>
      <c r="J117" s="184"/>
      <c r="K117" s="184"/>
      <c r="L117" s="184"/>
      <c r="M117" s="184"/>
      <c r="N117" s="185"/>
      <c r="O117" s="185"/>
      <c r="P117" s="184"/>
      <c r="Q117" s="184"/>
      <c r="R117" s="184"/>
      <c r="S117" s="184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G117" s="187"/>
      <c r="AH117" s="186"/>
      <c r="AI117" s="187"/>
      <c r="AJ117" s="186"/>
      <c r="AK117" s="187"/>
      <c r="AL117" s="186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</row>
    <row r="118" spans="1:48" ht="15.75" hidden="1" customHeight="1" x14ac:dyDescent="0.25">
      <c r="AE118" s="81"/>
      <c r="AF118" s="81"/>
    </row>
    <row r="119" spans="1:48" ht="15.75" hidden="1" customHeight="1" x14ac:dyDescent="0.25">
      <c r="A119" s="81">
        <v>0</v>
      </c>
      <c r="B119" s="81" t="str">
        <f ca="1">IFERROR(__xludf.DUMMYFUNCTION("IMPORTRANGE(""https://docs.google.com/spreadsheets/d/1gXJqGdp07VU7amZcK_XP5B5lIXWDfWioBxx6j2lRb9o/edit#"",""EHA!A2:AK50"")"),"#REF!")</f>
        <v>#REF!</v>
      </c>
      <c r="C119" s="81"/>
      <c r="D119" s="81"/>
      <c r="E119" s="81"/>
      <c r="F119" s="139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</row>
    <row r="120" spans="1:48" ht="15.75" hidden="1" customHeight="1" x14ac:dyDescent="0.25">
      <c r="A120" s="81">
        <v>0</v>
      </c>
      <c r="B120" s="81"/>
      <c r="C120" s="81"/>
      <c r="D120" s="81"/>
      <c r="E120" s="81"/>
      <c r="F120" s="139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</row>
    <row r="121" spans="1:48" ht="15.75" hidden="1" customHeight="1" x14ac:dyDescent="0.25">
      <c r="A121" s="81">
        <v>0</v>
      </c>
      <c r="B121" s="81"/>
      <c r="C121" s="81"/>
      <c r="D121" s="81"/>
      <c r="E121" s="81"/>
      <c r="F121" s="139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</row>
    <row r="122" spans="1:48" ht="15.75" hidden="1" customHeight="1" x14ac:dyDescent="0.25">
      <c r="A122" s="81">
        <v>0</v>
      </c>
      <c r="B122" s="81"/>
      <c r="C122" s="81"/>
      <c r="D122" s="81"/>
      <c r="E122" s="81"/>
      <c r="F122" s="139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</row>
    <row r="123" spans="1:48" ht="15.75" hidden="1" customHeight="1" x14ac:dyDescent="0.25">
      <c r="A123" s="81">
        <v>0</v>
      </c>
      <c r="B123" s="81"/>
      <c r="C123" s="81"/>
      <c r="D123" s="81"/>
      <c r="E123" s="81"/>
      <c r="F123" s="139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</row>
    <row r="124" spans="1:48" ht="15.75" hidden="1" customHeight="1" x14ac:dyDescent="0.25">
      <c r="A124" s="81">
        <v>0</v>
      </c>
      <c r="B124" s="81"/>
      <c r="C124" s="81"/>
      <c r="D124" s="81"/>
      <c r="E124" s="81"/>
      <c r="F124" s="139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</row>
    <row r="125" spans="1:48" ht="15.75" hidden="1" customHeight="1" x14ac:dyDescent="0.25">
      <c r="A125" s="81">
        <v>0</v>
      </c>
      <c r="B125" s="81"/>
      <c r="C125" s="81"/>
      <c r="D125" s="81"/>
      <c r="E125" s="81"/>
      <c r="F125" s="139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</row>
    <row r="126" spans="1:48" ht="15.75" hidden="1" customHeight="1" x14ac:dyDescent="0.25">
      <c r="A126" s="81">
        <v>0</v>
      </c>
      <c r="B126" s="81"/>
      <c r="C126" s="81"/>
      <c r="D126" s="81"/>
      <c r="E126" s="81"/>
      <c r="F126" s="139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</row>
    <row r="127" spans="1:48" ht="15.75" hidden="1" customHeight="1" x14ac:dyDescent="0.25">
      <c r="A127" s="81">
        <v>0</v>
      </c>
      <c r="B127" s="81"/>
      <c r="C127" s="81"/>
      <c r="D127" s="81"/>
      <c r="E127" s="81"/>
      <c r="F127" s="139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</row>
    <row r="128" spans="1:48" ht="15.75" hidden="1" customHeight="1" x14ac:dyDescent="0.25">
      <c r="A128" s="81">
        <v>0</v>
      </c>
      <c r="B128" s="81"/>
      <c r="C128" s="81"/>
      <c r="D128" s="81"/>
      <c r="E128" s="81"/>
      <c r="F128" s="139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</row>
    <row r="129" spans="1:48" ht="15.75" hidden="1" customHeight="1" x14ac:dyDescent="0.25">
      <c r="A129" s="81">
        <v>0</v>
      </c>
      <c r="B129" s="81"/>
      <c r="C129" s="81"/>
      <c r="D129" s="81"/>
      <c r="E129" s="81"/>
      <c r="F129" s="139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</row>
    <row r="130" spans="1:48" ht="15.75" hidden="1" customHeight="1" x14ac:dyDescent="0.25">
      <c r="A130" s="81">
        <v>0</v>
      </c>
      <c r="B130" s="81"/>
      <c r="C130" s="81"/>
      <c r="D130" s="81"/>
      <c r="E130" s="81"/>
      <c r="F130" s="139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</row>
    <row r="131" spans="1:48" ht="15.75" hidden="1" customHeight="1" x14ac:dyDescent="0.25">
      <c r="A131" s="81">
        <v>0</v>
      </c>
      <c r="B131" s="81"/>
      <c r="C131" s="81"/>
      <c r="D131" s="81"/>
      <c r="E131" s="81"/>
      <c r="F131" s="139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</row>
    <row r="132" spans="1:48" ht="15.75" hidden="1" customHeight="1" x14ac:dyDescent="0.25">
      <c r="A132" s="81">
        <v>0</v>
      </c>
      <c r="B132" s="81"/>
      <c r="C132" s="81"/>
      <c r="D132" s="81"/>
      <c r="E132" s="81"/>
      <c r="F132" s="139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</row>
    <row r="133" spans="1:48" ht="15.75" hidden="1" customHeight="1" x14ac:dyDescent="0.25">
      <c r="A133" s="81"/>
      <c r="B133" s="184"/>
      <c r="C133" s="184"/>
      <c r="D133" s="184"/>
      <c r="E133" s="185"/>
      <c r="F133" s="185"/>
      <c r="G133" s="184"/>
      <c r="H133" s="184"/>
      <c r="I133" s="184"/>
      <c r="J133" s="184"/>
      <c r="K133" s="184"/>
      <c r="L133" s="184"/>
      <c r="M133" s="184"/>
      <c r="N133" s="185"/>
      <c r="O133" s="185"/>
      <c r="P133" s="184"/>
      <c r="Q133" s="184"/>
      <c r="R133" s="184"/>
      <c r="S133" s="184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7"/>
      <c r="AH133" s="186"/>
      <c r="AI133" s="187"/>
      <c r="AJ133" s="186"/>
      <c r="AK133" s="187"/>
      <c r="AL133" s="186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</row>
    <row r="134" spans="1:48" ht="15.75" hidden="1" customHeight="1" x14ac:dyDescent="0.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</row>
    <row r="135" spans="1:48" ht="15.75" hidden="1" customHeight="1" x14ac:dyDescent="0.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</row>
    <row r="136" spans="1:48" ht="15.75" hidden="1" customHeight="1" x14ac:dyDescent="0.25">
      <c r="A136" s="81">
        <v>0</v>
      </c>
      <c r="B136" s="81"/>
      <c r="C136" s="81"/>
      <c r="D136" s="81"/>
      <c r="E136" s="139"/>
      <c r="F136" s="139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</row>
    <row r="137" spans="1:48" ht="15.75" hidden="1" customHeight="1" x14ac:dyDescent="0.25">
      <c r="A137" s="81">
        <v>0</v>
      </c>
      <c r="B137" s="81"/>
      <c r="C137" s="81"/>
      <c r="D137" s="81"/>
      <c r="E137" s="139"/>
      <c r="F137" s="139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</row>
    <row r="138" spans="1:48" ht="15.75" hidden="1" customHeight="1" x14ac:dyDescent="0.25">
      <c r="A138" s="81">
        <v>0</v>
      </c>
      <c r="B138" s="81"/>
      <c r="C138" s="81"/>
      <c r="D138" s="81"/>
      <c r="E138" s="139"/>
      <c r="F138" s="139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</row>
    <row r="139" spans="1:48" ht="15.75" hidden="1" customHeight="1" x14ac:dyDescent="0.25">
      <c r="A139" s="81">
        <v>0</v>
      </c>
      <c r="B139" s="81"/>
      <c r="C139" s="81"/>
      <c r="D139" s="81"/>
      <c r="E139" s="139"/>
      <c r="F139" s="139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</row>
    <row r="140" spans="1:48" ht="15.75" hidden="1" customHeight="1" x14ac:dyDescent="0.25">
      <c r="A140" s="81">
        <v>0</v>
      </c>
      <c r="B140" s="81"/>
      <c r="C140" s="81"/>
      <c r="D140" s="81"/>
      <c r="E140" s="139"/>
      <c r="F140" s="139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</row>
    <row r="141" spans="1:48" ht="15.75" hidden="1" customHeight="1" x14ac:dyDescent="0.25">
      <c r="A141" s="81">
        <v>0</v>
      </c>
      <c r="B141" s="81"/>
      <c r="C141" s="81"/>
      <c r="D141" s="81"/>
      <c r="E141" s="139"/>
      <c r="F141" s="139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</row>
    <row r="142" spans="1:48" ht="15.75" hidden="1" customHeight="1" x14ac:dyDescent="0.25">
      <c r="A142" s="81">
        <v>0</v>
      </c>
      <c r="B142" s="81"/>
      <c r="C142" s="81"/>
      <c r="D142" s="81"/>
      <c r="E142" s="139"/>
      <c r="F142" s="139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</row>
    <row r="143" spans="1:48" ht="15.75" hidden="1" customHeight="1" x14ac:dyDescent="0.25">
      <c r="A143" s="81">
        <v>0</v>
      </c>
      <c r="B143" s="81"/>
      <c r="C143" s="81"/>
      <c r="D143" s="81"/>
      <c r="E143" s="139"/>
      <c r="F143" s="139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</row>
    <row r="144" spans="1:48" ht="15.75" hidden="1" customHeight="1" x14ac:dyDescent="0.25">
      <c r="A144" s="81">
        <v>0</v>
      </c>
      <c r="B144" s="81"/>
      <c r="C144" s="81"/>
      <c r="D144" s="81"/>
      <c r="E144" s="139"/>
      <c r="F144" s="139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</row>
    <row r="145" spans="1:48" ht="15.75" hidden="1" customHeight="1" x14ac:dyDescent="0.25">
      <c r="A145" s="81">
        <v>0</v>
      </c>
      <c r="B145" s="81"/>
      <c r="C145" s="81"/>
      <c r="D145" s="81"/>
      <c r="E145" s="139"/>
      <c r="F145" s="139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</row>
    <row r="146" spans="1:48" ht="15.75" hidden="1" customHeight="1" x14ac:dyDescent="0.25">
      <c r="A146" s="81">
        <v>0</v>
      </c>
      <c r="B146" s="81"/>
      <c r="C146" s="81"/>
      <c r="D146" s="81"/>
      <c r="E146" s="139"/>
      <c r="F146" s="139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</row>
    <row r="147" spans="1:48" ht="15.75" hidden="1" customHeight="1" x14ac:dyDescent="0.25">
      <c r="A147" s="81">
        <v>0</v>
      </c>
      <c r="B147" s="81"/>
      <c r="C147" s="81"/>
      <c r="D147" s="81"/>
      <c r="E147" s="139"/>
      <c r="F147" s="139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</row>
    <row r="148" spans="1:48" ht="15.75" hidden="1" customHeight="1" x14ac:dyDescent="0.25">
      <c r="A148" s="81">
        <v>0</v>
      </c>
      <c r="B148" s="81"/>
      <c r="C148" s="81"/>
      <c r="D148" s="81"/>
      <c r="E148" s="139"/>
      <c r="F148" s="139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</row>
    <row r="149" spans="1:48" ht="15.75" hidden="1" customHeight="1" x14ac:dyDescent="0.25">
      <c r="A149" s="81">
        <v>0</v>
      </c>
      <c r="B149" s="81"/>
      <c r="C149" s="81"/>
      <c r="D149" s="81"/>
      <c r="E149" s="139"/>
      <c r="F149" s="139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</row>
    <row r="150" spans="1:48" ht="15.75" hidden="1" customHeight="1" x14ac:dyDescent="0.25">
      <c r="A150" s="81"/>
      <c r="B150" s="184"/>
      <c r="C150" s="184"/>
      <c r="D150" s="184"/>
      <c r="E150" s="185"/>
      <c r="F150" s="185"/>
      <c r="G150" s="184"/>
      <c r="H150" s="184"/>
      <c r="I150" s="184"/>
      <c r="J150" s="184"/>
      <c r="K150" s="184"/>
      <c r="L150" s="184"/>
      <c r="M150" s="184"/>
      <c r="N150" s="185"/>
      <c r="O150" s="185"/>
      <c r="P150" s="184"/>
      <c r="Q150" s="184"/>
      <c r="R150" s="184"/>
      <c r="S150" s="184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7"/>
      <c r="AH150" s="186"/>
      <c r="AI150" s="187"/>
      <c r="AJ150" s="186"/>
      <c r="AK150" s="187"/>
      <c r="AL150" s="186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</row>
    <row r="151" spans="1:48" ht="15.75" hidden="1" customHeight="1" x14ac:dyDescent="0.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</row>
    <row r="152" spans="1:48" ht="15.75" hidden="1" customHeight="1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</row>
    <row r="153" spans="1:48" ht="15.75" hidden="1" customHeight="1" x14ac:dyDescent="0.25">
      <c r="A153" s="81">
        <v>0</v>
      </c>
      <c r="B153" s="81"/>
      <c r="C153" s="81"/>
      <c r="D153" s="81"/>
      <c r="E153" s="139"/>
      <c r="F153" s="139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</row>
    <row r="154" spans="1:48" ht="15.75" hidden="1" customHeight="1" x14ac:dyDescent="0.25">
      <c r="A154" s="81">
        <v>0</v>
      </c>
      <c r="B154" s="81"/>
      <c r="C154" s="81"/>
      <c r="D154" s="81"/>
      <c r="E154" s="139"/>
      <c r="F154" s="139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</row>
    <row r="155" spans="1:48" ht="15.75" hidden="1" customHeight="1" x14ac:dyDescent="0.25">
      <c r="A155" s="81">
        <v>0</v>
      </c>
      <c r="B155" s="81"/>
      <c r="C155" s="81"/>
      <c r="D155" s="81"/>
      <c r="E155" s="139"/>
      <c r="F155" s="139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</row>
    <row r="156" spans="1:48" ht="15.75" hidden="1" customHeight="1" x14ac:dyDescent="0.25">
      <c r="A156" s="81">
        <v>0</v>
      </c>
      <c r="B156" s="81"/>
      <c r="C156" s="81"/>
      <c r="D156" s="81"/>
      <c r="E156" s="139"/>
      <c r="F156" s="139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</row>
    <row r="157" spans="1:48" ht="15.75" hidden="1" customHeight="1" x14ac:dyDescent="0.25">
      <c r="A157" s="81">
        <v>0</v>
      </c>
      <c r="B157" s="81"/>
      <c r="C157" s="81"/>
      <c r="D157" s="81"/>
      <c r="E157" s="139"/>
      <c r="F157" s="139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</row>
    <row r="158" spans="1:48" ht="15.75" hidden="1" customHeight="1" x14ac:dyDescent="0.25">
      <c r="A158" s="81">
        <v>0</v>
      </c>
      <c r="B158" s="81"/>
      <c r="C158" s="81"/>
      <c r="D158" s="81"/>
      <c r="E158" s="139"/>
      <c r="F158" s="139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</row>
    <row r="159" spans="1:48" ht="15.75" hidden="1" customHeight="1" x14ac:dyDescent="0.25">
      <c r="A159" s="81">
        <v>0</v>
      </c>
      <c r="B159" s="81"/>
      <c r="C159" s="81"/>
      <c r="D159" s="81"/>
      <c r="E159" s="139"/>
      <c r="F159" s="139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</row>
    <row r="160" spans="1:48" ht="15.75" hidden="1" customHeight="1" x14ac:dyDescent="0.25">
      <c r="A160" s="81">
        <v>0</v>
      </c>
      <c r="B160" s="81"/>
      <c r="C160" s="81"/>
      <c r="D160" s="81"/>
      <c r="E160" s="139"/>
      <c r="F160" s="139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</row>
    <row r="161" spans="1:48" ht="15.75" hidden="1" customHeight="1" x14ac:dyDescent="0.25">
      <c r="A161" s="81">
        <v>0</v>
      </c>
      <c r="B161" s="81"/>
      <c r="C161" s="81"/>
      <c r="D161" s="81"/>
      <c r="E161" s="139"/>
      <c r="F161" s="139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</row>
    <row r="162" spans="1:48" ht="15.75" hidden="1" customHeight="1" x14ac:dyDescent="0.25">
      <c r="A162" s="81">
        <v>0</v>
      </c>
      <c r="B162" s="81"/>
      <c r="C162" s="81"/>
      <c r="D162" s="81"/>
      <c r="E162" s="139"/>
      <c r="F162" s="139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</row>
    <row r="163" spans="1:48" ht="15.75" hidden="1" customHeight="1" x14ac:dyDescent="0.25">
      <c r="A163" s="81">
        <v>0</v>
      </c>
      <c r="B163" s="81"/>
      <c r="C163" s="81"/>
      <c r="D163" s="81"/>
      <c r="E163" s="139"/>
      <c r="F163" s="139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</row>
    <row r="164" spans="1:48" ht="15.75" hidden="1" customHeight="1" x14ac:dyDescent="0.25">
      <c r="A164" s="81">
        <v>0</v>
      </c>
      <c r="B164" s="81"/>
      <c r="C164" s="81"/>
      <c r="D164" s="81"/>
      <c r="E164" s="139"/>
      <c r="F164" s="139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</row>
    <row r="165" spans="1:48" ht="15.75" hidden="1" customHeight="1" x14ac:dyDescent="0.25">
      <c r="A165" s="81">
        <v>0</v>
      </c>
      <c r="B165" s="81"/>
      <c r="C165" s="81"/>
      <c r="D165" s="81"/>
      <c r="E165" s="139"/>
      <c r="F165" s="139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</row>
    <row r="166" spans="1:48" ht="15.75" hidden="1" customHeight="1" x14ac:dyDescent="0.25">
      <c r="A166" s="81">
        <v>0</v>
      </c>
      <c r="B166" s="81"/>
      <c r="C166" s="81"/>
      <c r="D166" s="81"/>
      <c r="E166" s="139"/>
      <c r="F166" s="139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</row>
    <row r="167" spans="1:48" ht="15.75" hidden="1" customHeight="1" x14ac:dyDescent="0.25">
      <c r="A167" s="81"/>
      <c r="B167" s="184"/>
      <c r="C167" s="184"/>
      <c r="D167" s="184"/>
      <c r="E167" s="185"/>
      <c r="F167" s="185"/>
      <c r="G167" s="184"/>
      <c r="H167" s="184"/>
      <c r="I167" s="184"/>
      <c r="J167" s="184"/>
      <c r="K167" s="184"/>
      <c r="L167" s="184"/>
      <c r="M167" s="184"/>
      <c r="N167" s="185"/>
      <c r="O167" s="185"/>
      <c r="P167" s="184"/>
      <c r="Q167" s="184"/>
      <c r="R167" s="184"/>
      <c r="S167" s="184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7"/>
      <c r="AH167" s="186"/>
      <c r="AI167" s="187"/>
      <c r="AJ167" s="186"/>
      <c r="AK167" s="187"/>
      <c r="AL167" s="186"/>
      <c r="AM167" s="187"/>
      <c r="AN167" s="187"/>
      <c r="AO167" s="187"/>
      <c r="AP167" s="187"/>
      <c r="AQ167" s="187"/>
      <c r="AR167" s="187"/>
      <c r="AS167" s="187"/>
      <c r="AT167" s="187"/>
      <c r="AU167" s="187"/>
      <c r="AV167" s="187"/>
    </row>
    <row r="168" spans="1:48" ht="15.75" hidden="1" customHeight="1" x14ac:dyDescent="0.25">
      <c r="AE168" s="81"/>
      <c r="AF168" s="81"/>
    </row>
    <row r="169" spans="1:48" ht="15.75" customHeight="1" x14ac:dyDescent="0.25">
      <c r="A169" s="81">
        <v>1</v>
      </c>
      <c r="B169" s="81" t="str">
        <f ca="1">IFERROR(__xludf.DUMMYFUNCTION("IMPORTRANGE(""https://docs.google.com/spreadsheets/d/1Fod4yr9FI8dVs-Bk01N69jUQZoAlFrDce09W5of978A/edit#"",""EHA!A2:AK50"")"),"#REF!")</f>
        <v>#REF!</v>
      </c>
      <c r="C169" s="81"/>
      <c r="D169" s="81"/>
      <c r="E169" s="81"/>
      <c r="F169" s="139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00"/>
      <c r="AH169" s="145"/>
      <c r="AI169" s="100"/>
      <c r="AJ169" s="145"/>
      <c r="AK169" s="100"/>
      <c r="AL169" s="145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</row>
    <row r="170" spans="1:48" ht="15.75" customHeight="1" x14ac:dyDescent="0.25">
      <c r="A170" s="81">
        <v>1</v>
      </c>
      <c r="B170" s="81"/>
      <c r="C170" s="81"/>
      <c r="D170" s="81"/>
      <c r="E170" s="81"/>
      <c r="F170" s="139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00"/>
      <c r="AH170" s="145"/>
      <c r="AI170" s="100"/>
      <c r="AJ170" s="145"/>
      <c r="AK170" s="100"/>
      <c r="AL170" s="145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</row>
    <row r="171" spans="1:48" ht="15.75" customHeight="1" x14ac:dyDescent="0.25">
      <c r="A171" s="81">
        <v>1</v>
      </c>
      <c r="B171" s="81"/>
      <c r="C171" s="81"/>
      <c r="D171" s="81"/>
      <c r="E171" s="81"/>
      <c r="F171" s="139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139"/>
      <c r="U171" s="139"/>
      <c r="V171" s="81"/>
      <c r="W171" s="81"/>
      <c r="X171" s="139"/>
      <c r="Y171" s="81"/>
      <c r="Z171" s="81"/>
      <c r="AA171" s="139"/>
      <c r="AB171" s="81"/>
      <c r="AC171" s="139"/>
      <c r="AD171" s="81"/>
      <c r="AE171" s="139"/>
      <c r="AF171" s="81"/>
      <c r="AG171" s="100"/>
      <c r="AH171" s="145"/>
      <c r="AI171" s="100"/>
      <c r="AJ171" s="145"/>
      <c r="AK171" s="100"/>
      <c r="AL171" s="145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</row>
    <row r="172" spans="1:48" ht="15.75" hidden="1" customHeight="1" x14ac:dyDescent="0.25">
      <c r="A172" s="81">
        <v>0</v>
      </c>
      <c r="B172" s="81"/>
      <c r="C172" s="81"/>
      <c r="D172" s="81"/>
      <c r="E172" s="81"/>
      <c r="F172" s="139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139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</row>
    <row r="173" spans="1:48" ht="15.75" hidden="1" customHeight="1" x14ac:dyDescent="0.25">
      <c r="A173" s="81">
        <v>0</v>
      </c>
      <c r="B173" s="81"/>
      <c r="C173" s="81"/>
      <c r="D173" s="81"/>
      <c r="E173" s="81"/>
      <c r="F173" s="139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139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</row>
    <row r="174" spans="1:48" ht="15.75" hidden="1" customHeight="1" x14ac:dyDescent="0.25">
      <c r="A174" s="81">
        <v>0</v>
      </c>
      <c r="B174" s="81"/>
      <c r="C174" s="81"/>
      <c r="D174" s="81"/>
      <c r="E174" s="81"/>
      <c r="F174" s="139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139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</row>
    <row r="175" spans="1:48" ht="15.75" hidden="1" customHeight="1" x14ac:dyDescent="0.25">
      <c r="A175" s="81">
        <v>0</v>
      </c>
      <c r="B175" s="81"/>
      <c r="C175" s="81"/>
      <c r="D175" s="81"/>
      <c r="E175" s="81"/>
      <c r="F175" s="139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139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</row>
    <row r="176" spans="1:48" ht="15.75" hidden="1" customHeight="1" x14ac:dyDescent="0.25">
      <c r="A176" s="81">
        <v>0</v>
      </c>
      <c r="B176" s="81"/>
      <c r="C176" s="81"/>
      <c r="D176" s="81"/>
      <c r="E176" s="81"/>
      <c r="F176" s="139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139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</row>
    <row r="177" spans="1:48" ht="15.75" hidden="1" customHeight="1" x14ac:dyDescent="0.25">
      <c r="A177" s="81">
        <v>0</v>
      </c>
      <c r="B177" s="81"/>
      <c r="C177" s="81"/>
      <c r="D177" s="81"/>
      <c r="E177" s="81"/>
      <c r="F177" s="139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</row>
    <row r="178" spans="1:48" ht="15.75" hidden="1" customHeight="1" x14ac:dyDescent="0.25">
      <c r="A178" s="81">
        <v>0</v>
      </c>
      <c r="B178" s="81"/>
      <c r="C178" s="81"/>
      <c r="D178" s="81"/>
      <c r="E178" s="81"/>
      <c r="F178" s="139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</row>
    <row r="179" spans="1:48" ht="15.75" hidden="1" customHeight="1" x14ac:dyDescent="0.25">
      <c r="A179" s="81">
        <v>0</v>
      </c>
      <c r="B179" s="81"/>
      <c r="C179" s="81"/>
      <c r="D179" s="81"/>
      <c r="E179" s="81"/>
      <c r="F179" s="139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</row>
    <row r="180" spans="1:48" ht="15.75" hidden="1" customHeight="1" x14ac:dyDescent="0.25">
      <c r="A180" s="81">
        <v>0</v>
      </c>
      <c r="B180" s="81"/>
      <c r="C180" s="81"/>
      <c r="D180" s="81"/>
      <c r="E180" s="81"/>
      <c r="F180" s="139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</row>
    <row r="181" spans="1:48" ht="15.75" hidden="1" customHeight="1" x14ac:dyDescent="0.25">
      <c r="A181" s="81">
        <v>0</v>
      </c>
      <c r="B181" s="81"/>
      <c r="C181" s="81"/>
      <c r="D181" s="81"/>
      <c r="E181" s="81"/>
      <c r="F181" s="139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</row>
    <row r="182" spans="1:48" ht="15.75" hidden="1" customHeight="1" x14ac:dyDescent="0.25">
      <c r="A182" s="81">
        <v>0</v>
      </c>
      <c r="B182" s="81"/>
      <c r="C182" s="81"/>
      <c r="D182" s="81"/>
      <c r="E182" s="81"/>
      <c r="F182" s="139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</row>
    <row r="183" spans="1:48" ht="15.75" hidden="1" customHeight="1" x14ac:dyDescent="0.25">
      <c r="A183" s="81"/>
      <c r="B183" s="184"/>
      <c r="C183" s="184"/>
      <c r="D183" s="184"/>
      <c r="E183" s="185"/>
      <c r="F183" s="185"/>
      <c r="G183" s="184"/>
      <c r="H183" s="184"/>
      <c r="I183" s="184"/>
      <c r="J183" s="184"/>
      <c r="K183" s="184"/>
      <c r="L183" s="184"/>
      <c r="M183" s="184"/>
      <c r="N183" s="185"/>
      <c r="O183" s="185"/>
      <c r="P183" s="184"/>
      <c r="Q183" s="184"/>
      <c r="R183" s="184"/>
      <c r="S183" s="184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7"/>
      <c r="AH183" s="186"/>
      <c r="AI183" s="187"/>
      <c r="AJ183" s="186"/>
      <c r="AK183" s="187"/>
      <c r="AL183" s="186"/>
      <c r="AM183" s="187"/>
      <c r="AN183" s="187"/>
      <c r="AO183" s="187"/>
      <c r="AP183" s="187"/>
      <c r="AQ183" s="187"/>
      <c r="AR183" s="187"/>
      <c r="AS183" s="187"/>
      <c r="AT183" s="187"/>
      <c r="AU183" s="187"/>
      <c r="AV183" s="187"/>
    </row>
    <row r="184" spans="1:48" ht="15.75" hidden="1" customHeight="1" x14ac:dyDescent="0.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</row>
    <row r="185" spans="1:48" ht="15.75" hidden="1" customHeight="1" x14ac:dyDescent="0.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</row>
    <row r="186" spans="1:48" ht="15.75" hidden="1" customHeight="1" x14ac:dyDescent="0.25">
      <c r="A186" s="81">
        <v>0</v>
      </c>
      <c r="B186" s="81"/>
      <c r="C186" s="81"/>
      <c r="D186" s="81"/>
      <c r="E186" s="139"/>
      <c r="F186" s="139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</row>
    <row r="187" spans="1:48" ht="15.75" hidden="1" customHeight="1" x14ac:dyDescent="0.25">
      <c r="A187" s="81">
        <v>0</v>
      </c>
      <c r="B187" s="81"/>
      <c r="C187" s="81"/>
      <c r="D187" s="81"/>
      <c r="E187" s="139"/>
      <c r="F187" s="139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</row>
    <row r="188" spans="1:48" ht="15.75" hidden="1" customHeight="1" x14ac:dyDescent="0.25">
      <c r="A188" s="81">
        <v>0</v>
      </c>
      <c r="B188" s="81"/>
      <c r="C188" s="81"/>
      <c r="D188" s="81"/>
      <c r="E188" s="139"/>
      <c r="F188" s="139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</row>
    <row r="189" spans="1:48" ht="15.75" hidden="1" customHeight="1" x14ac:dyDescent="0.25">
      <c r="A189" s="81">
        <v>0</v>
      </c>
      <c r="B189" s="81"/>
      <c r="C189" s="81"/>
      <c r="D189" s="81"/>
      <c r="E189" s="139"/>
      <c r="F189" s="139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</row>
    <row r="190" spans="1:48" ht="15.75" hidden="1" customHeight="1" x14ac:dyDescent="0.25">
      <c r="A190" s="81">
        <v>0</v>
      </c>
      <c r="B190" s="81"/>
      <c r="C190" s="81"/>
      <c r="D190" s="81"/>
      <c r="E190" s="139"/>
      <c r="F190" s="139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</row>
    <row r="191" spans="1:48" ht="15.75" hidden="1" customHeight="1" x14ac:dyDescent="0.25">
      <c r="A191" s="81">
        <v>0</v>
      </c>
      <c r="B191" s="81"/>
      <c r="C191" s="81"/>
      <c r="D191" s="81"/>
      <c r="E191" s="139"/>
      <c r="F191" s="139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</row>
    <row r="192" spans="1:48" ht="15.75" hidden="1" customHeight="1" x14ac:dyDescent="0.25">
      <c r="A192" s="81">
        <v>0</v>
      </c>
      <c r="B192" s="81"/>
      <c r="C192" s="81"/>
      <c r="D192" s="81"/>
      <c r="E192" s="139"/>
      <c r="F192" s="139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</row>
    <row r="193" spans="1:48" ht="15.75" hidden="1" customHeight="1" x14ac:dyDescent="0.25">
      <c r="A193" s="81">
        <v>0</v>
      </c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</row>
    <row r="194" spans="1:48" ht="15.75" hidden="1" customHeight="1" x14ac:dyDescent="0.25">
      <c r="A194" s="81">
        <v>0</v>
      </c>
      <c r="B194" s="81"/>
      <c r="C194" s="81"/>
      <c r="D194" s="81"/>
      <c r="E194" s="139"/>
      <c r="F194" s="139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</row>
    <row r="195" spans="1:48" ht="15.75" hidden="1" customHeight="1" x14ac:dyDescent="0.25">
      <c r="A195" s="81">
        <v>0</v>
      </c>
      <c r="B195" s="81"/>
      <c r="C195" s="81"/>
      <c r="D195" s="81"/>
      <c r="E195" s="139"/>
      <c r="F195" s="139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</row>
    <row r="196" spans="1:48" ht="15.75" hidden="1" customHeight="1" x14ac:dyDescent="0.25">
      <c r="A196" s="81">
        <v>0</v>
      </c>
      <c r="B196" s="81"/>
      <c r="C196" s="81"/>
      <c r="D196" s="81"/>
      <c r="E196" s="139"/>
      <c r="F196" s="139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</row>
    <row r="197" spans="1:48" ht="15.75" hidden="1" customHeight="1" x14ac:dyDescent="0.25">
      <c r="A197" s="81">
        <v>0</v>
      </c>
      <c r="B197" s="81"/>
      <c r="C197" s="81"/>
      <c r="D197" s="81"/>
      <c r="E197" s="139"/>
      <c r="F197" s="139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</row>
    <row r="198" spans="1:48" ht="15.75" hidden="1" customHeight="1" x14ac:dyDescent="0.25">
      <c r="A198" s="81">
        <v>0</v>
      </c>
      <c r="B198" s="81"/>
      <c r="C198" s="81"/>
      <c r="D198" s="81"/>
      <c r="E198" s="139"/>
      <c r="F198" s="139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</row>
    <row r="199" spans="1:48" ht="15.75" hidden="1" customHeight="1" x14ac:dyDescent="0.25">
      <c r="A199" s="81">
        <v>0</v>
      </c>
      <c r="B199" s="81"/>
      <c r="C199" s="81"/>
      <c r="D199" s="81"/>
      <c r="E199" s="139"/>
      <c r="F199" s="139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</row>
    <row r="200" spans="1:48" ht="15.75" hidden="1" customHeight="1" x14ac:dyDescent="0.25">
      <c r="A200" s="81"/>
      <c r="B200" s="184"/>
      <c r="C200" s="184"/>
      <c r="D200" s="184"/>
      <c r="E200" s="185"/>
      <c r="F200" s="185"/>
      <c r="G200" s="184"/>
      <c r="H200" s="184"/>
      <c r="I200" s="184"/>
      <c r="J200" s="184"/>
      <c r="K200" s="184"/>
      <c r="L200" s="184"/>
      <c r="M200" s="184"/>
      <c r="N200" s="185"/>
      <c r="O200" s="185"/>
      <c r="P200" s="184"/>
      <c r="Q200" s="184"/>
      <c r="R200" s="184"/>
      <c r="S200" s="184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7"/>
      <c r="AH200" s="186"/>
      <c r="AI200" s="187"/>
      <c r="AJ200" s="186"/>
      <c r="AK200" s="187"/>
      <c r="AL200" s="186"/>
      <c r="AM200" s="187"/>
      <c r="AN200" s="187"/>
      <c r="AO200" s="187"/>
      <c r="AP200" s="187"/>
      <c r="AQ200" s="187"/>
      <c r="AR200" s="187"/>
      <c r="AS200" s="187"/>
      <c r="AT200" s="187"/>
      <c r="AU200" s="187"/>
      <c r="AV200" s="187"/>
    </row>
    <row r="201" spans="1:48" ht="15.75" hidden="1" customHeight="1" x14ac:dyDescent="0.2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</row>
    <row r="202" spans="1:48" ht="15.75" hidden="1" customHeight="1" x14ac:dyDescent="0.2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</row>
    <row r="203" spans="1:48" ht="15.75" hidden="1" customHeight="1" x14ac:dyDescent="0.25">
      <c r="A203" s="81">
        <v>0</v>
      </c>
      <c r="B203" s="81"/>
      <c r="C203" s="81"/>
      <c r="D203" s="81"/>
      <c r="E203" s="139"/>
      <c r="F203" s="139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</row>
    <row r="204" spans="1:48" ht="15.75" hidden="1" customHeight="1" x14ac:dyDescent="0.25">
      <c r="A204" s="81">
        <v>0</v>
      </c>
      <c r="B204" s="81"/>
      <c r="C204" s="81"/>
      <c r="D204" s="81"/>
      <c r="E204" s="139"/>
      <c r="F204" s="139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</row>
    <row r="205" spans="1:48" ht="15.75" hidden="1" customHeight="1" x14ac:dyDescent="0.25">
      <c r="A205" s="81">
        <v>0</v>
      </c>
      <c r="B205" s="81"/>
      <c r="C205" s="81"/>
      <c r="D205" s="81"/>
      <c r="E205" s="139"/>
      <c r="F205" s="139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</row>
    <row r="206" spans="1:48" ht="15.75" hidden="1" customHeight="1" x14ac:dyDescent="0.25">
      <c r="A206" s="81">
        <v>0</v>
      </c>
      <c r="B206" s="81"/>
      <c r="C206" s="81"/>
      <c r="D206" s="81"/>
      <c r="E206" s="139"/>
      <c r="F206" s="139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</row>
    <row r="207" spans="1:48" ht="15.75" hidden="1" customHeight="1" x14ac:dyDescent="0.25">
      <c r="A207" s="81">
        <v>0</v>
      </c>
      <c r="B207" s="81"/>
      <c r="C207" s="81"/>
      <c r="D207" s="81"/>
      <c r="E207" s="139"/>
      <c r="F207" s="139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</row>
    <row r="208" spans="1:48" ht="15.75" hidden="1" customHeight="1" x14ac:dyDescent="0.25">
      <c r="A208" s="81">
        <v>0</v>
      </c>
      <c r="B208" s="81"/>
      <c r="C208" s="81"/>
      <c r="D208" s="81"/>
      <c r="E208" s="139"/>
      <c r="F208" s="139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</row>
    <row r="209" spans="1:48" ht="15.75" hidden="1" customHeight="1" x14ac:dyDescent="0.25">
      <c r="A209" s="81">
        <v>0</v>
      </c>
      <c r="B209" s="81"/>
      <c r="C209" s="81"/>
      <c r="D209" s="81"/>
      <c r="E209" s="139"/>
      <c r="F209" s="139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</row>
    <row r="210" spans="1:48" ht="15.75" hidden="1" customHeight="1" x14ac:dyDescent="0.25">
      <c r="A210" s="81">
        <v>0</v>
      </c>
      <c r="B210" s="81"/>
      <c r="C210" s="81"/>
      <c r="D210" s="81"/>
      <c r="E210" s="139"/>
      <c r="F210" s="139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</row>
    <row r="211" spans="1:48" ht="15.75" hidden="1" customHeight="1" x14ac:dyDescent="0.25">
      <c r="A211" s="81">
        <v>0</v>
      </c>
      <c r="B211" s="81"/>
      <c r="C211" s="81"/>
      <c r="D211" s="81"/>
      <c r="E211" s="139"/>
      <c r="F211" s="139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</row>
    <row r="212" spans="1:48" ht="15.75" hidden="1" customHeight="1" x14ac:dyDescent="0.25">
      <c r="A212" s="81">
        <v>0</v>
      </c>
      <c r="B212" s="81"/>
      <c r="C212" s="81"/>
      <c r="D212" s="81"/>
      <c r="E212" s="139"/>
      <c r="F212" s="139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</row>
    <row r="213" spans="1:48" ht="15.75" hidden="1" customHeight="1" x14ac:dyDescent="0.25">
      <c r="A213" s="81">
        <v>0</v>
      </c>
      <c r="B213" s="81"/>
      <c r="C213" s="81"/>
      <c r="D213" s="81"/>
      <c r="E213" s="139"/>
      <c r="F213" s="139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</row>
    <row r="214" spans="1:48" ht="15.75" hidden="1" customHeight="1" x14ac:dyDescent="0.25">
      <c r="A214" s="81">
        <v>0</v>
      </c>
      <c r="B214" s="81"/>
      <c r="C214" s="81"/>
      <c r="D214" s="81"/>
      <c r="E214" s="139"/>
      <c r="F214" s="139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</row>
    <row r="215" spans="1:48" ht="15.75" hidden="1" customHeight="1" x14ac:dyDescent="0.25">
      <c r="A215" s="81">
        <v>0</v>
      </c>
      <c r="B215" s="81"/>
      <c r="C215" s="81"/>
      <c r="D215" s="81"/>
      <c r="E215" s="139"/>
      <c r="F215" s="139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</row>
    <row r="216" spans="1:48" ht="15.75" hidden="1" customHeight="1" x14ac:dyDescent="0.25">
      <c r="A216" s="81">
        <v>0</v>
      </c>
      <c r="B216" s="81"/>
      <c r="C216" s="81"/>
      <c r="D216" s="81"/>
      <c r="E216" s="139"/>
      <c r="F216" s="139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</row>
    <row r="217" spans="1:48" ht="15.75" hidden="1" customHeight="1" x14ac:dyDescent="0.25">
      <c r="A217" s="81"/>
      <c r="B217" s="184"/>
      <c r="C217" s="184"/>
      <c r="D217" s="184"/>
      <c r="E217" s="185"/>
      <c r="F217" s="185"/>
      <c r="G217" s="184"/>
      <c r="H217" s="184"/>
      <c r="I217" s="184"/>
      <c r="J217" s="184"/>
      <c r="K217" s="184"/>
      <c r="L217" s="184"/>
      <c r="M217" s="184"/>
      <c r="N217" s="185"/>
      <c r="O217" s="185"/>
      <c r="P217" s="184"/>
      <c r="Q217" s="184"/>
      <c r="R217" s="184"/>
      <c r="S217" s="184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7"/>
      <c r="AH217" s="186"/>
      <c r="AI217" s="187"/>
      <c r="AJ217" s="186"/>
      <c r="AK217" s="187"/>
      <c r="AL217" s="186"/>
      <c r="AM217" s="187"/>
      <c r="AN217" s="187"/>
      <c r="AO217" s="187"/>
      <c r="AP217" s="187"/>
      <c r="AQ217" s="187"/>
      <c r="AR217" s="187"/>
      <c r="AS217" s="187"/>
      <c r="AT217" s="187"/>
      <c r="AU217" s="187"/>
      <c r="AV217" s="187"/>
    </row>
    <row r="218" spans="1:48" ht="15.75" hidden="1" customHeight="1" x14ac:dyDescent="0.25">
      <c r="AE218" s="81"/>
      <c r="AF218" s="81"/>
    </row>
    <row r="219" spans="1:48" ht="15.75" customHeight="1" x14ac:dyDescent="0.25">
      <c r="A219" s="81">
        <v>1</v>
      </c>
      <c r="B219" s="81" t="str">
        <f ca="1">IFERROR(__xludf.DUMMYFUNCTION("IMPORTRANGE(""https://docs.google.com/spreadsheets/d/12IeLWzd43OWNK3wlo_6vf-DDBhFYiQxfjcY_qaYPMx8/edit#"",""EHA!A2:AK50"")"),"#REF!")</f>
        <v>#REF!</v>
      </c>
      <c r="C219" s="81"/>
      <c r="D219" s="81"/>
      <c r="E219" s="81"/>
      <c r="F219" s="139"/>
      <c r="G219" s="81"/>
      <c r="H219" s="81"/>
      <c r="I219" s="234"/>
      <c r="J219" s="139"/>
      <c r="K219" s="139"/>
      <c r="L219" s="139"/>
      <c r="M219" s="189"/>
      <c r="N219" s="139"/>
      <c r="O219" s="139"/>
      <c r="P219" s="81"/>
      <c r="Q219" s="81"/>
      <c r="R219" s="81"/>
      <c r="S219" s="81"/>
      <c r="T219" s="235"/>
      <c r="U219" s="81"/>
      <c r="V219" s="81"/>
      <c r="W219" s="81"/>
      <c r="X219" s="188"/>
      <c r="Y219" s="188"/>
      <c r="Z219" s="188"/>
      <c r="AA219" s="188"/>
      <c r="AB219" s="139"/>
      <c r="AC219" s="139"/>
      <c r="AD219" s="139"/>
      <c r="AE219" s="139"/>
      <c r="AF219" s="139"/>
      <c r="AG219" s="100"/>
      <c r="AH219" s="145"/>
      <c r="AI219" s="100"/>
      <c r="AJ219" s="145"/>
      <c r="AK219" s="100"/>
      <c r="AL219" s="145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</row>
    <row r="220" spans="1:48" ht="15.75" hidden="1" customHeight="1" x14ac:dyDescent="0.25">
      <c r="A220" s="81">
        <v>0</v>
      </c>
      <c r="B220" s="81"/>
      <c r="C220" s="81"/>
      <c r="D220" s="81"/>
      <c r="E220" s="81"/>
      <c r="F220" s="139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</row>
    <row r="221" spans="1:48" ht="15.75" hidden="1" customHeight="1" x14ac:dyDescent="0.25">
      <c r="A221" s="81">
        <v>0</v>
      </c>
      <c r="B221" s="81"/>
      <c r="C221" s="81"/>
      <c r="D221" s="81"/>
      <c r="E221" s="81"/>
      <c r="F221" s="139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</row>
    <row r="222" spans="1:48" ht="15.75" hidden="1" customHeight="1" x14ac:dyDescent="0.25">
      <c r="A222" s="81">
        <v>0</v>
      </c>
      <c r="B222" s="81"/>
      <c r="C222" s="81"/>
      <c r="D222" s="81"/>
      <c r="E222" s="81"/>
      <c r="F222" s="139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</row>
    <row r="223" spans="1:48" ht="15.75" hidden="1" customHeight="1" x14ac:dyDescent="0.25">
      <c r="A223" s="81">
        <v>0</v>
      </c>
      <c r="B223" s="81"/>
      <c r="C223" s="81"/>
      <c r="D223" s="81"/>
      <c r="E223" s="81"/>
      <c r="F223" s="139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</row>
    <row r="224" spans="1:48" ht="15.75" hidden="1" customHeight="1" x14ac:dyDescent="0.25">
      <c r="A224" s="81">
        <v>0</v>
      </c>
      <c r="B224" s="81"/>
      <c r="C224" s="81"/>
      <c r="D224" s="81"/>
      <c r="E224" s="81"/>
      <c r="F224" s="139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</row>
    <row r="225" spans="1:48" ht="15.75" hidden="1" customHeight="1" x14ac:dyDescent="0.25">
      <c r="A225" s="81">
        <v>0</v>
      </c>
      <c r="B225" s="81"/>
      <c r="C225" s="81"/>
      <c r="D225" s="81"/>
      <c r="E225" s="81"/>
      <c r="F225" s="139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</row>
    <row r="226" spans="1:48" ht="15.75" hidden="1" customHeight="1" x14ac:dyDescent="0.25">
      <c r="A226" s="81">
        <v>0</v>
      </c>
      <c r="B226" s="81"/>
      <c r="C226" s="81"/>
      <c r="D226" s="81"/>
      <c r="E226" s="81"/>
      <c r="F226" s="139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</row>
    <row r="227" spans="1:48" ht="15.75" hidden="1" customHeight="1" x14ac:dyDescent="0.25">
      <c r="A227" s="81">
        <v>0</v>
      </c>
      <c r="B227" s="81"/>
      <c r="C227" s="81"/>
      <c r="D227" s="81"/>
      <c r="E227" s="81"/>
      <c r="F227" s="139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</row>
    <row r="228" spans="1:48" ht="15.75" hidden="1" customHeight="1" x14ac:dyDescent="0.25">
      <c r="A228" s="81">
        <v>0</v>
      </c>
      <c r="B228" s="81"/>
      <c r="C228" s="81"/>
      <c r="D228" s="81"/>
      <c r="E228" s="81"/>
      <c r="F228" s="139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</row>
    <row r="229" spans="1:48" ht="15.75" hidden="1" customHeight="1" x14ac:dyDescent="0.25">
      <c r="A229" s="81">
        <v>0</v>
      </c>
      <c r="B229" s="81"/>
      <c r="C229" s="81"/>
      <c r="D229" s="81"/>
      <c r="E229" s="81"/>
      <c r="F229" s="139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</row>
    <row r="230" spans="1:48" ht="15.75" hidden="1" customHeight="1" x14ac:dyDescent="0.25">
      <c r="A230" s="81">
        <v>0</v>
      </c>
      <c r="B230" s="81"/>
      <c r="C230" s="81"/>
      <c r="D230" s="81"/>
      <c r="E230" s="81"/>
      <c r="F230" s="139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</row>
    <row r="231" spans="1:48" ht="15.75" hidden="1" customHeight="1" x14ac:dyDescent="0.25">
      <c r="A231" s="81">
        <v>0</v>
      </c>
      <c r="B231" s="81"/>
      <c r="C231" s="81"/>
      <c r="D231" s="81"/>
      <c r="E231" s="81"/>
      <c r="F231" s="139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</row>
    <row r="232" spans="1:48" ht="15.75" hidden="1" customHeight="1" x14ac:dyDescent="0.25">
      <c r="A232" s="81">
        <v>0</v>
      </c>
      <c r="B232" s="81"/>
      <c r="C232" s="81"/>
      <c r="D232" s="81"/>
      <c r="E232" s="81"/>
      <c r="F232" s="139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</row>
    <row r="233" spans="1:48" ht="15.75" hidden="1" customHeight="1" x14ac:dyDescent="0.25">
      <c r="A233" s="81"/>
      <c r="B233" s="184"/>
      <c r="C233" s="184"/>
      <c r="D233" s="184"/>
      <c r="E233" s="185"/>
      <c r="F233" s="185"/>
      <c r="G233" s="184"/>
      <c r="H233" s="184"/>
      <c r="I233" s="184"/>
      <c r="J233" s="184"/>
      <c r="K233" s="184"/>
      <c r="L233" s="184"/>
      <c r="M233" s="184"/>
      <c r="N233" s="185"/>
      <c r="O233" s="185"/>
      <c r="P233" s="184"/>
      <c r="Q233" s="184"/>
      <c r="R233" s="184"/>
      <c r="S233" s="184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7"/>
      <c r="AH233" s="186"/>
      <c r="AI233" s="187"/>
      <c r="AJ233" s="186"/>
      <c r="AK233" s="187"/>
      <c r="AL233" s="186"/>
      <c r="AM233" s="187"/>
      <c r="AN233" s="187"/>
      <c r="AO233" s="187"/>
      <c r="AP233" s="187"/>
      <c r="AQ233" s="187"/>
      <c r="AR233" s="187"/>
      <c r="AS233" s="187"/>
      <c r="AT233" s="187"/>
      <c r="AU233" s="187"/>
      <c r="AV233" s="187"/>
    </row>
    <row r="234" spans="1:48" ht="15.75" hidden="1" customHeight="1" x14ac:dyDescent="0.2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</row>
    <row r="235" spans="1:48" ht="15.75" hidden="1" customHeight="1" x14ac:dyDescent="0.2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</row>
    <row r="236" spans="1:48" ht="15.75" hidden="1" customHeight="1" x14ac:dyDescent="0.25">
      <c r="A236" s="81">
        <v>0</v>
      </c>
      <c r="B236" s="81"/>
      <c r="C236" s="81"/>
      <c r="D236" s="81"/>
      <c r="E236" s="139"/>
      <c r="F236" s="139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</row>
    <row r="237" spans="1:48" ht="15.75" hidden="1" customHeight="1" x14ac:dyDescent="0.25">
      <c r="A237" s="81">
        <v>0</v>
      </c>
      <c r="B237" s="81"/>
      <c r="C237" s="81"/>
      <c r="D237" s="81"/>
      <c r="E237" s="139"/>
      <c r="F237" s="139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</row>
    <row r="238" spans="1:48" ht="15.75" hidden="1" customHeight="1" x14ac:dyDescent="0.25">
      <c r="A238" s="81">
        <v>0</v>
      </c>
      <c r="B238" s="81"/>
      <c r="C238" s="81"/>
      <c r="D238" s="81"/>
      <c r="E238" s="139"/>
      <c r="F238" s="139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</row>
    <row r="239" spans="1:48" ht="15.75" hidden="1" customHeight="1" x14ac:dyDescent="0.25">
      <c r="A239" s="81">
        <v>0</v>
      </c>
      <c r="B239" s="81"/>
      <c r="C239" s="81"/>
      <c r="D239" s="81"/>
      <c r="E239" s="139"/>
      <c r="F239" s="139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</row>
    <row r="240" spans="1:48" ht="15.75" hidden="1" customHeight="1" x14ac:dyDescent="0.25">
      <c r="A240" s="81">
        <v>0</v>
      </c>
      <c r="B240" s="81"/>
      <c r="C240" s="81"/>
      <c r="D240" s="81"/>
      <c r="E240" s="139"/>
      <c r="F240" s="139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</row>
    <row r="241" spans="1:48" ht="15.75" hidden="1" customHeight="1" x14ac:dyDescent="0.25">
      <c r="A241" s="81">
        <v>0</v>
      </c>
      <c r="B241" s="81"/>
      <c r="C241" s="81"/>
      <c r="D241" s="81"/>
      <c r="E241" s="139"/>
      <c r="F241" s="139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</row>
    <row r="242" spans="1:48" ht="15.75" hidden="1" customHeight="1" x14ac:dyDescent="0.25">
      <c r="A242" s="81">
        <v>0</v>
      </c>
      <c r="B242" s="81"/>
      <c r="C242" s="81"/>
      <c r="D242" s="81"/>
      <c r="E242" s="139"/>
      <c r="F242" s="139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</row>
    <row r="243" spans="1:48" ht="15.75" hidden="1" customHeight="1" x14ac:dyDescent="0.25">
      <c r="A243" s="81">
        <v>0</v>
      </c>
      <c r="B243" s="81"/>
      <c r="C243" s="81"/>
      <c r="D243" s="81"/>
      <c r="E243" s="139"/>
      <c r="F243" s="139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</row>
    <row r="244" spans="1:48" ht="15.75" hidden="1" customHeight="1" x14ac:dyDescent="0.25">
      <c r="A244" s="81">
        <v>0</v>
      </c>
      <c r="B244" s="81"/>
      <c r="C244" s="81"/>
      <c r="D244" s="81"/>
      <c r="E244" s="139"/>
      <c r="F244" s="139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</row>
    <row r="245" spans="1:48" ht="15.75" hidden="1" customHeight="1" x14ac:dyDescent="0.25">
      <c r="A245" s="81">
        <v>0</v>
      </c>
      <c r="B245" s="81"/>
      <c r="C245" s="81"/>
      <c r="D245" s="81"/>
      <c r="E245" s="139"/>
      <c r="F245" s="139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</row>
    <row r="246" spans="1:48" ht="15.75" hidden="1" customHeight="1" x14ac:dyDescent="0.25">
      <c r="A246" s="81">
        <v>0</v>
      </c>
      <c r="B246" s="81"/>
      <c r="C246" s="81"/>
      <c r="D246" s="81"/>
      <c r="E246" s="139"/>
      <c r="F246" s="139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</row>
    <row r="247" spans="1:48" ht="15.75" hidden="1" customHeight="1" x14ac:dyDescent="0.25">
      <c r="A247" s="81">
        <v>0</v>
      </c>
      <c r="B247" s="81"/>
      <c r="C247" s="81"/>
      <c r="D247" s="81"/>
      <c r="E247" s="139"/>
      <c r="F247" s="139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</row>
    <row r="248" spans="1:48" ht="15.75" hidden="1" customHeight="1" x14ac:dyDescent="0.25">
      <c r="A248" s="81">
        <v>0</v>
      </c>
      <c r="B248" s="81"/>
      <c r="C248" s="81"/>
      <c r="D248" s="81"/>
      <c r="E248" s="139"/>
      <c r="F248" s="139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</row>
    <row r="249" spans="1:48" ht="15.75" hidden="1" customHeight="1" x14ac:dyDescent="0.25">
      <c r="A249" s="81">
        <v>0</v>
      </c>
      <c r="B249" s="81"/>
      <c r="C249" s="81"/>
      <c r="D249" s="81"/>
      <c r="E249" s="139"/>
      <c r="F249" s="139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</row>
    <row r="250" spans="1:48" ht="15.75" hidden="1" customHeight="1" x14ac:dyDescent="0.25">
      <c r="A250" s="81"/>
      <c r="B250" s="184"/>
      <c r="C250" s="184"/>
      <c r="D250" s="184"/>
      <c r="E250" s="185"/>
      <c r="F250" s="185"/>
      <c r="G250" s="184"/>
      <c r="H250" s="184"/>
      <c r="I250" s="184"/>
      <c r="J250" s="184"/>
      <c r="K250" s="184"/>
      <c r="L250" s="184"/>
      <c r="M250" s="184"/>
      <c r="N250" s="185"/>
      <c r="O250" s="185"/>
      <c r="P250" s="184"/>
      <c r="Q250" s="184"/>
      <c r="R250" s="184"/>
      <c r="S250" s="184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7"/>
      <c r="AH250" s="186"/>
      <c r="AI250" s="187"/>
      <c r="AJ250" s="186"/>
      <c r="AK250" s="187"/>
      <c r="AL250" s="186"/>
      <c r="AM250" s="187"/>
      <c r="AN250" s="187"/>
      <c r="AO250" s="187"/>
      <c r="AP250" s="187"/>
      <c r="AQ250" s="187"/>
      <c r="AR250" s="187"/>
      <c r="AS250" s="187"/>
      <c r="AT250" s="187"/>
      <c r="AU250" s="187"/>
      <c r="AV250" s="187"/>
    </row>
    <row r="251" spans="1:48" ht="15.75" hidden="1" customHeight="1" x14ac:dyDescent="0.2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</row>
    <row r="252" spans="1:48" ht="15.75" hidden="1" customHeight="1" x14ac:dyDescent="0.2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</row>
    <row r="253" spans="1:48" ht="15.75" hidden="1" customHeight="1" x14ac:dyDescent="0.25">
      <c r="A253" s="81">
        <v>0</v>
      </c>
      <c r="B253" s="81"/>
      <c r="C253" s="81"/>
      <c r="D253" s="81"/>
      <c r="E253" s="139"/>
      <c r="F253" s="139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</row>
    <row r="254" spans="1:48" ht="15.75" hidden="1" customHeight="1" x14ac:dyDescent="0.25">
      <c r="A254" s="81">
        <v>0</v>
      </c>
      <c r="B254" s="81"/>
      <c r="C254" s="81"/>
      <c r="D254" s="81"/>
      <c r="E254" s="139"/>
      <c r="F254" s="139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</row>
    <row r="255" spans="1:48" ht="15.75" hidden="1" customHeight="1" x14ac:dyDescent="0.25">
      <c r="A255" s="81">
        <v>0</v>
      </c>
      <c r="B255" s="81"/>
      <c r="C255" s="81"/>
      <c r="D255" s="81"/>
      <c r="E255" s="139"/>
      <c r="F255" s="139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</row>
    <row r="256" spans="1:48" ht="15.75" hidden="1" customHeight="1" x14ac:dyDescent="0.25">
      <c r="A256" s="81">
        <v>0</v>
      </c>
      <c r="B256" s="81"/>
      <c r="C256" s="81"/>
      <c r="D256" s="81"/>
      <c r="E256" s="139"/>
      <c r="F256" s="139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</row>
    <row r="257" spans="1:48" ht="15.75" hidden="1" customHeight="1" x14ac:dyDescent="0.25">
      <c r="A257" s="81">
        <v>0</v>
      </c>
      <c r="B257" s="81"/>
      <c r="C257" s="81"/>
      <c r="D257" s="81"/>
      <c r="E257" s="139"/>
      <c r="F257" s="139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</row>
    <row r="258" spans="1:48" ht="15.75" hidden="1" customHeight="1" x14ac:dyDescent="0.25">
      <c r="A258" s="81">
        <v>0</v>
      </c>
      <c r="B258" s="81"/>
      <c r="C258" s="81"/>
      <c r="D258" s="81"/>
      <c r="E258" s="139"/>
      <c r="F258" s="139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</row>
    <row r="259" spans="1:48" ht="15.75" hidden="1" customHeight="1" x14ac:dyDescent="0.25">
      <c r="A259" s="81">
        <v>0</v>
      </c>
      <c r="B259" s="81"/>
      <c r="C259" s="81"/>
      <c r="D259" s="81"/>
      <c r="E259" s="139"/>
      <c r="F259" s="139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</row>
    <row r="260" spans="1:48" ht="15.75" hidden="1" customHeight="1" x14ac:dyDescent="0.25">
      <c r="A260" s="81">
        <v>0</v>
      </c>
      <c r="B260" s="81"/>
      <c r="C260" s="81"/>
      <c r="D260" s="81"/>
      <c r="E260" s="139"/>
      <c r="F260" s="139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</row>
    <row r="261" spans="1:48" ht="15.75" hidden="1" customHeight="1" x14ac:dyDescent="0.25">
      <c r="A261" s="81">
        <v>0</v>
      </c>
      <c r="B261" s="81"/>
      <c r="C261" s="81"/>
      <c r="D261" s="81"/>
      <c r="E261" s="139"/>
      <c r="F261" s="139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</row>
    <row r="262" spans="1:48" ht="15.75" hidden="1" customHeight="1" x14ac:dyDescent="0.25">
      <c r="A262" s="81">
        <v>0</v>
      </c>
      <c r="B262" s="81"/>
      <c r="C262" s="81"/>
      <c r="D262" s="81"/>
      <c r="E262" s="139"/>
      <c r="F262" s="139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</row>
    <row r="263" spans="1:48" ht="15.75" hidden="1" customHeight="1" x14ac:dyDescent="0.25">
      <c r="A263" s="81">
        <v>0</v>
      </c>
      <c r="B263" s="81"/>
      <c r="C263" s="81"/>
      <c r="D263" s="81"/>
      <c r="E263" s="139"/>
      <c r="F263" s="139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</row>
    <row r="264" spans="1:48" ht="15.75" hidden="1" customHeight="1" x14ac:dyDescent="0.25">
      <c r="A264" s="81">
        <v>0</v>
      </c>
      <c r="B264" s="81"/>
      <c r="C264" s="81"/>
      <c r="D264" s="81"/>
      <c r="E264" s="139"/>
      <c r="F264" s="139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</row>
    <row r="265" spans="1:48" ht="15.75" hidden="1" customHeight="1" x14ac:dyDescent="0.25">
      <c r="A265" s="81">
        <v>0</v>
      </c>
      <c r="B265" s="81"/>
      <c r="C265" s="81"/>
      <c r="D265" s="81"/>
      <c r="E265" s="139"/>
      <c r="F265" s="139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</row>
    <row r="266" spans="1:48" ht="15.75" hidden="1" customHeight="1" x14ac:dyDescent="0.25">
      <c r="A266" s="81">
        <v>0</v>
      </c>
      <c r="B266" s="81"/>
      <c r="C266" s="81"/>
      <c r="D266" s="81"/>
      <c r="E266" s="139"/>
      <c r="F266" s="139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</row>
    <row r="267" spans="1:48" ht="15.75" hidden="1" customHeight="1" x14ac:dyDescent="0.25">
      <c r="A267" s="81"/>
      <c r="B267" s="184"/>
      <c r="C267" s="184"/>
      <c r="D267" s="184"/>
      <c r="E267" s="185"/>
      <c r="F267" s="185"/>
      <c r="G267" s="184"/>
      <c r="H267" s="184"/>
      <c r="I267" s="184"/>
      <c r="J267" s="184"/>
      <c r="K267" s="184"/>
      <c r="L267" s="184"/>
      <c r="M267" s="184"/>
      <c r="N267" s="185"/>
      <c r="O267" s="185"/>
      <c r="P267" s="184"/>
      <c r="Q267" s="184"/>
      <c r="R267" s="184"/>
      <c r="S267" s="184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  <c r="AF267" s="185"/>
      <c r="AG267" s="187"/>
      <c r="AH267" s="186"/>
      <c r="AI267" s="187"/>
      <c r="AJ267" s="186"/>
      <c r="AK267" s="187"/>
      <c r="AL267" s="186"/>
      <c r="AM267" s="187"/>
      <c r="AN267" s="187"/>
      <c r="AO267" s="187"/>
      <c r="AP267" s="187"/>
      <c r="AQ267" s="187"/>
      <c r="AR267" s="187"/>
      <c r="AS267" s="187"/>
      <c r="AT267" s="187"/>
      <c r="AU267" s="187"/>
      <c r="AV267" s="187"/>
    </row>
    <row r="268" spans="1:48" ht="15.75" hidden="1" customHeight="1" x14ac:dyDescent="0.25">
      <c r="AE268" s="81"/>
      <c r="AF268" s="81"/>
    </row>
    <row r="269" spans="1:48" ht="15.75" hidden="1" customHeight="1" x14ac:dyDescent="0.25">
      <c r="A269" s="81">
        <v>0</v>
      </c>
      <c r="B269" s="81" t="str">
        <f ca="1">IFERROR(__xludf.DUMMYFUNCTION("IMPORTRANGE(""https://docs.google.com/spreadsheets/d/1a2hMOdv0A2vwBQkkqQn-IXhPgtWs-EpzGTDn70GaM7c/edit#"",""EHA!A2:AK50"")"),"#REF!")</f>
        <v>#REF!</v>
      </c>
      <c r="C269" s="81"/>
      <c r="D269" s="81"/>
      <c r="E269" s="81"/>
      <c r="F269" s="139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139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</row>
    <row r="270" spans="1:48" ht="15.75" hidden="1" customHeight="1" x14ac:dyDescent="0.25">
      <c r="A270" s="81">
        <v>0</v>
      </c>
      <c r="B270" s="81"/>
      <c r="C270" s="81"/>
      <c r="D270" s="81"/>
      <c r="E270" s="81"/>
      <c r="F270" s="139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139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</row>
    <row r="271" spans="1:48" ht="15.75" hidden="1" customHeight="1" x14ac:dyDescent="0.25">
      <c r="A271" s="81">
        <v>0</v>
      </c>
      <c r="B271" s="81"/>
      <c r="C271" s="81"/>
      <c r="D271" s="81"/>
      <c r="E271" s="81"/>
      <c r="F271" s="139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139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</row>
    <row r="272" spans="1:48" ht="15.75" hidden="1" customHeight="1" x14ac:dyDescent="0.25">
      <c r="A272" s="81">
        <v>0</v>
      </c>
      <c r="B272" s="81"/>
      <c r="C272" s="81"/>
      <c r="D272" s="81"/>
      <c r="E272" s="81"/>
      <c r="F272" s="139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139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</row>
    <row r="273" spans="1:48" ht="15.75" hidden="1" customHeight="1" x14ac:dyDescent="0.25">
      <c r="A273" s="81">
        <v>0</v>
      </c>
      <c r="B273" s="81"/>
      <c r="C273" s="81"/>
      <c r="D273" s="81"/>
      <c r="E273" s="81"/>
      <c r="F273" s="139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139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</row>
    <row r="274" spans="1:48" ht="15.75" hidden="1" customHeight="1" x14ac:dyDescent="0.25">
      <c r="A274" s="81">
        <v>0</v>
      </c>
      <c r="B274" s="81"/>
      <c r="C274" s="81"/>
      <c r="D274" s="81"/>
      <c r="E274" s="81"/>
      <c r="F274" s="139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139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</row>
    <row r="275" spans="1:48" ht="15.75" hidden="1" customHeight="1" x14ac:dyDescent="0.25">
      <c r="A275" s="81">
        <v>0</v>
      </c>
      <c r="B275" s="81"/>
      <c r="C275" s="81"/>
      <c r="D275" s="81"/>
      <c r="E275" s="81"/>
      <c r="F275" s="139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139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</row>
    <row r="276" spans="1:48" ht="15.75" hidden="1" customHeight="1" x14ac:dyDescent="0.25">
      <c r="A276" s="81">
        <v>0</v>
      </c>
      <c r="B276" s="81"/>
      <c r="C276" s="81"/>
      <c r="D276" s="81"/>
      <c r="E276" s="81"/>
      <c r="F276" s="139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</row>
    <row r="277" spans="1:48" ht="15.75" hidden="1" customHeight="1" x14ac:dyDescent="0.25">
      <c r="A277" s="81">
        <v>0</v>
      </c>
      <c r="B277" s="81"/>
      <c r="C277" s="81"/>
      <c r="D277" s="81"/>
      <c r="E277" s="81"/>
      <c r="F277" s="139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</row>
    <row r="278" spans="1:48" ht="15.75" hidden="1" customHeight="1" x14ac:dyDescent="0.25">
      <c r="A278" s="81">
        <v>0</v>
      </c>
      <c r="B278" s="81"/>
      <c r="C278" s="81"/>
      <c r="D278" s="81"/>
      <c r="E278" s="81"/>
      <c r="F278" s="139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</row>
    <row r="279" spans="1:48" ht="15.75" hidden="1" customHeight="1" x14ac:dyDescent="0.25">
      <c r="A279" s="81">
        <v>0</v>
      </c>
      <c r="B279" s="81"/>
      <c r="C279" s="81"/>
      <c r="D279" s="81"/>
      <c r="E279" s="81"/>
      <c r="F279" s="139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</row>
    <row r="280" spans="1:48" ht="15.75" hidden="1" customHeight="1" x14ac:dyDescent="0.25">
      <c r="A280" s="81">
        <v>0</v>
      </c>
      <c r="B280" s="81"/>
      <c r="C280" s="81"/>
      <c r="D280" s="81"/>
      <c r="E280" s="81"/>
      <c r="F280" s="139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</row>
    <row r="281" spans="1:48" ht="15.75" hidden="1" customHeight="1" x14ac:dyDescent="0.25">
      <c r="A281" s="81">
        <v>0</v>
      </c>
      <c r="B281" s="81"/>
      <c r="C281" s="81"/>
      <c r="D281" s="81"/>
      <c r="E281" s="81"/>
      <c r="F281" s="139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</row>
    <row r="282" spans="1:48" ht="15.75" hidden="1" customHeight="1" x14ac:dyDescent="0.25">
      <c r="A282" s="81">
        <v>0</v>
      </c>
      <c r="B282" s="81"/>
      <c r="C282" s="81"/>
      <c r="D282" s="81"/>
      <c r="E282" s="81"/>
      <c r="F282" s="139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</row>
    <row r="283" spans="1:48" ht="15.75" hidden="1" customHeight="1" x14ac:dyDescent="0.25">
      <c r="A283" s="81"/>
      <c r="B283" s="184"/>
      <c r="C283" s="184"/>
      <c r="D283" s="184"/>
      <c r="E283" s="185"/>
      <c r="F283" s="185"/>
      <c r="G283" s="184"/>
      <c r="H283" s="184"/>
      <c r="I283" s="184"/>
      <c r="J283" s="184"/>
      <c r="K283" s="184"/>
      <c r="L283" s="184"/>
      <c r="M283" s="184"/>
      <c r="N283" s="185"/>
      <c r="O283" s="185"/>
      <c r="P283" s="184"/>
      <c r="Q283" s="184"/>
      <c r="R283" s="184"/>
      <c r="S283" s="184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/>
      <c r="AD283" s="185"/>
      <c r="AE283" s="185"/>
      <c r="AF283" s="185"/>
      <c r="AG283" s="187"/>
      <c r="AH283" s="186"/>
      <c r="AI283" s="187"/>
      <c r="AJ283" s="186"/>
      <c r="AK283" s="187"/>
      <c r="AL283" s="186"/>
      <c r="AM283" s="187"/>
      <c r="AN283" s="187"/>
      <c r="AO283" s="187"/>
      <c r="AP283" s="187"/>
      <c r="AQ283" s="187"/>
      <c r="AR283" s="187"/>
      <c r="AS283" s="187"/>
      <c r="AT283" s="187"/>
      <c r="AU283" s="187"/>
      <c r="AV283" s="187"/>
    </row>
    <row r="284" spans="1:48" ht="15.75" hidden="1" customHeight="1" x14ac:dyDescent="0.2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</row>
    <row r="285" spans="1:48" ht="15.75" hidden="1" customHeight="1" x14ac:dyDescent="0.2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</row>
    <row r="286" spans="1:48" ht="15.75" hidden="1" customHeight="1" x14ac:dyDescent="0.25">
      <c r="A286" s="81">
        <v>0</v>
      </c>
      <c r="B286" s="81"/>
      <c r="C286" s="81"/>
      <c r="D286" s="81"/>
      <c r="E286" s="139"/>
      <c r="F286" s="139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</row>
    <row r="287" spans="1:48" ht="15.75" hidden="1" customHeight="1" x14ac:dyDescent="0.25">
      <c r="A287" s="81">
        <v>0</v>
      </c>
      <c r="B287" s="81"/>
      <c r="C287" s="81"/>
      <c r="D287" s="81"/>
      <c r="E287" s="139"/>
      <c r="F287" s="139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</row>
    <row r="288" spans="1:48" ht="15.75" hidden="1" customHeight="1" x14ac:dyDescent="0.25">
      <c r="A288" s="81">
        <v>0</v>
      </c>
      <c r="B288" s="81"/>
      <c r="C288" s="81"/>
      <c r="D288" s="81"/>
      <c r="E288" s="139"/>
      <c r="F288" s="139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</row>
    <row r="289" spans="1:48" ht="15.75" hidden="1" customHeight="1" x14ac:dyDescent="0.25">
      <c r="A289" s="81">
        <v>0</v>
      </c>
      <c r="B289" s="81"/>
      <c r="C289" s="81"/>
      <c r="D289" s="81"/>
      <c r="E289" s="139"/>
      <c r="F289" s="139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</row>
    <row r="290" spans="1:48" ht="15.75" hidden="1" customHeight="1" x14ac:dyDescent="0.25">
      <c r="A290" s="81">
        <v>0</v>
      </c>
      <c r="B290" s="81"/>
      <c r="C290" s="81"/>
      <c r="D290" s="81"/>
      <c r="E290" s="139"/>
      <c r="F290" s="139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</row>
    <row r="291" spans="1:48" ht="15.75" hidden="1" customHeight="1" x14ac:dyDescent="0.25">
      <c r="A291" s="81">
        <v>0</v>
      </c>
      <c r="B291" s="81"/>
      <c r="C291" s="81"/>
      <c r="D291" s="81"/>
      <c r="E291" s="139"/>
      <c r="F291" s="139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</row>
    <row r="292" spans="1:48" ht="15.75" hidden="1" customHeight="1" x14ac:dyDescent="0.25">
      <c r="A292" s="81">
        <v>0</v>
      </c>
      <c r="B292" s="81"/>
      <c r="C292" s="81"/>
      <c r="D292" s="81"/>
      <c r="E292" s="139"/>
      <c r="F292" s="139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</row>
    <row r="293" spans="1:48" ht="15.75" hidden="1" customHeight="1" x14ac:dyDescent="0.25">
      <c r="A293" s="81">
        <v>0</v>
      </c>
      <c r="B293" s="81"/>
      <c r="C293" s="81"/>
      <c r="D293" s="81"/>
      <c r="E293" s="81"/>
      <c r="F293" s="139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</row>
    <row r="294" spans="1:48" ht="15.75" hidden="1" customHeight="1" x14ac:dyDescent="0.25">
      <c r="A294" s="81">
        <v>0</v>
      </c>
      <c r="B294" s="81"/>
      <c r="C294" s="81"/>
      <c r="D294" s="81"/>
      <c r="E294" s="139"/>
      <c r="F294" s="139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</row>
    <row r="295" spans="1:48" ht="15.75" hidden="1" customHeight="1" x14ac:dyDescent="0.25">
      <c r="A295" s="81">
        <v>0</v>
      </c>
      <c r="B295" s="81"/>
      <c r="C295" s="81"/>
      <c r="D295" s="81"/>
      <c r="E295" s="139"/>
      <c r="F295" s="139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</row>
    <row r="296" spans="1:48" ht="15.75" hidden="1" customHeight="1" x14ac:dyDescent="0.25">
      <c r="A296" s="81">
        <v>0</v>
      </c>
      <c r="B296" s="81"/>
      <c r="C296" s="81"/>
      <c r="D296" s="81"/>
      <c r="E296" s="139"/>
      <c r="F296" s="139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</row>
    <row r="297" spans="1:48" ht="15.75" hidden="1" customHeight="1" x14ac:dyDescent="0.25">
      <c r="A297" s="81">
        <v>0</v>
      </c>
      <c r="B297" s="81"/>
      <c r="C297" s="81"/>
      <c r="D297" s="81"/>
      <c r="E297" s="139"/>
      <c r="F297" s="139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</row>
    <row r="298" spans="1:48" ht="15.75" hidden="1" customHeight="1" x14ac:dyDescent="0.25">
      <c r="A298" s="81">
        <v>0</v>
      </c>
      <c r="B298" s="81"/>
      <c r="C298" s="81"/>
      <c r="D298" s="81"/>
      <c r="E298" s="139"/>
      <c r="F298" s="139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</row>
    <row r="299" spans="1:48" ht="15.75" hidden="1" customHeight="1" x14ac:dyDescent="0.25">
      <c r="A299" s="81">
        <v>0</v>
      </c>
      <c r="B299" s="81"/>
      <c r="C299" s="81"/>
      <c r="D299" s="81"/>
      <c r="E299" s="139"/>
      <c r="F299" s="139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</row>
    <row r="300" spans="1:48" ht="15.75" hidden="1" customHeight="1" x14ac:dyDescent="0.25">
      <c r="A300" s="81"/>
      <c r="B300" s="184"/>
      <c r="C300" s="184"/>
      <c r="D300" s="184"/>
      <c r="E300" s="185"/>
      <c r="F300" s="185"/>
      <c r="G300" s="184"/>
      <c r="H300" s="184"/>
      <c r="I300" s="184"/>
      <c r="J300" s="184"/>
      <c r="K300" s="184"/>
      <c r="L300" s="184"/>
      <c r="M300" s="184"/>
      <c r="N300" s="185"/>
      <c r="O300" s="185"/>
      <c r="P300" s="184"/>
      <c r="Q300" s="184"/>
      <c r="R300" s="184"/>
      <c r="S300" s="184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  <c r="AF300" s="185"/>
      <c r="AG300" s="187"/>
      <c r="AH300" s="186"/>
      <c r="AI300" s="187"/>
      <c r="AJ300" s="186"/>
      <c r="AK300" s="187"/>
      <c r="AL300" s="186"/>
      <c r="AM300" s="187"/>
      <c r="AN300" s="187"/>
      <c r="AO300" s="187"/>
      <c r="AP300" s="187"/>
      <c r="AQ300" s="187"/>
      <c r="AR300" s="187"/>
      <c r="AS300" s="187"/>
      <c r="AT300" s="187"/>
      <c r="AU300" s="187"/>
      <c r="AV300" s="187"/>
    </row>
    <row r="301" spans="1:48" ht="15.75" hidden="1" customHeight="1" x14ac:dyDescent="0.25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</row>
    <row r="302" spans="1:48" ht="15.75" hidden="1" customHeight="1" x14ac:dyDescent="0.25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</row>
    <row r="303" spans="1:48" ht="15.75" hidden="1" customHeight="1" x14ac:dyDescent="0.25">
      <c r="A303" s="81">
        <v>0</v>
      </c>
      <c r="B303" s="81"/>
      <c r="C303" s="81"/>
      <c r="D303" s="81"/>
      <c r="E303" s="139"/>
      <c r="F303" s="139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</row>
    <row r="304" spans="1:48" ht="15.75" hidden="1" customHeight="1" x14ac:dyDescent="0.25">
      <c r="A304" s="81">
        <v>0</v>
      </c>
      <c r="B304" s="81"/>
      <c r="C304" s="81"/>
      <c r="D304" s="81"/>
      <c r="E304" s="139"/>
      <c r="F304" s="139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</row>
    <row r="305" spans="1:48" ht="15.75" hidden="1" customHeight="1" x14ac:dyDescent="0.25">
      <c r="A305" s="81">
        <v>0</v>
      </c>
      <c r="B305" s="81"/>
      <c r="C305" s="81"/>
      <c r="D305" s="81"/>
      <c r="E305" s="139"/>
      <c r="F305" s="139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</row>
    <row r="306" spans="1:48" ht="15.75" hidden="1" customHeight="1" x14ac:dyDescent="0.25">
      <c r="A306" s="81">
        <v>0</v>
      </c>
      <c r="B306" s="81"/>
      <c r="C306" s="81"/>
      <c r="D306" s="81"/>
      <c r="E306" s="139"/>
      <c r="F306" s="139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</row>
    <row r="307" spans="1:48" ht="15.75" hidden="1" customHeight="1" x14ac:dyDescent="0.25">
      <c r="A307" s="81">
        <v>0</v>
      </c>
      <c r="B307" s="81"/>
      <c r="C307" s="81"/>
      <c r="D307" s="81"/>
      <c r="E307" s="139"/>
      <c r="F307" s="139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</row>
    <row r="308" spans="1:48" ht="15.75" hidden="1" customHeight="1" x14ac:dyDescent="0.25">
      <c r="A308" s="81">
        <v>0</v>
      </c>
      <c r="B308" s="81"/>
      <c r="C308" s="81"/>
      <c r="D308" s="81"/>
      <c r="E308" s="139"/>
      <c r="F308" s="139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</row>
    <row r="309" spans="1:48" ht="15.75" hidden="1" customHeight="1" x14ac:dyDescent="0.25">
      <c r="A309" s="81">
        <v>0</v>
      </c>
      <c r="B309" s="81"/>
      <c r="C309" s="81"/>
      <c r="D309" s="81"/>
      <c r="E309" s="139"/>
      <c r="F309" s="139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</row>
    <row r="310" spans="1:48" ht="15.75" hidden="1" customHeight="1" x14ac:dyDescent="0.25">
      <c r="A310" s="81">
        <v>0</v>
      </c>
      <c r="B310" s="81"/>
      <c r="C310" s="81"/>
      <c r="D310" s="81"/>
      <c r="E310" s="81"/>
      <c r="F310" s="139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</row>
    <row r="311" spans="1:48" ht="15.75" hidden="1" customHeight="1" x14ac:dyDescent="0.25">
      <c r="A311" s="81">
        <v>0</v>
      </c>
      <c r="B311" s="81"/>
      <c r="C311" s="81"/>
      <c r="D311" s="81"/>
      <c r="E311" s="139"/>
      <c r="F311" s="139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</row>
    <row r="312" spans="1:48" ht="15.75" hidden="1" customHeight="1" x14ac:dyDescent="0.25">
      <c r="A312" s="81">
        <v>0</v>
      </c>
      <c r="B312" s="81"/>
      <c r="C312" s="81"/>
      <c r="D312" s="81"/>
      <c r="E312" s="139"/>
      <c r="F312" s="139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</row>
    <row r="313" spans="1:48" ht="15.75" hidden="1" customHeight="1" x14ac:dyDescent="0.25">
      <c r="A313" s="81">
        <v>0</v>
      </c>
      <c r="B313" s="81"/>
      <c r="C313" s="81"/>
      <c r="D313" s="81"/>
      <c r="E313" s="139"/>
      <c r="F313" s="139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</row>
    <row r="314" spans="1:48" ht="15.75" hidden="1" customHeight="1" x14ac:dyDescent="0.25">
      <c r="A314" s="81">
        <v>0</v>
      </c>
      <c r="B314" s="81"/>
      <c r="C314" s="81"/>
      <c r="D314" s="81"/>
      <c r="E314" s="139"/>
      <c r="F314" s="139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</row>
    <row r="315" spans="1:48" ht="15.75" hidden="1" customHeight="1" x14ac:dyDescent="0.25">
      <c r="A315" s="81">
        <v>0</v>
      </c>
      <c r="B315" s="81"/>
      <c r="C315" s="81"/>
      <c r="D315" s="81"/>
      <c r="E315" s="139"/>
      <c r="F315" s="139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</row>
    <row r="316" spans="1:48" ht="15.75" hidden="1" customHeight="1" x14ac:dyDescent="0.25">
      <c r="A316" s="81">
        <v>0</v>
      </c>
      <c r="B316" s="81"/>
      <c r="C316" s="81"/>
      <c r="D316" s="81"/>
      <c r="E316" s="139"/>
      <c r="F316" s="139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</row>
    <row r="317" spans="1:48" ht="15.75" hidden="1" customHeight="1" x14ac:dyDescent="0.25">
      <c r="A317" s="81"/>
      <c r="B317" s="184"/>
      <c r="C317" s="184"/>
      <c r="D317" s="184"/>
      <c r="E317" s="185"/>
      <c r="F317" s="185"/>
      <c r="G317" s="184"/>
      <c r="H317" s="184"/>
      <c r="I317" s="184"/>
      <c r="J317" s="184"/>
      <c r="K317" s="184"/>
      <c r="L317" s="184"/>
      <c r="M317" s="184"/>
      <c r="N317" s="185"/>
      <c r="O317" s="185"/>
      <c r="P317" s="184"/>
      <c r="Q317" s="184"/>
      <c r="R317" s="184"/>
      <c r="S317" s="184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  <c r="AF317" s="185"/>
      <c r="AG317" s="187"/>
      <c r="AH317" s="186"/>
      <c r="AI317" s="187"/>
      <c r="AJ317" s="186"/>
      <c r="AK317" s="187"/>
      <c r="AL317" s="186"/>
      <c r="AM317" s="187"/>
      <c r="AN317" s="187"/>
      <c r="AO317" s="187"/>
      <c r="AP317" s="187"/>
      <c r="AQ317" s="187"/>
      <c r="AR317" s="187"/>
      <c r="AS317" s="187"/>
      <c r="AT317" s="187"/>
      <c r="AU317" s="187"/>
      <c r="AV317" s="187"/>
    </row>
    <row r="318" spans="1:48" ht="15.75" hidden="1" customHeight="1" x14ac:dyDescent="0.25">
      <c r="AE318" s="81"/>
      <c r="AF318" s="81"/>
    </row>
    <row r="319" spans="1:48" ht="15.75" hidden="1" customHeight="1" x14ac:dyDescent="0.25">
      <c r="A319" s="81">
        <v>0</v>
      </c>
      <c r="B319" s="81" t="str">
        <f ca="1">IFERROR(__xludf.DUMMYFUNCTION("IMPORTRANGE(""https://docs.google.com/spreadsheets/d/1r_oFRUE6DCmRli6VRyyB0rqLtisl_KZ6Xy8CbjH4I10/edit#"",""EHA!A2:AK50"")"),"#REF!")</f>
        <v>#REF!</v>
      </c>
      <c r="C319" s="81"/>
      <c r="D319" s="81"/>
      <c r="E319" s="81"/>
      <c r="F319" s="139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</row>
    <row r="320" spans="1:48" ht="15.75" hidden="1" customHeight="1" x14ac:dyDescent="0.25">
      <c r="A320" s="81">
        <v>0</v>
      </c>
      <c r="B320" s="81"/>
      <c r="C320" s="81"/>
      <c r="D320" s="81"/>
      <c r="E320" s="81"/>
      <c r="F320" s="139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140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</row>
    <row r="321" spans="1:48" ht="15.75" hidden="1" customHeight="1" x14ac:dyDescent="0.25">
      <c r="A321" s="81">
        <v>0</v>
      </c>
      <c r="B321" s="81"/>
      <c r="C321" s="81"/>
      <c r="D321" s="81"/>
      <c r="E321" s="81"/>
      <c r="F321" s="139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</row>
    <row r="322" spans="1:48" ht="15.75" hidden="1" customHeight="1" x14ac:dyDescent="0.25">
      <c r="A322" s="81">
        <v>0</v>
      </c>
      <c r="B322" s="81"/>
      <c r="C322" s="81"/>
      <c r="D322" s="81"/>
      <c r="E322" s="81"/>
      <c r="F322" s="139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</row>
    <row r="323" spans="1:48" ht="15.75" hidden="1" customHeight="1" x14ac:dyDescent="0.25">
      <c r="A323" s="81">
        <v>0</v>
      </c>
      <c r="B323" s="81"/>
      <c r="C323" s="81"/>
      <c r="D323" s="81"/>
      <c r="E323" s="81"/>
      <c r="F323" s="139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</row>
    <row r="324" spans="1:48" ht="15.75" hidden="1" customHeight="1" x14ac:dyDescent="0.25">
      <c r="A324" s="81">
        <v>0</v>
      </c>
      <c r="B324" s="81"/>
      <c r="C324" s="81"/>
      <c r="D324" s="81"/>
      <c r="E324" s="81"/>
      <c r="F324" s="139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</row>
    <row r="325" spans="1:48" ht="15.75" hidden="1" customHeight="1" x14ac:dyDescent="0.25">
      <c r="A325" s="81">
        <v>0</v>
      </c>
      <c r="B325" s="81"/>
      <c r="C325" s="81"/>
      <c r="D325" s="81"/>
      <c r="E325" s="81"/>
      <c r="F325" s="139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</row>
    <row r="326" spans="1:48" ht="15.75" hidden="1" customHeight="1" x14ac:dyDescent="0.25">
      <c r="A326" s="81">
        <v>0</v>
      </c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</row>
    <row r="327" spans="1:48" ht="15.75" hidden="1" customHeight="1" x14ac:dyDescent="0.25">
      <c r="A327" s="81">
        <v>0</v>
      </c>
      <c r="B327" s="81"/>
      <c r="C327" s="81"/>
      <c r="D327" s="81"/>
      <c r="E327" s="81"/>
      <c r="F327" s="139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</row>
    <row r="328" spans="1:48" ht="15.75" hidden="1" customHeight="1" x14ac:dyDescent="0.25">
      <c r="A328" s="81">
        <v>0</v>
      </c>
      <c r="B328" s="81"/>
      <c r="C328" s="81"/>
      <c r="D328" s="81"/>
      <c r="E328" s="81"/>
      <c r="F328" s="139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</row>
    <row r="329" spans="1:48" ht="15.75" hidden="1" customHeight="1" x14ac:dyDescent="0.25">
      <c r="A329" s="81">
        <v>0</v>
      </c>
      <c r="B329" s="81"/>
      <c r="C329" s="81"/>
      <c r="D329" s="81"/>
      <c r="E329" s="81"/>
      <c r="F329" s="139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</row>
    <row r="330" spans="1:48" ht="15.75" hidden="1" customHeight="1" x14ac:dyDescent="0.25">
      <c r="A330" s="81">
        <v>0</v>
      </c>
      <c r="B330" s="81"/>
      <c r="C330" s="81"/>
      <c r="D330" s="81"/>
      <c r="E330" s="81"/>
      <c r="F330" s="139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</row>
    <row r="331" spans="1:48" ht="15.75" hidden="1" customHeight="1" x14ac:dyDescent="0.25">
      <c r="A331" s="81">
        <v>0</v>
      </c>
      <c r="B331" s="81"/>
      <c r="C331" s="81"/>
      <c r="D331" s="81"/>
      <c r="E331" s="81"/>
      <c r="F331" s="139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</row>
    <row r="332" spans="1:48" ht="15.75" hidden="1" customHeight="1" x14ac:dyDescent="0.25">
      <c r="A332" s="81">
        <v>0</v>
      </c>
      <c r="B332" s="81"/>
      <c r="C332" s="81"/>
      <c r="D332" s="81"/>
      <c r="E332" s="81"/>
      <c r="F332" s="139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</row>
    <row r="333" spans="1:48" ht="15.75" hidden="1" customHeight="1" x14ac:dyDescent="0.25">
      <c r="A333" s="81"/>
      <c r="B333" s="184"/>
      <c r="C333" s="184"/>
      <c r="D333" s="184"/>
      <c r="E333" s="185"/>
      <c r="F333" s="185"/>
      <c r="G333" s="184"/>
      <c r="H333" s="184"/>
      <c r="I333" s="184"/>
      <c r="J333" s="184"/>
      <c r="K333" s="184"/>
      <c r="L333" s="184"/>
      <c r="M333" s="184"/>
      <c r="N333" s="185"/>
      <c r="O333" s="185"/>
      <c r="P333" s="184"/>
      <c r="Q333" s="184"/>
      <c r="R333" s="184"/>
      <c r="S333" s="184"/>
      <c r="T333" s="185"/>
      <c r="U333" s="185"/>
      <c r="V333" s="185"/>
      <c r="W333" s="185"/>
      <c r="X333" s="185"/>
      <c r="Y333" s="185"/>
      <c r="Z333" s="185"/>
      <c r="AA333" s="185"/>
      <c r="AB333" s="185"/>
      <c r="AC333" s="185"/>
      <c r="AD333" s="185"/>
      <c r="AE333" s="185"/>
      <c r="AF333" s="185"/>
      <c r="AG333" s="187"/>
      <c r="AH333" s="186"/>
      <c r="AI333" s="187"/>
      <c r="AJ333" s="186"/>
      <c r="AK333" s="187"/>
      <c r="AL333" s="186"/>
      <c r="AM333" s="187"/>
      <c r="AN333" s="187"/>
      <c r="AO333" s="187"/>
      <c r="AP333" s="187"/>
      <c r="AQ333" s="187"/>
      <c r="AR333" s="187"/>
      <c r="AS333" s="187"/>
      <c r="AT333" s="187"/>
      <c r="AU333" s="187"/>
      <c r="AV333" s="187"/>
    </row>
    <row r="334" spans="1:48" ht="15.75" hidden="1" customHeight="1" x14ac:dyDescent="0.25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</row>
    <row r="335" spans="1:48" ht="15.75" hidden="1" customHeight="1" x14ac:dyDescent="0.2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</row>
    <row r="336" spans="1:48" ht="15.75" hidden="1" customHeight="1" x14ac:dyDescent="0.25">
      <c r="A336" s="81">
        <v>0</v>
      </c>
      <c r="B336" s="81"/>
      <c r="C336" s="81"/>
      <c r="D336" s="81"/>
      <c r="E336" s="139"/>
      <c r="F336" s="139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</row>
    <row r="337" spans="1:48" ht="15.75" hidden="1" customHeight="1" x14ac:dyDescent="0.25">
      <c r="A337" s="81">
        <v>0</v>
      </c>
      <c r="B337" s="81"/>
      <c r="C337" s="81"/>
      <c r="D337" s="81"/>
      <c r="E337" s="139"/>
      <c r="F337" s="139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</row>
    <row r="338" spans="1:48" ht="15.75" hidden="1" customHeight="1" x14ac:dyDescent="0.25">
      <c r="A338" s="81">
        <v>0</v>
      </c>
      <c r="B338" s="81"/>
      <c r="C338" s="81"/>
      <c r="D338" s="81"/>
      <c r="E338" s="139"/>
      <c r="F338" s="139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</row>
    <row r="339" spans="1:48" ht="15.75" hidden="1" customHeight="1" x14ac:dyDescent="0.25">
      <c r="A339" s="81">
        <v>0</v>
      </c>
      <c r="B339" s="81"/>
      <c r="C339" s="81"/>
      <c r="D339" s="81"/>
      <c r="E339" s="139"/>
      <c r="F339" s="139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</row>
    <row r="340" spans="1:48" ht="15.75" hidden="1" customHeight="1" x14ac:dyDescent="0.25">
      <c r="A340" s="81">
        <v>0</v>
      </c>
      <c r="B340" s="81"/>
      <c r="C340" s="81"/>
      <c r="D340" s="81"/>
      <c r="E340" s="139"/>
      <c r="F340" s="139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</row>
    <row r="341" spans="1:48" ht="15.75" hidden="1" customHeight="1" x14ac:dyDescent="0.25">
      <c r="A341" s="81">
        <v>0</v>
      </c>
      <c r="B341" s="81"/>
      <c r="C341" s="81"/>
      <c r="D341" s="81"/>
      <c r="E341" s="139"/>
      <c r="F341" s="139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</row>
    <row r="342" spans="1:48" ht="15.75" hidden="1" customHeight="1" x14ac:dyDescent="0.25">
      <c r="A342" s="81">
        <v>0</v>
      </c>
      <c r="B342" s="81"/>
      <c r="C342" s="81"/>
      <c r="D342" s="81"/>
      <c r="E342" s="139"/>
      <c r="F342" s="139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</row>
    <row r="343" spans="1:48" ht="15.75" hidden="1" customHeight="1" x14ac:dyDescent="0.25">
      <c r="A343" s="81">
        <v>0</v>
      </c>
      <c r="B343" s="81"/>
      <c r="C343" s="81"/>
      <c r="D343" s="81"/>
      <c r="E343" s="81"/>
      <c r="F343" s="139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</row>
    <row r="344" spans="1:48" ht="15.75" hidden="1" customHeight="1" x14ac:dyDescent="0.25">
      <c r="A344" s="81">
        <v>0</v>
      </c>
      <c r="B344" s="81"/>
      <c r="C344" s="81"/>
      <c r="D344" s="81"/>
      <c r="E344" s="139"/>
      <c r="F344" s="139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</row>
    <row r="345" spans="1:48" ht="15.75" hidden="1" customHeight="1" x14ac:dyDescent="0.25">
      <c r="A345" s="81">
        <v>0</v>
      </c>
      <c r="B345" s="81"/>
      <c r="C345" s="81"/>
      <c r="D345" s="81"/>
      <c r="E345" s="139"/>
      <c r="F345" s="139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</row>
    <row r="346" spans="1:48" ht="15.75" hidden="1" customHeight="1" x14ac:dyDescent="0.25">
      <c r="A346" s="81">
        <v>0</v>
      </c>
      <c r="B346" s="81"/>
      <c r="C346" s="81"/>
      <c r="D346" s="81"/>
      <c r="E346" s="139"/>
      <c r="F346" s="139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</row>
    <row r="347" spans="1:48" ht="15.75" hidden="1" customHeight="1" x14ac:dyDescent="0.25">
      <c r="A347" s="81">
        <v>0</v>
      </c>
      <c r="B347" s="81"/>
      <c r="C347" s="81"/>
      <c r="D347" s="81"/>
      <c r="E347" s="139"/>
      <c r="F347" s="139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</row>
    <row r="348" spans="1:48" ht="15.75" hidden="1" customHeight="1" x14ac:dyDescent="0.25">
      <c r="A348" s="81">
        <v>0</v>
      </c>
      <c r="B348" s="81"/>
      <c r="C348" s="81"/>
      <c r="D348" s="81"/>
      <c r="E348" s="139"/>
      <c r="F348" s="139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</row>
    <row r="349" spans="1:48" ht="15.75" hidden="1" customHeight="1" x14ac:dyDescent="0.25">
      <c r="A349" s="81">
        <v>0</v>
      </c>
      <c r="B349" s="81"/>
      <c r="C349" s="81"/>
      <c r="D349" s="81"/>
      <c r="E349" s="139"/>
      <c r="F349" s="139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</row>
    <row r="350" spans="1:48" ht="15.75" hidden="1" customHeight="1" x14ac:dyDescent="0.25">
      <c r="A350" s="81"/>
      <c r="B350" s="184"/>
      <c r="C350" s="184"/>
      <c r="D350" s="184"/>
      <c r="E350" s="185"/>
      <c r="F350" s="185"/>
      <c r="G350" s="184"/>
      <c r="H350" s="184"/>
      <c r="I350" s="184"/>
      <c r="J350" s="184"/>
      <c r="K350" s="184"/>
      <c r="L350" s="184"/>
      <c r="M350" s="184"/>
      <c r="N350" s="185"/>
      <c r="O350" s="185"/>
      <c r="P350" s="184"/>
      <c r="Q350" s="184"/>
      <c r="R350" s="184"/>
      <c r="S350" s="184"/>
      <c r="T350" s="185"/>
      <c r="U350" s="185"/>
      <c r="V350" s="185"/>
      <c r="W350" s="185"/>
      <c r="X350" s="185"/>
      <c r="Y350" s="185"/>
      <c r="Z350" s="185"/>
      <c r="AA350" s="185"/>
      <c r="AB350" s="185"/>
      <c r="AC350" s="185"/>
      <c r="AD350" s="185"/>
      <c r="AE350" s="185"/>
      <c r="AF350" s="185"/>
      <c r="AG350" s="187"/>
      <c r="AH350" s="186"/>
      <c r="AI350" s="187"/>
      <c r="AJ350" s="186"/>
      <c r="AK350" s="187"/>
      <c r="AL350" s="186"/>
      <c r="AM350" s="187"/>
      <c r="AN350" s="187"/>
      <c r="AO350" s="187"/>
      <c r="AP350" s="187"/>
      <c r="AQ350" s="187"/>
      <c r="AR350" s="187"/>
      <c r="AS350" s="187"/>
      <c r="AT350" s="187"/>
      <c r="AU350" s="187"/>
      <c r="AV350" s="187"/>
    </row>
    <row r="351" spans="1:48" ht="15.75" hidden="1" customHeight="1" x14ac:dyDescent="0.25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</row>
    <row r="352" spans="1:48" ht="15.75" hidden="1" customHeight="1" x14ac:dyDescent="0.25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</row>
    <row r="353" spans="1:48" ht="15.75" hidden="1" customHeight="1" x14ac:dyDescent="0.25">
      <c r="A353" s="81">
        <v>0</v>
      </c>
      <c r="B353" s="81"/>
      <c r="C353" s="81"/>
      <c r="D353" s="81"/>
      <c r="E353" s="139"/>
      <c r="F353" s="139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</row>
    <row r="354" spans="1:48" ht="15.75" hidden="1" customHeight="1" x14ac:dyDescent="0.25">
      <c r="A354" s="81">
        <v>0</v>
      </c>
      <c r="B354" s="81"/>
      <c r="C354" s="81"/>
      <c r="D354" s="81"/>
      <c r="E354" s="139"/>
      <c r="F354" s="139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</row>
    <row r="355" spans="1:48" ht="15.75" hidden="1" customHeight="1" x14ac:dyDescent="0.25">
      <c r="A355" s="81">
        <v>0</v>
      </c>
      <c r="B355" s="81"/>
      <c r="C355" s="81"/>
      <c r="D355" s="81"/>
      <c r="E355" s="139"/>
      <c r="F355" s="139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</row>
    <row r="356" spans="1:48" ht="15.75" hidden="1" customHeight="1" x14ac:dyDescent="0.25">
      <c r="A356" s="81">
        <v>0</v>
      </c>
      <c r="B356" s="81"/>
      <c r="C356" s="81"/>
      <c r="D356" s="81"/>
      <c r="E356" s="139"/>
      <c r="F356" s="139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</row>
    <row r="357" spans="1:48" ht="15.75" hidden="1" customHeight="1" x14ac:dyDescent="0.25">
      <c r="A357" s="81">
        <v>0</v>
      </c>
      <c r="B357" s="81"/>
      <c r="C357" s="81"/>
      <c r="D357" s="81"/>
      <c r="E357" s="139"/>
      <c r="F357" s="139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</row>
    <row r="358" spans="1:48" ht="15.75" hidden="1" customHeight="1" x14ac:dyDescent="0.25">
      <c r="A358" s="81">
        <v>0</v>
      </c>
      <c r="B358" s="81"/>
      <c r="C358" s="81"/>
      <c r="D358" s="81"/>
      <c r="E358" s="139"/>
      <c r="F358" s="139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</row>
    <row r="359" spans="1:48" ht="15.75" hidden="1" customHeight="1" x14ac:dyDescent="0.25">
      <c r="A359" s="81">
        <v>0</v>
      </c>
      <c r="B359" s="81"/>
      <c r="C359" s="81"/>
      <c r="D359" s="81"/>
      <c r="E359" s="139"/>
      <c r="F359" s="139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</row>
    <row r="360" spans="1:48" ht="15.75" hidden="1" customHeight="1" x14ac:dyDescent="0.25">
      <c r="A360" s="81">
        <v>0</v>
      </c>
      <c r="B360" s="81"/>
      <c r="C360" s="81"/>
      <c r="D360" s="81"/>
      <c r="E360" s="81"/>
      <c r="F360" s="139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</row>
    <row r="361" spans="1:48" ht="15.75" hidden="1" customHeight="1" x14ac:dyDescent="0.25">
      <c r="A361" s="81">
        <v>0</v>
      </c>
      <c r="B361" s="81"/>
      <c r="C361" s="81"/>
      <c r="D361" s="81"/>
      <c r="E361" s="139"/>
      <c r="F361" s="139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</row>
    <row r="362" spans="1:48" ht="15.75" hidden="1" customHeight="1" x14ac:dyDescent="0.25">
      <c r="A362" s="81">
        <v>0</v>
      </c>
      <c r="B362" s="81"/>
      <c r="C362" s="81"/>
      <c r="D362" s="81"/>
      <c r="E362" s="139"/>
      <c r="F362" s="139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</row>
    <row r="363" spans="1:48" ht="15.75" hidden="1" customHeight="1" x14ac:dyDescent="0.25">
      <c r="A363" s="81">
        <v>0</v>
      </c>
      <c r="B363" s="81"/>
      <c r="C363" s="81"/>
      <c r="D363" s="81"/>
      <c r="E363" s="139"/>
      <c r="F363" s="139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</row>
    <row r="364" spans="1:48" ht="15.75" hidden="1" customHeight="1" x14ac:dyDescent="0.25">
      <c r="A364" s="81">
        <v>0</v>
      </c>
      <c r="B364" s="81"/>
      <c r="C364" s="81"/>
      <c r="D364" s="81"/>
      <c r="E364" s="139"/>
      <c r="F364" s="139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</row>
    <row r="365" spans="1:48" ht="15.75" hidden="1" customHeight="1" x14ac:dyDescent="0.25">
      <c r="A365" s="81">
        <v>0</v>
      </c>
      <c r="B365" s="81"/>
      <c r="C365" s="81"/>
      <c r="D365" s="81"/>
      <c r="E365" s="139"/>
      <c r="F365" s="139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</row>
    <row r="366" spans="1:48" ht="15.75" hidden="1" customHeight="1" x14ac:dyDescent="0.25">
      <c r="A366" s="81">
        <v>0</v>
      </c>
      <c r="B366" s="81"/>
      <c r="C366" s="81"/>
      <c r="D366" s="81"/>
      <c r="E366" s="139"/>
      <c r="F366" s="139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</row>
    <row r="367" spans="1:48" ht="15.75" hidden="1" customHeight="1" x14ac:dyDescent="0.25">
      <c r="A367" s="81"/>
      <c r="B367" s="184"/>
      <c r="C367" s="184"/>
      <c r="D367" s="184"/>
      <c r="E367" s="185"/>
      <c r="F367" s="185"/>
      <c r="G367" s="184"/>
      <c r="H367" s="184"/>
      <c r="I367" s="184"/>
      <c r="J367" s="184"/>
      <c r="K367" s="184"/>
      <c r="L367" s="184"/>
      <c r="M367" s="184"/>
      <c r="N367" s="185"/>
      <c r="O367" s="185"/>
      <c r="P367" s="184"/>
      <c r="Q367" s="184"/>
      <c r="R367" s="184"/>
      <c r="S367" s="184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85"/>
      <c r="AF367" s="185"/>
      <c r="AG367" s="187"/>
      <c r="AH367" s="186"/>
      <c r="AI367" s="187"/>
      <c r="AJ367" s="186"/>
      <c r="AK367" s="187"/>
      <c r="AL367" s="186"/>
      <c r="AM367" s="187"/>
      <c r="AN367" s="187"/>
      <c r="AO367" s="187"/>
      <c r="AP367" s="187"/>
      <c r="AQ367" s="187"/>
      <c r="AR367" s="187"/>
      <c r="AS367" s="187"/>
      <c r="AT367" s="187"/>
      <c r="AU367" s="187"/>
      <c r="AV367" s="187"/>
    </row>
    <row r="368" spans="1:48" ht="15.75" hidden="1" customHeight="1" x14ac:dyDescent="0.25">
      <c r="AE368" s="81"/>
      <c r="AF368" s="81"/>
    </row>
    <row r="369" spans="1:48" ht="15.75" hidden="1" customHeight="1" x14ac:dyDescent="0.25">
      <c r="A369" s="81">
        <v>0</v>
      </c>
      <c r="B369" s="81" t="str">
        <f ca="1">IFERROR(__xludf.DUMMYFUNCTION("IMPORTRANGE(""https://docs.google.com/spreadsheets/d/1WwHQ4QHEq6CEQqt2Gfsi85LyDKF1ze4k2l7sQOz6UBI/edit#"",""EHA!A2:AK50"")"),"#REF!")</f>
        <v>#REF!</v>
      </c>
      <c r="C369" s="81"/>
      <c r="D369" s="81"/>
      <c r="E369" s="81"/>
      <c r="F369" s="139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</row>
    <row r="370" spans="1:48" ht="15.75" hidden="1" customHeight="1" x14ac:dyDescent="0.25">
      <c r="A370" s="81">
        <v>0</v>
      </c>
      <c r="B370" s="81"/>
      <c r="C370" s="81"/>
      <c r="D370" s="81"/>
      <c r="E370" s="81"/>
      <c r="F370" s="139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</row>
    <row r="371" spans="1:48" ht="15.75" hidden="1" customHeight="1" x14ac:dyDescent="0.25">
      <c r="A371" s="81">
        <v>0</v>
      </c>
      <c r="B371" s="81"/>
      <c r="C371" s="81"/>
      <c r="D371" s="81"/>
      <c r="E371" s="81"/>
      <c r="F371" s="139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</row>
    <row r="372" spans="1:48" ht="15.75" hidden="1" customHeight="1" x14ac:dyDescent="0.25">
      <c r="A372" s="81">
        <v>0</v>
      </c>
      <c r="B372" s="81"/>
      <c r="C372" s="81"/>
      <c r="D372" s="81"/>
      <c r="E372" s="81"/>
      <c r="F372" s="139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</row>
    <row r="373" spans="1:48" ht="15.75" hidden="1" customHeight="1" x14ac:dyDescent="0.25">
      <c r="A373" s="81">
        <v>0</v>
      </c>
      <c r="B373" s="81"/>
      <c r="C373" s="81"/>
      <c r="D373" s="81"/>
      <c r="E373" s="81"/>
      <c r="F373" s="139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</row>
    <row r="374" spans="1:48" ht="15.75" hidden="1" customHeight="1" x14ac:dyDescent="0.25">
      <c r="A374" s="81">
        <v>0</v>
      </c>
      <c r="B374" s="81"/>
      <c r="C374" s="81"/>
      <c r="D374" s="81"/>
      <c r="E374" s="81"/>
      <c r="F374" s="139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</row>
    <row r="375" spans="1:48" ht="15.75" hidden="1" customHeight="1" x14ac:dyDescent="0.25">
      <c r="A375" s="81">
        <v>0</v>
      </c>
      <c r="B375" s="81"/>
      <c r="C375" s="81"/>
      <c r="D375" s="81"/>
      <c r="E375" s="81"/>
      <c r="F375" s="139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</row>
    <row r="376" spans="1:48" ht="15.75" hidden="1" customHeight="1" x14ac:dyDescent="0.25">
      <c r="A376" s="81">
        <v>0</v>
      </c>
      <c r="B376" s="81"/>
      <c r="C376" s="81"/>
      <c r="D376" s="81"/>
      <c r="E376" s="81"/>
      <c r="F376" s="139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</row>
    <row r="377" spans="1:48" ht="15.75" hidden="1" customHeight="1" x14ac:dyDescent="0.25">
      <c r="A377" s="81">
        <v>0</v>
      </c>
      <c r="B377" s="81"/>
      <c r="C377" s="81"/>
      <c r="D377" s="81"/>
      <c r="E377" s="81"/>
      <c r="F377" s="139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</row>
    <row r="378" spans="1:48" ht="15.75" hidden="1" customHeight="1" x14ac:dyDescent="0.25">
      <c r="A378" s="81">
        <v>0</v>
      </c>
      <c r="B378" s="81"/>
      <c r="C378" s="81"/>
      <c r="D378" s="81"/>
      <c r="E378" s="81"/>
      <c r="F378" s="139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</row>
    <row r="379" spans="1:48" ht="15.75" hidden="1" customHeight="1" x14ac:dyDescent="0.25">
      <c r="A379" s="81">
        <v>0</v>
      </c>
      <c r="B379" s="81"/>
      <c r="C379" s="81"/>
      <c r="D379" s="81"/>
      <c r="E379" s="81"/>
      <c r="F379" s="139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</row>
    <row r="380" spans="1:48" ht="15.75" hidden="1" customHeight="1" x14ac:dyDescent="0.25">
      <c r="A380" s="81">
        <v>0</v>
      </c>
      <c r="B380" s="81"/>
      <c r="C380" s="81"/>
      <c r="D380" s="81"/>
      <c r="E380" s="81"/>
      <c r="F380" s="139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</row>
    <row r="381" spans="1:48" ht="15.75" hidden="1" customHeight="1" x14ac:dyDescent="0.25">
      <c r="A381" s="81">
        <v>0</v>
      </c>
      <c r="B381" s="81"/>
      <c r="C381" s="81"/>
      <c r="D381" s="81"/>
      <c r="E381" s="81"/>
      <c r="F381" s="139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</row>
    <row r="382" spans="1:48" ht="15.75" hidden="1" customHeight="1" x14ac:dyDescent="0.25">
      <c r="A382" s="81">
        <v>0</v>
      </c>
      <c r="B382" s="81"/>
      <c r="C382" s="81"/>
      <c r="D382" s="81"/>
      <c r="E382" s="81"/>
      <c r="F382" s="139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</row>
    <row r="383" spans="1:48" ht="15.75" hidden="1" customHeight="1" x14ac:dyDescent="0.25">
      <c r="A383" s="81"/>
      <c r="B383" s="184"/>
      <c r="C383" s="184"/>
      <c r="D383" s="184"/>
      <c r="E383" s="185"/>
      <c r="F383" s="185"/>
      <c r="G383" s="184"/>
      <c r="H383" s="184"/>
      <c r="I383" s="184"/>
      <c r="J383" s="184"/>
      <c r="K383" s="184"/>
      <c r="L383" s="184"/>
      <c r="M383" s="184"/>
      <c r="N383" s="185"/>
      <c r="O383" s="185"/>
      <c r="P383" s="184"/>
      <c r="Q383" s="184"/>
      <c r="R383" s="184"/>
      <c r="S383" s="184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  <c r="AF383" s="185"/>
      <c r="AG383" s="187"/>
      <c r="AH383" s="186"/>
      <c r="AI383" s="187"/>
      <c r="AJ383" s="186"/>
      <c r="AK383" s="187"/>
      <c r="AL383" s="186"/>
      <c r="AM383" s="187"/>
      <c r="AN383" s="187"/>
      <c r="AO383" s="187"/>
      <c r="AP383" s="187"/>
      <c r="AQ383" s="187"/>
      <c r="AR383" s="187"/>
      <c r="AS383" s="187"/>
      <c r="AT383" s="187"/>
      <c r="AU383" s="187"/>
      <c r="AV383" s="187"/>
    </row>
    <row r="384" spans="1:48" ht="15.75" hidden="1" customHeight="1" x14ac:dyDescent="0.25"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</row>
    <row r="385" spans="1:48" ht="15.75" hidden="1" customHeight="1" x14ac:dyDescent="0.25"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</row>
    <row r="386" spans="1:48" ht="15.75" hidden="1" customHeight="1" x14ac:dyDescent="0.25">
      <c r="A386" s="81">
        <v>0</v>
      </c>
      <c r="B386" s="81"/>
      <c r="C386" s="81"/>
      <c r="D386" s="81"/>
      <c r="E386" s="139"/>
      <c r="F386" s="139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</row>
    <row r="387" spans="1:48" ht="15.75" hidden="1" customHeight="1" x14ac:dyDescent="0.25">
      <c r="A387" s="81">
        <v>0</v>
      </c>
      <c r="B387" s="81"/>
      <c r="C387" s="81"/>
      <c r="D387" s="81"/>
      <c r="E387" s="139"/>
      <c r="F387" s="139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</row>
    <row r="388" spans="1:48" ht="15.75" hidden="1" customHeight="1" x14ac:dyDescent="0.25">
      <c r="A388" s="81">
        <v>0</v>
      </c>
      <c r="B388" s="81"/>
      <c r="C388" s="81"/>
      <c r="D388" s="81"/>
      <c r="E388" s="139"/>
      <c r="F388" s="139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</row>
    <row r="389" spans="1:48" ht="15.75" hidden="1" customHeight="1" x14ac:dyDescent="0.25">
      <c r="A389" s="81">
        <v>0</v>
      </c>
      <c r="B389" s="81"/>
      <c r="C389" s="81"/>
      <c r="D389" s="81"/>
      <c r="E389" s="139"/>
      <c r="F389" s="139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</row>
    <row r="390" spans="1:48" ht="15.75" hidden="1" customHeight="1" x14ac:dyDescent="0.25">
      <c r="A390" s="81">
        <v>0</v>
      </c>
      <c r="B390" s="81"/>
      <c r="C390" s="81"/>
      <c r="D390" s="81"/>
      <c r="E390" s="139"/>
      <c r="F390" s="139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</row>
    <row r="391" spans="1:48" ht="15.75" hidden="1" customHeight="1" x14ac:dyDescent="0.25">
      <c r="A391" s="81">
        <v>0</v>
      </c>
      <c r="B391" s="81"/>
      <c r="C391" s="81"/>
      <c r="D391" s="81"/>
      <c r="E391" s="139"/>
      <c r="F391" s="139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</row>
    <row r="392" spans="1:48" ht="15.75" hidden="1" customHeight="1" x14ac:dyDescent="0.25">
      <c r="A392" s="81">
        <v>0</v>
      </c>
      <c r="B392" s="81"/>
      <c r="C392" s="81"/>
      <c r="D392" s="81"/>
      <c r="E392" s="139"/>
      <c r="F392" s="139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</row>
    <row r="393" spans="1:48" ht="15.75" hidden="1" customHeight="1" x14ac:dyDescent="0.25">
      <c r="A393" s="81">
        <v>0</v>
      </c>
      <c r="B393" s="81"/>
      <c r="C393" s="81"/>
      <c r="D393" s="81"/>
      <c r="E393" s="81"/>
      <c r="F393" s="139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</row>
    <row r="394" spans="1:48" ht="15.75" hidden="1" customHeight="1" x14ac:dyDescent="0.25">
      <c r="A394" s="81">
        <v>0</v>
      </c>
      <c r="B394" s="81"/>
      <c r="C394" s="81"/>
      <c r="D394" s="81"/>
      <c r="E394" s="139"/>
      <c r="F394" s="139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</row>
    <row r="395" spans="1:48" ht="15.75" hidden="1" customHeight="1" x14ac:dyDescent="0.25">
      <c r="A395" s="81">
        <v>0</v>
      </c>
      <c r="B395" s="81"/>
      <c r="C395" s="81"/>
      <c r="D395" s="81"/>
      <c r="E395" s="139"/>
      <c r="F395" s="139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</row>
    <row r="396" spans="1:48" ht="15.75" hidden="1" customHeight="1" x14ac:dyDescent="0.25">
      <c r="A396" s="81">
        <v>0</v>
      </c>
      <c r="B396" s="81"/>
      <c r="C396" s="81"/>
      <c r="D396" s="81"/>
      <c r="E396" s="139"/>
      <c r="F396" s="139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</row>
    <row r="397" spans="1:48" ht="15.75" hidden="1" customHeight="1" x14ac:dyDescent="0.25">
      <c r="A397" s="81">
        <v>0</v>
      </c>
      <c r="B397" s="81"/>
      <c r="C397" s="81"/>
      <c r="D397" s="81"/>
      <c r="E397" s="139"/>
      <c r="F397" s="139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</row>
    <row r="398" spans="1:48" ht="15.75" hidden="1" customHeight="1" x14ac:dyDescent="0.25">
      <c r="A398" s="81">
        <v>0</v>
      </c>
      <c r="B398" s="81"/>
      <c r="C398" s="81"/>
      <c r="D398" s="81"/>
      <c r="E398" s="139"/>
      <c r="F398" s="139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</row>
    <row r="399" spans="1:48" ht="15.75" hidden="1" customHeight="1" x14ac:dyDescent="0.25">
      <c r="A399" s="81">
        <v>0</v>
      </c>
      <c r="B399" s="81"/>
      <c r="C399" s="81"/>
      <c r="D399" s="81"/>
      <c r="E399" s="139"/>
      <c r="F399" s="139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</row>
    <row r="400" spans="1:48" ht="15.75" hidden="1" customHeight="1" x14ac:dyDescent="0.25">
      <c r="A400" s="81"/>
      <c r="B400" s="184"/>
      <c r="C400" s="184"/>
      <c r="D400" s="184"/>
      <c r="E400" s="185"/>
      <c r="F400" s="185"/>
      <c r="G400" s="184"/>
      <c r="H400" s="184"/>
      <c r="I400" s="184"/>
      <c r="J400" s="184"/>
      <c r="K400" s="184"/>
      <c r="L400" s="184"/>
      <c r="M400" s="184"/>
      <c r="N400" s="185"/>
      <c r="O400" s="185"/>
      <c r="P400" s="184"/>
      <c r="Q400" s="184"/>
      <c r="R400" s="184"/>
      <c r="S400" s="184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  <c r="AF400" s="185"/>
      <c r="AG400" s="187"/>
      <c r="AH400" s="186"/>
      <c r="AI400" s="187"/>
      <c r="AJ400" s="186"/>
      <c r="AK400" s="187"/>
      <c r="AL400" s="186"/>
      <c r="AM400" s="187"/>
      <c r="AN400" s="187"/>
      <c r="AO400" s="187"/>
      <c r="AP400" s="187"/>
      <c r="AQ400" s="187"/>
      <c r="AR400" s="187"/>
      <c r="AS400" s="187"/>
      <c r="AT400" s="187"/>
      <c r="AU400" s="187"/>
      <c r="AV400" s="187"/>
    </row>
    <row r="401" spans="1:48" ht="15.75" hidden="1" customHeight="1" x14ac:dyDescent="0.25"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</row>
    <row r="402" spans="1:48" ht="15.75" hidden="1" customHeight="1" x14ac:dyDescent="0.25"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</row>
    <row r="403" spans="1:48" ht="15.75" hidden="1" customHeight="1" x14ac:dyDescent="0.25">
      <c r="A403" s="81">
        <v>0</v>
      </c>
      <c r="B403" s="81"/>
      <c r="C403" s="81"/>
      <c r="D403" s="81"/>
      <c r="E403" s="139"/>
      <c r="F403" s="139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</row>
    <row r="404" spans="1:48" ht="15.75" hidden="1" customHeight="1" x14ac:dyDescent="0.25">
      <c r="A404" s="81">
        <v>0</v>
      </c>
      <c r="B404" s="81"/>
      <c r="C404" s="81"/>
      <c r="D404" s="81"/>
      <c r="E404" s="139"/>
      <c r="F404" s="139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</row>
    <row r="405" spans="1:48" ht="15.75" hidden="1" customHeight="1" x14ac:dyDescent="0.25">
      <c r="A405" s="81">
        <v>0</v>
      </c>
      <c r="B405" s="81"/>
      <c r="C405" s="81"/>
      <c r="D405" s="81"/>
      <c r="E405" s="139"/>
      <c r="F405" s="139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</row>
    <row r="406" spans="1:48" ht="15.75" hidden="1" customHeight="1" x14ac:dyDescent="0.25">
      <c r="A406" s="81">
        <v>0</v>
      </c>
      <c r="B406" s="81"/>
      <c r="C406" s="81"/>
      <c r="D406" s="81"/>
      <c r="E406" s="139"/>
      <c r="F406" s="139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</row>
    <row r="407" spans="1:48" ht="15.75" hidden="1" customHeight="1" x14ac:dyDescent="0.25">
      <c r="A407" s="81">
        <v>0</v>
      </c>
      <c r="B407" s="81"/>
      <c r="C407" s="81"/>
      <c r="D407" s="81"/>
      <c r="E407" s="139"/>
      <c r="F407" s="139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</row>
    <row r="408" spans="1:48" ht="15.75" hidden="1" customHeight="1" x14ac:dyDescent="0.25">
      <c r="A408" s="81">
        <v>0</v>
      </c>
      <c r="B408" s="81"/>
      <c r="C408" s="81"/>
      <c r="D408" s="81"/>
      <c r="E408" s="139"/>
      <c r="F408" s="139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</row>
    <row r="409" spans="1:48" ht="15.75" hidden="1" customHeight="1" x14ac:dyDescent="0.25">
      <c r="A409" s="81">
        <v>0</v>
      </c>
      <c r="B409" s="81"/>
      <c r="C409" s="81"/>
      <c r="D409" s="81"/>
      <c r="E409" s="139"/>
      <c r="F409" s="139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</row>
    <row r="410" spans="1:48" ht="15.75" hidden="1" customHeight="1" x14ac:dyDescent="0.25">
      <c r="A410" s="81">
        <v>0</v>
      </c>
      <c r="B410" s="81"/>
      <c r="C410" s="81"/>
      <c r="D410" s="81"/>
      <c r="E410" s="81"/>
      <c r="F410" s="139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</row>
    <row r="411" spans="1:48" ht="15.75" hidden="1" customHeight="1" x14ac:dyDescent="0.25">
      <c r="A411" s="81">
        <v>0</v>
      </c>
      <c r="B411" s="81"/>
      <c r="C411" s="81"/>
      <c r="D411" s="81"/>
      <c r="E411" s="139"/>
      <c r="F411" s="139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</row>
    <row r="412" spans="1:48" ht="15.75" hidden="1" customHeight="1" x14ac:dyDescent="0.25">
      <c r="A412" s="81">
        <v>0</v>
      </c>
      <c r="B412" s="81"/>
      <c r="C412" s="81"/>
      <c r="D412" s="81"/>
      <c r="E412" s="139"/>
      <c r="F412" s="139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</row>
    <row r="413" spans="1:48" ht="15.75" hidden="1" customHeight="1" x14ac:dyDescent="0.25">
      <c r="A413" s="81">
        <v>0</v>
      </c>
      <c r="B413" s="81"/>
      <c r="C413" s="81"/>
      <c r="D413" s="81"/>
      <c r="E413" s="139"/>
      <c r="F413" s="139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</row>
    <row r="414" spans="1:48" ht="15.75" hidden="1" customHeight="1" x14ac:dyDescent="0.25">
      <c r="A414" s="81">
        <v>0</v>
      </c>
      <c r="B414" s="81"/>
      <c r="C414" s="81"/>
      <c r="D414" s="81"/>
      <c r="E414" s="139"/>
      <c r="F414" s="139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</row>
    <row r="415" spans="1:48" ht="15.75" hidden="1" customHeight="1" x14ac:dyDescent="0.25">
      <c r="A415" s="81">
        <v>0</v>
      </c>
      <c r="B415" s="81"/>
      <c r="C415" s="81"/>
      <c r="D415" s="81"/>
      <c r="E415" s="139"/>
      <c r="F415" s="139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</row>
    <row r="416" spans="1:48" ht="15.75" hidden="1" customHeight="1" x14ac:dyDescent="0.25">
      <c r="A416" s="81">
        <v>0</v>
      </c>
      <c r="B416" s="81"/>
      <c r="C416" s="81"/>
      <c r="D416" s="81"/>
      <c r="E416" s="139"/>
      <c r="F416" s="139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</row>
    <row r="417" spans="1:48" ht="15.75" hidden="1" customHeight="1" x14ac:dyDescent="0.25">
      <c r="A417" s="81"/>
      <c r="B417" s="184"/>
      <c r="C417" s="184"/>
      <c r="D417" s="184"/>
      <c r="E417" s="185"/>
      <c r="F417" s="185"/>
      <c r="G417" s="184"/>
      <c r="H417" s="184"/>
      <c r="I417" s="184"/>
      <c r="J417" s="184"/>
      <c r="K417" s="184"/>
      <c r="L417" s="184"/>
      <c r="M417" s="184"/>
      <c r="N417" s="185"/>
      <c r="O417" s="185"/>
      <c r="P417" s="184"/>
      <c r="Q417" s="184"/>
      <c r="R417" s="184"/>
      <c r="S417" s="184"/>
      <c r="T417" s="185"/>
      <c r="U417" s="185"/>
      <c r="V417" s="185"/>
      <c r="W417" s="185"/>
      <c r="X417" s="185"/>
      <c r="Y417" s="185"/>
      <c r="Z417" s="185"/>
      <c r="AA417" s="185"/>
      <c r="AB417" s="185"/>
      <c r="AC417" s="185"/>
      <c r="AD417" s="185"/>
      <c r="AE417" s="185"/>
      <c r="AF417" s="185"/>
      <c r="AG417" s="187"/>
      <c r="AH417" s="186"/>
      <c r="AI417" s="187"/>
      <c r="AJ417" s="186"/>
      <c r="AK417" s="187"/>
      <c r="AL417" s="186"/>
      <c r="AM417" s="187"/>
      <c r="AN417" s="187"/>
      <c r="AO417" s="187"/>
      <c r="AP417" s="187"/>
      <c r="AQ417" s="187"/>
      <c r="AR417" s="187"/>
      <c r="AS417" s="187"/>
      <c r="AT417" s="187"/>
      <c r="AU417" s="187"/>
      <c r="AV417" s="187"/>
    </row>
    <row r="418" spans="1:48" ht="15.75" hidden="1" customHeight="1" x14ac:dyDescent="0.25">
      <c r="AE418" s="81"/>
      <c r="AF418" s="81"/>
    </row>
    <row r="419" spans="1:48" ht="15.75" hidden="1" customHeight="1" x14ac:dyDescent="0.25">
      <c r="A419" s="81">
        <v>0</v>
      </c>
      <c r="B419" s="81" t="str">
        <f ca="1">IFERROR(__xludf.DUMMYFUNCTION("IMPORTRANGE(""https://docs.google.com/spreadsheets/d/1sk0DRbvCCovV6M_iAlKZMLgjIjG_MY9ODaqKYJKGkes/edit#"",""EHA!A2:AK50"")"),"#REF!")</f>
        <v>#REF!</v>
      </c>
      <c r="C419" s="81"/>
      <c r="D419" s="81"/>
      <c r="E419" s="81"/>
      <c r="F419" s="139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</row>
    <row r="420" spans="1:48" ht="15.75" hidden="1" customHeight="1" x14ac:dyDescent="0.25">
      <c r="A420" s="81">
        <v>0</v>
      </c>
      <c r="B420" s="81"/>
      <c r="C420" s="81"/>
      <c r="D420" s="81"/>
      <c r="E420" s="81"/>
      <c r="F420" s="139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</row>
    <row r="421" spans="1:48" ht="15.75" hidden="1" customHeight="1" x14ac:dyDescent="0.25">
      <c r="A421" s="81">
        <v>0</v>
      </c>
      <c r="B421" s="81"/>
      <c r="C421" s="81"/>
      <c r="D421" s="81"/>
      <c r="E421" s="81"/>
      <c r="F421" s="139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</row>
    <row r="422" spans="1:48" ht="15.75" hidden="1" customHeight="1" x14ac:dyDescent="0.25">
      <c r="A422" s="81">
        <v>0</v>
      </c>
      <c r="B422" s="81"/>
      <c r="C422" s="81"/>
      <c r="D422" s="81"/>
      <c r="E422" s="81"/>
      <c r="F422" s="139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</row>
    <row r="423" spans="1:48" ht="15.75" hidden="1" customHeight="1" x14ac:dyDescent="0.25">
      <c r="A423" s="81">
        <v>0</v>
      </c>
      <c r="B423" s="81"/>
      <c r="C423" s="81"/>
      <c r="D423" s="81"/>
      <c r="E423" s="81"/>
      <c r="F423" s="139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</row>
    <row r="424" spans="1:48" ht="15.75" hidden="1" customHeight="1" x14ac:dyDescent="0.25">
      <c r="A424" s="81">
        <v>0</v>
      </c>
      <c r="B424" s="81"/>
      <c r="C424" s="81"/>
      <c r="D424" s="81"/>
      <c r="E424" s="81"/>
      <c r="F424" s="139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</row>
    <row r="425" spans="1:48" ht="15.75" hidden="1" customHeight="1" x14ac:dyDescent="0.25">
      <c r="A425" s="81">
        <v>0</v>
      </c>
      <c r="B425" s="81"/>
      <c r="C425" s="81"/>
      <c r="D425" s="81"/>
      <c r="E425" s="81"/>
      <c r="F425" s="139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</row>
    <row r="426" spans="1:48" ht="15.75" hidden="1" customHeight="1" x14ac:dyDescent="0.25">
      <c r="A426" s="81">
        <v>0</v>
      </c>
      <c r="B426" s="81"/>
      <c r="C426" s="81"/>
      <c r="D426" s="81"/>
      <c r="E426" s="81"/>
      <c r="F426" s="139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</row>
    <row r="427" spans="1:48" ht="15.75" hidden="1" customHeight="1" x14ac:dyDescent="0.25">
      <c r="A427" s="81">
        <v>0</v>
      </c>
      <c r="B427" s="81"/>
      <c r="C427" s="81"/>
      <c r="D427" s="81"/>
      <c r="E427" s="81"/>
      <c r="F427" s="139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</row>
    <row r="428" spans="1:48" ht="15.75" hidden="1" customHeight="1" x14ac:dyDescent="0.25">
      <c r="A428" s="81">
        <v>0</v>
      </c>
      <c r="B428" s="81"/>
      <c r="C428" s="81"/>
      <c r="D428" s="81"/>
      <c r="E428" s="81"/>
      <c r="F428" s="139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</row>
    <row r="429" spans="1:48" ht="15.75" hidden="1" customHeight="1" x14ac:dyDescent="0.25">
      <c r="A429" s="81">
        <v>0</v>
      </c>
      <c r="B429" s="81"/>
      <c r="C429" s="81"/>
      <c r="D429" s="81"/>
      <c r="E429" s="81"/>
      <c r="F429" s="139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</row>
    <row r="430" spans="1:48" ht="15.75" hidden="1" customHeight="1" x14ac:dyDescent="0.25">
      <c r="A430" s="81">
        <v>0</v>
      </c>
      <c r="B430" s="81"/>
      <c r="C430" s="81"/>
      <c r="D430" s="81"/>
      <c r="E430" s="81"/>
      <c r="F430" s="139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</row>
    <row r="431" spans="1:48" ht="15.75" hidden="1" customHeight="1" x14ac:dyDescent="0.25">
      <c r="A431" s="81">
        <v>0</v>
      </c>
      <c r="B431" s="81"/>
      <c r="C431" s="81"/>
      <c r="D431" s="81"/>
      <c r="E431" s="81"/>
      <c r="F431" s="139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</row>
    <row r="432" spans="1:48" ht="15.75" hidden="1" customHeight="1" x14ac:dyDescent="0.25">
      <c r="A432" s="81">
        <v>0</v>
      </c>
      <c r="B432" s="81"/>
      <c r="C432" s="81"/>
      <c r="D432" s="81"/>
      <c r="E432" s="81"/>
      <c r="F432" s="139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</row>
    <row r="433" spans="1:48" ht="15.75" hidden="1" customHeight="1" x14ac:dyDescent="0.25">
      <c r="A433" s="81"/>
      <c r="B433" s="184"/>
      <c r="C433" s="184"/>
      <c r="D433" s="184"/>
      <c r="E433" s="185"/>
      <c r="F433" s="185"/>
      <c r="G433" s="184"/>
      <c r="H433" s="184"/>
      <c r="I433" s="184"/>
      <c r="J433" s="184"/>
      <c r="K433" s="184"/>
      <c r="L433" s="184"/>
      <c r="M433" s="184"/>
      <c r="N433" s="185"/>
      <c r="O433" s="185"/>
      <c r="P433" s="184"/>
      <c r="Q433" s="184"/>
      <c r="R433" s="184"/>
      <c r="S433" s="184"/>
      <c r="T433" s="185"/>
      <c r="U433" s="185"/>
      <c r="V433" s="185"/>
      <c r="W433" s="185"/>
      <c r="X433" s="185"/>
      <c r="Y433" s="185"/>
      <c r="Z433" s="185"/>
      <c r="AA433" s="185"/>
      <c r="AB433" s="185"/>
      <c r="AC433" s="185"/>
      <c r="AD433" s="185"/>
      <c r="AE433" s="185"/>
      <c r="AF433" s="185"/>
      <c r="AG433" s="187"/>
      <c r="AH433" s="186"/>
      <c r="AI433" s="187"/>
      <c r="AJ433" s="186"/>
      <c r="AK433" s="187"/>
      <c r="AL433" s="186"/>
      <c r="AM433" s="187"/>
      <c r="AN433" s="187"/>
      <c r="AO433" s="187"/>
      <c r="AP433" s="187"/>
      <c r="AQ433" s="187"/>
      <c r="AR433" s="187"/>
      <c r="AS433" s="187"/>
      <c r="AT433" s="187"/>
      <c r="AU433" s="187"/>
      <c r="AV433" s="187"/>
    </row>
    <row r="434" spans="1:48" ht="15.75" hidden="1" customHeight="1" x14ac:dyDescent="0.25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</row>
    <row r="435" spans="1:48" ht="15.75" hidden="1" customHeight="1" x14ac:dyDescent="0.2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</row>
    <row r="436" spans="1:48" ht="15.75" hidden="1" customHeight="1" x14ac:dyDescent="0.25">
      <c r="A436" s="81">
        <v>0</v>
      </c>
      <c r="B436" s="81"/>
      <c r="C436" s="81"/>
      <c r="D436" s="81"/>
      <c r="E436" s="139"/>
      <c r="F436" s="139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</row>
    <row r="437" spans="1:48" ht="15.75" hidden="1" customHeight="1" x14ac:dyDescent="0.25">
      <c r="A437" s="81">
        <v>0</v>
      </c>
      <c r="B437" s="81"/>
      <c r="C437" s="81"/>
      <c r="D437" s="81"/>
      <c r="E437" s="139"/>
      <c r="F437" s="139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</row>
    <row r="438" spans="1:48" ht="15.75" hidden="1" customHeight="1" x14ac:dyDescent="0.25">
      <c r="A438" s="81">
        <v>0</v>
      </c>
      <c r="B438" s="81"/>
      <c r="C438" s="81"/>
      <c r="D438" s="81"/>
      <c r="E438" s="139"/>
      <c r="F438" s="139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</row>
    <row r="439" spans="1:48" ht="15.75" hidden="1" customHeight="1" x14ac:dyDescent="0.25">
      <c r="A439" s="81">
        <v>0</v>
      </c>
      <c r="B439" s="81"/>
      <c r="C439" s="81"/>
      <c r="D439" s="81"/>
      <c r="E439" s="139"/>
      <c r="F439" s="139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</row>
    <row r="440" spans="1:48" ht="15.75" hidden="1" customHeight="1" x14ac:dyDescent="0.25">
      <c r="A440" s="81">
        <v>0</v>
      </c>
      <c r="B440" s="81"/>
      <c r="C440" s="81"/>
      <c r="D440" s="81"/>
      <c r="E440" s="139"/>
      <c r="F440" s="139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</row>
    <row r="441" spans="1:48" ht="15.75" hidden="1" customHeight="1" x14ac:dyDescent="0.25">
      <c r="A441" s="81">
        <v>0</v>
      </c>
      <c r="B441" s="81"/>
      <c r="C441" s="81"/>
      <c r="D441" s="81"/>
      <c r="E441" s="139"/>
      <c r="F441" s="139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</row>
    <row r="442" spans="1:48" ht="15.75" hidden="1" customHeight="1" x14ac:dyDescent="0.25">
      <c r="A442" s="81">
        <v>0</v>
      </c>
      <c r="B442" s="81"/>
      <c r="C442" s="81"/>
      <c r="D442" s="81"/>
      <c r="E442" s="139"/>
      <c r="F442" s="139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</row>
    <row r="443" spans="1:48" ht="15.75" hidden="1" customHeight="1" x14ac:dyDescent="0.25">
      <c r="A443" s="81">
        <v>0</v>
      </c>
      <c r="B443" s="81"/>
      <c r="C443" s="81"/>
      <c r="D443" s="81"/>
      <c r="E443" s="81"/>
      <c r="F443" s="139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</row>
    <row r="444" spans="1:48" ht="15.75" hidden="1" customHeight="1" x14ac:dyDescent="0.25">
      <c r="A444" s="81">
        <v>0</v>
      </c>
      <c r="B444" s="81"/>
      <c r="C444" s="81"/>
      <c r="D444" s="81"/>
      <c r="E444" s="139"/>
      <c r="F444" s="139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</row>
    <row r="445" spans="1:48" ht="15.75" hidden="1" customHeight="1" x14ac:dyDescent="0.25">
      <c r="A445" s="81">
        <v>0</v>
      </c>
      <c r="B445" s="81"/>
      <c r="C445" s="81"/>
      <c r="D445" s="81"/>
      <c r="E445" s="139"/>
      <c r="F445" s="139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</row>
    <row r="446" spans="1:48" ht="15.75" hidden="1" customHeight="1" x14ac:dyDescent="0.25">
      <c r="A446" s="81">
        <v>0</v>
      </c>
      <c r="B446" s="81"/>
      <c r="C446" s="81"/>
      <c r="D446" s="81"/>
      <c r="E446" s="139"/>
      <c r="F446" s="139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</row>
    <row r="447" spans="1:48" ht="15.75" hidden="1" customHeight="1" x14ac:dyDescent="0.25">
      <c r="A447" s="81">
        <v>0</v>
      </c>
      <c r="B447" s="81"/>
      <c r="C447" s="81"/>
      <c r="D447" s="81"/>
      <c r="E447" s="139"/>
      <c r="F447" s="139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</row>
    <row r="448" spans="1:48" ht="15.75" hidden="1" customHeight="1" x14ac:dyDescent="0.25">
      <c r="A448" s="81">
        <v>0</v>
      </c>
      <c r="B448" s="81"/>
      <c r="C448" s="81"/>
      <c r="D448" s="81"/>
      <c r="E448" s="139"/>
      <c r="F448" s="139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</row>
    <row r="449" spans="1:48" ht="15.75" hidden="1" customHeight="1" x14ac:dyDescent="0.25">
      <c r="A449" s="81">
        <v>0</v>
      </c>
      <c r="B449" s="81"/>
      <c r="C449" s="81"/>
      <c r="D449" s="81"/>
      <c r="E449" s="139"/>
      <c r="F449" s="139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</row>
    <row r="450" spans="1:48" ht="15.75" hidden="1" customHeight="1" x14ac:dyDescent="0.25">
      <c r="A450" s="81"/>
      <c r="B450" s="184"/>
      <c r="C450" s="184"/>
      <c r="D450" s="184"/>
      <c r="E450" s="185"/>
      <c r="F450" s="185"/>
      <c r="G450" s="184"/>
      <c r="H450" s="184"/>
      <c r="I450" s="184"/>
      <c r="J450" s="184"/>
      <c r="K450" s="184"/>
      <c r="L450" s="184"/>
      <c r="M450" s="184"/>
      <c r="N450" s="185"/>
      <c r="O450" s="185"/>
      <c r="P450" s="184"/>
      <c r="Q450" s="184"/>
      <c r="R450" s="184"/>
      <c r="S450" s="184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  <c r="AF450" s="185"/>
      <c r="AG450" s="187"/>
      <c r="AH450" s="186"/>
      <c r="AI450" s="187"/>
      <c r="AJ450" s="186"/>
      <c r="AK450" s="187"/>
      <c r="AL450" s="186"/>
      <c r="AM450" s="187"/>
      <c r="AN450" s="187"/>
      <c r="AO450" s="187"/>
      <c r="AP450" s="187"/>
      <c r="AQ450" s="187"/>
      <c r="AR450" s="187"/>
      <c r="AS450" s="187"/>
      <c r="AT450" s="187"/>
      <c r="AU450" s="187"/>
      <c r="AV450" s="187"/>
    </row>
    <row r="451" spans="1:48" ht="15.75" hidden="1" customHeight="1" x14ac:dyDescent="0.25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</row>
    <row r="452" spans="1:48" ht="15.75" hidden="1" customHeight="1" x14ac:dyDescent="0.25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</row>
    <row r="453" spans="1:48" ht="15.75" hidden="1" customHeight="1" x14ac:dyDescent="0.25">
      <c r="A453" s="81">
        <v>0</v>
      </c>
      <c r="B453" s="81"/>
      <c r="C453" s="81"/>
      <c r="D453" s="81"/>
      <c r="E453" s="139"/>
      <c r="F453" s="139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</row>
    <row r="454" spans="1:48" ht="15.75" hidden="1" customHeight="1" x14ac:dyDescent="0.25">
      <c r="A454" s="81">
        <v>0</v>
      </c>
      <c r="B454" s="81"/>
      <c r="C454" s="81"/>
      <c r="D454" s="81"/>
      <c r="E454" s="139"/>
      <c r="F454" s="139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</row>
    <row r="455" spans="1:48" ht="15.75" hidden="1" customHeight="1" x14ac:dyDescent="0.25">
      <c r="A455" s="81">
        <v>0</v>
      </c>
      <c r="B455" s="81"/>
      <c r="C455" s="81"/>
      <c r="D455" s="81"/>
      <c r="E455" s="139"/>
      <c r="F455" s="139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</row>
    <row r="456" spans="1:48" ht="15.75" hidden="1" customHeight="1" x14ac:dyDescent="0.25">
      <c r="A456" s="81">
        <v>0</v>
      </c>
      <c r="B456" s="81"/>
      <c r="C456" s="81"/>
      <c r="D456" s="81"/>
      <c r="E456" s="139"/>
      <c r="F456" s="139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</row>
    <row r="457" spans="1:48" ht="15.75" hidden="1" customHeight="1" x14ac:dyDescent="0.25">
      <c r="A457" s="81">
        <v>0</v>
      </c>
      <c r="B457" s="81"/>
      <c r="C457" s="81"/>
      <c r="D457" s="81"/>
      <c r="E457" s="139"/>
      <c r="F457" s="139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</row>
    <row r="458" spans="1:48" ht="15.75" hidden="1" customHeight="1" x14ac:dyDescent="0.25">
      <c r="A458" s="81">
        <v>0</v>
      </c>
      <c r="B458" s="81"/>
      <c r="C458" s="81"/>
      <c r="D458" s="81"/>
      <c r="E458" s="139"/>
      <c r="F458" s="139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</row>
    <row r="459" spans="1:48" ht="15.75" hidden="1" customHeight="1" x14ac:dyDescent="0.25">
      <c r="A459" s="81">
        <v>0</v>
      </c>
      <c r="B459" s="81"/>
      <c r="C459" s="81"/>
      <c r="D459" s="81"/>
      <c r="E459" s="139"/>
      <c r="F459" s="139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</row>
    <row r="460" spans="1:48" ht="15.75" hidden="1" customHeight="1" x14ac:dyDescent="0.25">
      <c r="A460" s="81">
        <v>0</v>
      </c>
      <c r="B460" s="81"/>
      <c r="C460" s="81"/>
      <c r="D460" s="81"/>
      <c r="E460" s="81"/>
      <c r="F460" s="139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</row>
    <row r="461" spans="1:48" ht="15.75" hidden="1" customHeight="1" x14ac:dyDescent="0.25">
      <c r="A461" s="81">
        <v>0</v>
      </c>
      <c r="B461" s="81"/>
      <c r="C461" s="81"/>
      <c r="D461" s="81"/>
      <c r="E461" s="139"/>
      <c r="F461" s="139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</row>
    <row r="462" spans="1:48" ht="15.75" hidden="1" customHeight="1" x14ac:dyDescent="0.25">
      <c r="A462" s="81">
        <v>0</v>
      </c>
      <c r="B462" s="81"/>
      <c r="C462" s="81"/>
      <c r="D462" s="81"/>
      <c r="E462" s="139"/>
      <c r="F462" s="139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</row>
    <row r="463" spans="1:48" ht="15.75" hidden="1" customHeight="1" x14ac:dyDescent="0.25">
      <c r="A463" s="81">
        <v>0</v>
      </c>
      <c r="B463" s="81"/>
      <c r="C463" s="81"/>
      <c r="D463" s="81"/>
      <c r="E463" s="139"/>
      <c r="F463" s="139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</row>
    <row r="464" spans="1:48" ht="15.75" hidden="1" customHeight="1" x14ac:dyDescent="0.25">
      <c r="A464" s="81">
        <v>0</v>
      </c>
      <c r="B464" s="81"/>
      <c r="C464" s="81"/>
      <c r="D464" s="81"/>
      <c r="E464" s="139"/>
      <c r="F464" s="139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</row>
    <row r="465" spans="1:48" ht="15.75" hidden="1" customHeight="1" x14ac:dyDescent="0.25">
      <c r="A465" s="81">
        <v>0</v>
      </c>
      <c r="B465" s="81"/>
      <c r="C465" s="81"/>
      <c r="D465" s="81"/>
      <c r="E465" s="139"/>
      <c r="F465" s="139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</row>
    <row r="466" spans="1:48" ht="15.75" hidden="1" customHeight="1" x14ac:dyDescent="0.25">
      <c r="A466" s="81">
        <v>0</v>
      </c>
      <c r="B466" s="81"/>
      <c r="C466" s="81"/>
      <c r="D466" s="81"/>
      <c r="E466" s="139"/>
      <c r="F466" s="139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</row>
    <row r="467" spans="1:48" ht="15.75" hidden="1" customHeight="1" x14ac:dyDescent="0.25">
      <c r="A467" s="81"/>
      <c r="B467" s="184"/>
      <c r="C467" s="184"/>
      <c r="D467" s="184"/>
      <c r="E467" s="185"/>
      <c r="F467" s="185"/>
      <c r="G467" s="184"/>
      <c r="H467" s="184"/>
      <c r="I467" s="184"/>
      <c r="J467" s="184"/>
      <c r="K467" s="184"/>
      <c r="L467" s="184"/>
      <c r="M467" s="184"/>
      <c r="N467" s="185"/>
      <c r="O467" s="185"/>
      <c r="P467" s="184"/>
      <c r="Q467" s="184"/>
      <c r="R467" s="184"/>
      <c r="S467" s="184"/>
      <c r="T467" s="185"/>
      <c r="U467" s="185"/>
      <c r="V467" s="185"/>
      <c r="W467" s="185"/>
      <c r="X467" s="185"/>
      <c r="Y467" s="185"/>
      <c r="Z467" s="185"/>
      <c r="AA467" s="185"/>
      <c r="AB467" s="185"/>
      <c r="AC467" s="185"/>
      <c r="AD467" s="185"/>
      <c r="AE467" s="185"/>
      <c r="AF467" s="185"/>
      <c r="AG467" s="187"/>
      <c r="AH467" s="186"/>
      <c r="AI467" s="187"/>
      <c r="AJ467" s="186"/>
      <c r="AK467" s="187"/>
      <c r="AL467" s="186"/>
      <c r="AM467" s="187"/>
      <c r="AN467" s="187"/>
      <c r="AO467" s="187"/>
      <c r="AP467" s="187"/>
      <c r="AQ467" s="187"/>
      <c r="AR467" s="187"/>
      <c r="AS467" s="187"/>
      <c r="AT467" s="187"/>
      <c r="AU467" s="187"/>
      <c r="AV467" s="187"/>
    </row>
    <row r="468" spans="1:48" ht="15.75" hidden="1" customHeight="1" x14ac:dyDescent="0.25">
      <c r="AE468" s="81"/>
      <c r="AF468" s="81"/>
    </row>
    <row r="469" spans="1:48" ht="15.75" customHeight="1" x14ac:dyDescent="0.25">
      <c r="A469" s="81">
        <v>1</v>
      </c>
      <c r="B469" s="81" t="str">
        <f ca="1">IFERROR(__xludf.DUMMYFUNCTION("IMPORTRANGE(""https://docs.google.com/spreadsheets/d/1g2LPmcMfaLYoj3Hp15n18F9wJYmDeOnYBcrb6zA8koM/edit#"",""EHA!A2:AK50"")"),"#REF!")</f>
        <v>#REF!</v>
      </c>
      <c r="C469" s="81"/>
      <c r="D469" s="81"/>
      <c r="E469" s="81"/>
      <c r="F469" s="81"/>
      <c r="G469" s="81"/>
      <c r="H469" s="81"/>
      <c r="I469" s="18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188"/>
      <c r="W469" s="188"/>
      <c r="X469" s="188"/>
      <c r="Y469" s="188"/>
      <c r="Z469" s="188"/>
      <c r="AA469" s="188"/>
      <c r="AB469" s="188"/>
      <c r="AC469" s="81"/>
      <c r="AD469" s="81"/>
      <c r="AE469" s="81"/>
      <c r="AF469" s="81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</row>
    <row r="470" spans="1:48" ht="15.75" hidden="1" customHeight="1" x14ac:dyDescent="0.25">
      <c r="A470" s="81">
        <v>0</v>
      </c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</row>
    <row r="471" spans="1:48" ht="15.75" hidden="1" customHeight="1" x14ac:dyDescent="0.25">
      <c r="A471" s="81">
        <v>0</v>
      </c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</row>
    <row r="472" spans="1:48" ht="15.75" hidden="1" customHeight="1" x14ac:dyDescent="0.25">
      <c r="A472" s="81">
        <v>0</v>
      </c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</row>
    <row r="473" spans="1:48" ht="15.75" hidden="1" customHeight="1" x14ac:dyDescent="0.25">
      <c r="A473" s="81">
        <v>0</v>
      </c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</row>
    <row r="474" spans="1:48" ht="15.75" hidden="1" customHeight="1" x14ac:dyDescent="0.25">
      <c r="A474" s="81">
        <v>0</v>
      </c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</row>
    <row r="475" spans="1:48" ht="15.75" hidden="1" customHeight="1" x14ac:dyDescent="0.25">
      <c r="A475" s="81">
        <v>0</v>
      </c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</row>
    <row r="476" spans="1:48" ht="15.75" hidden="1" customHeight="1" x14ac:dyDescent="0.25">
      <c r="A476" s="81">
        <v>0</v>
      </c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</row>
    <row r="477" spans="1:48" ht="15.75" hidden="1" customHeight="1" x14ac:dyDescent="0.25">
      <c r="A477" s="81">
        <v>0</v>
      </c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</row>
    <row r="478" spans="1:48" ht="15.75" hidden="1" customHeight="1" x14ac:dyDescent="0.25">
      <c r="A478" s="81">
        <v>0</v>
      </c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</row>
    <row r="479" spans="1:48" ht="15.75" hidden="1" customHeight="1" x14ac:dyDescent="0.25">
      <c r="A479" s="81">
        <v>0</v>
      </c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</row>
    <row r="480" spans="1:48" ht="15.75" hidden="1" customHeight="1" x14ac:dyDescent="0.25">
      <c r="A480" s="81">
        <v>0</v>
      </c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</row>
    <row r="481" spans="1:48" ht="15.75" hidden="1" customHeight="1" x14ac:dyDescent="0.25">
      <c r="A481" s="81">
        <v>0</v>
      </c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</row>
    <row r="482" spans="1:48" ht="15.75" hidden="1" customHeight="1" x14ac:dyDescent="0.25">
      <c r="A482" s="81">
        <v>0</v>
      </c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</row>
    <row r="483" spans="1:48" ht="15.75" hidden="1" customHeight="1" x14ac:dyDescent="0.25">
      <c r="A483" s="81"/>
      <c r="B483" s="184"/>
      <c r="C483" s="184"/>
      <c r="D483" s="184"/>
      <c r="E483" s="185"/>
      <c r="F483" s="185"/>
      <c r="G483" s="184"/>
      <c r="H483" s="184"/>
      <c r="I483" s="184"/>
      <c r="J483" s="184"/>
      <c r="K483" s="184"/>
      <c r="L483" s="184"/>
      <c r="M483" s="184"/>
      <c r="N483" s="185"/>
      <c r="O483" s="185"/>
      <c r="P483" s="184"/>
      <c r="Q483" s="184"/>
      <c r="R483" s="184"/>
      <c r="S483" s="184"/>
      <c r="T483" s="185"/>
      <c r="U483" s="185"/>
      <c r="V483" s="185"/>
      <c r="W483" s="185"/>
      <c r="X483" s="185"/>
      <c r="Y483" s="185"/>
      <c r="Z483" s="185"/>
      <c r="AA483" s="185"/>
      <c r="AB483" s="185"/>
      <c r="AC483" s="185"/>
      <c r="AD483" s="185"/>
      <c r="AE483" s="185"/>
      <c r="AF483" s="185"/>
      <c r="AG483" s="187"/>
      <c r="AH483" s="186"/>
      <c r="AI483" s="187"/>
      <c r="AJ483" s="186"/>
      <c r="AK483" s="187"/>
      <c r="AL483" s="186"/>
      <c r="AM483" s="187"/>
      <c r="AN483" s="187"/>
      <c r="AO483" s="187"/>
      <c r="AP483" s="187"/>
      <c r="AQ483" s="187"/>
      <c r="AR483" s="187"/>
      <c r="AS483" s="187"/>
      <c r="AT483" s="187"/>
      <c r="AU483" s="187"/>
      <c r="AV483" s="187"/>
    </row>
    <row r="484" spans="1:48" ht="15.75" hidden="1" customHeight="1" x14ac:dyDescent="0.25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</row>
    <row r="485" spans="1:48" ht="15.75" hidden="1" customHeight="1" x14ac:dyDescent="0.2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</row>
    <row r="486" spans="1:48" ht="15.75" hidden="1" customHeight="1" x14ac:dyDescent="0.25">
      <c r="A486" s="81">
        <v>0</v>
      </c>
      <c r="B486" s="81"/>
      <c r="C486" s="81"/>
      <c r="D486" s="81"/>
      <c r="E486" s="139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</row>
    <row r="487" spans="1:48" ht="15.75" hidden="1" customHeight="1" x14ac:dyDescent="0.25">
      <c r="A487" s="81">
        <v>0</v>
      </c>
      <c r="B487" s="81"/>
      <c r="C487" s="81"/>
      <c r="D487" s="81"/>
      <c r="E487" s="139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</row>
    <row r="488" spans="1:48" ht="15.75" hidden="1" customHeight="1" x14ac:dyDescent="0.25">
      <c r="A488" s="81">
        <v>0</v>
      </c>
      <c r="B488" s="81"/>
      <c r="C488" s="81"/>
      <c r="D488" s="81"/>
      <c r="E488" s="139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</row>
    <row r="489" spans="1:48" ht="15.75" hidden="1" customHeight="1" x14ac:dyDescent="0.25">
      <c r="A489" s="81">
        <v>0</v>
      </c>
      <c r="B489" s="81"/>
      <c r="C489" s="81"/>
      <c r="D489" s="81"/>
      <c r="E489" s="139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</row>
    <row r="490" spans="1:48" ht="15.75" hidden="1" customHeight="1" x14ac:dyDescent="0.25">
      <c r="A490" s="81">
        <v>0</v>
      </c>
      <c r="B490" s="81"/>
      <c r="C490" s="81"/>
      <c r="D490" s="81"/>
      <c r="E490" s="139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</row>
    <row r="491" spans="1:48" ht="15.75" hidden="1" customHeight="1" x14ac:dyDescent="0.25">
      <c r="A491" s="81">
        <v>0</v>
      </c>
      <c r="B491" s="81"/>
      <c r="C491" s="81"/>
      <c r="D491" s="81"/>
      <c r="E491" s="139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</row>
    <row r="492" spans="1:48" ht="15.75" hidden="1" customHeight="1" x14ac:dyDescent="0.25">
      <c r="A492" s="81">
        <v>0</v>
      </c>
      <c r="B492" s="81"/>
      <c r="C492" s="81"/>
      <c r="D492" s="81"/>
      <c r="E492" s="139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</row>
    <row r="493" spans="1:48" ht="15.75" hidden="1" customHeight="1" x14ac:dyDescent="0.25">
      <c r="A493" s="81">
        <v>0</v>
      </c>
      <c r="B493" s="81"/>
      <c r="C493" s="81"/>
      <c r="D493" s="81"/>
      <c r="E493" s="139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</row>
    <row r="494" spans="1:48" ht="15.75" hidden="1" customHeight="1" x14ac:dyDescent="0.25">
      <c r="A494" s="81">
        <v>0</v>
      </c>
      <c r="B494" s="81"/>
      <c r="C494" s="81"/>
      <c r="D494" s="81"/>
      <c r="E494" s="139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</row>
    <row r="495" spans="1:48" ht="15.75" hidden="1" customHeight="1" x14ac:dyDescent="0.25">
      <c r="A495" s="81">
        <v>0</v>
      </c>
      <c r="B495" s="81"/>
      <c r="C495" s="81"/>
      <c r="D495" s="81"/>
      <c r="E495" s="139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</row>
    <row r="496" spans="1:48" ht="15.75" hidden="1" customHeight="1" x14ac:dyDescent="0.25">
      <c r="A496" s="81">
        <v>0</v>
      </c>
      <c r="B496" s="81"/>
      <c r="C496" s="81"/>
      <c r="D496" s="81"/>
      <c r="E496" s="139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</row>
    <row r="497" spans="1:48" ht="15.75" hidden="1" customHeight="1" x14ac:dyDescent="0.25">
      <c r="A497" s="81">
        <v>0</v>
      </c>
      <c r="B497" s="81"/>
      <c r="C497" s="81"/>
      <c r="D497" s="81"/>
      <c r="E497" s="139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</row>
    <row r="498" spans="1:48" ht="15.75" hidden="1" customHeight="1" x14ac:dyDescent="0.25">
      <c r="A498" s="81">
        <v>0</v>
      </c>
      <c r="B498" s="81"/>
      <c r="C498" s="81"/>
      <c r="D498" s="81"/>
      <c r="E498" s="139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</row>
    <row r="499" spans="1:48" ht="15.75" hidden="1" customHeight="1" x14ac:dyDescent="0.25">
      <c r="A499" s="81">
        <v>0</v>
      </c>
      <c r="B499" s="81"/>
      <c r="C499" s="81"/>
      <c r="D499" s="81"/>
      <c r="E499" s="139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</row>
    <row r="500" spans="1:48" ht="15.75" hidden="1" customHeight="1" x14ac:dyDescent="0.25">
      <c r="A500" s="81"/>
      <c r="B500" s="184"/>
      <c r="C500" s="184"/>
      <c r="D500" s="184"/>
      <c r="E500" s="185"/>
      <c r="F500" s="185"/>
      <c r="G500" s="184"/>
      <c r="H500" s="184"/>
      <c r="I500" s="184"/>
      <c r="J500" s="184"/>
      <c r="K500" s="184"/>
      <c r="L500" s="184"/>
      <c r="M500" s="184"/>
      <c r="N500" s="185"/>
      <c r="O500" s="185"/>
      <c r="P500" s="184"/>
      <c r="Q500" s="184"/>
      <c r="R500" s="184"/>
      <c r="S500" s="184"/>
      <c r="T500" s="185"/>
      <c r="U500" s="185"/>
      <c r="V500" s="185"/>
      <c r="W500" s="185"/>
      <c r="X500" s="185"/>
      <c r="Y500" s="185"/>
      <c r="Z500" s="185"/>
      <c r="AA500" s="185"/>
      <c r="AB500" s="185"/>
      <c r="AC500" s="185"/>
      <c r="AD500" s="185"/>
      <c r="AE500" s="185"/>
      <c r="AF500" s="185"/>
      <c r="AG500" s="187"/>
      <c r="AH500" s="186"/>
      <c r="AI500" s="187"/>
      <c r="AJ500" s="186"/>
      <c r="AK500" s="187"/>
      <c r="AL500" s="186"/>
      <c r="AM500" s="187"/>
      <c r="AN500" s="187"/>
      <c r="AO500" s="187"/>
      <c r="AP500" s="187"/>
      <c r="AQ500" s="187"/>
      <c r="AR500" s="187"/>
      <c r="AS500" s="187"/>
      <c r="AT500" s="187"/>
      <c r="AU500" s="187"/>
      <c r="AV500" s="187"/>
    </row>
    <row r="501" spans="1:48" ht="15.75" hidden="1" customHeight="1" x14ac:dyDescent="0.25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</row>
    <row r="502" spans="1:48" ht="15.75" hidden="1" customHeight="1" x14ac:dyDescent="0.25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</row>
    <row r="503" spans="1:48" ht="15.75" hidden="1" customHeight="1" x14ac:dyDescent="0.25">
      <c r="A503" s="81">
        <v>0</v>
      </c>
      <c r="B503" s="81"/>
      <c r="C503" s="81"/>
      <c r="D503" s="81"/>
      <c r="E503" s="139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</row>
    <row r="504" spans="1:48" ht="15.75" hidden="1" customHeight="1" x14ac:dyDescent="0.25">
      <c r="A504" s="81">
        <v>0</v>
      </c>
      <c r="B504" s="81"/>
      <c r="C504" s="81"/>
      <c r="D504" s="81"/>
      <c r="E504" s="139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</row>
    <row r="505" spans="1:48" ht="15.75" hidden="1" customHeight="1" x14ac:dyDescent="0.25">
      <c r="A505" s="81">
        <v>0</v>
      </c>
      <c r="B505" s="81"/>
      <c r="C505" s="81"/>
      <c r="D505" s="81"/>
      <c r="E505" s="139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</row>
    <row r="506" spans="1:48" ht="15.75" hidden="1" customHeight="1" x14ac:dyDescent="0.25">
      <c r="A506" s="81">
        <v>0</v>
      </c>
      <c r="B506" s="81"/>
      <c r="C506" s="81"/>
      <c r="D506" s="81"/>
      <c r="E506" s="139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</row>
    <row r="507" spans="1:48" ht="15.75" hidden="1" customHeight="1" x14ac:dyDescent="0.25">
      <c r="A507" s="81">
        <v>0</v>
      </c>
      <c r="B507" s="81"/>
      <c r="C507" s="81"/>
      <c r="D507" s="81"/>
      <c r="E507" s="139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</row>
    <row r="508" spans="1:48" ht="15.75" hidden="1" customHeight="1" x14ac:dyDescent="0.25">
      <c r="A508" s="81">
        <v>0</v>
      </c>
      <c r="B508" s="81"/>
      <c r="C508" s="81"/>
      <c r="D508" s="81"/>
      <c r="E508" s="139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</row>
    <row r="509" spans="1:48" ht="15.75" hidden="1" customHeight="1" x14ac:dyDescent="0.25">
      <c r="A509" s="81">
        <v>0</v>
      </c>
      <c r="B509" s="81"/>
      <c r="C509" s="81"/>
      <c r="D509" s="81"/>
      <c r="E509" s="139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</row>
    <row r="510" spans="1:48" ht="15.75" hidden="1" customHeight="1" x14ac:dyDescent="0.25">
      <c r="A510" s="81">
        <v>0</v>
      </c>
      <c r="B510" s="81"/>
      <c r="C510" s="81"/>
      <c r="D510" s="81"/>
      <c r="E510" s="139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</row>
    <row r="511" spans="1:48" ht="15.75" hidden="1" customHeight="1" x14ac:dyDescent="0.25">
      <c r="A511" s="81">
        <v>0</v>
      </c>
      <c r="B511" s="81"/>
      <c r="C511" s="81"/>
      <c r="D511" s="81"/>
      <c r="E511" s="139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</row>
    <row r="512" spans="1:48" ht="15.75" hidden="1" customHeight="1" x14ac:dyDescent="0.25">
      <c r="A512" s="81">
        <v>0</v>
      </c>
      <c r="B512" s="81"/>
      <c r="C512" s="81"/>
      <c r="D512" s="81"/>
      <c r="E512" s="139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</row>
    <row r="513" spans="1:48" ht="15.75" hidden="1" customHeight="1" x14ac:dyDescent="0.25">
      <c r="A513" s="81">
        <v>0</v>
      </c>
      <c r="B513" s="81"/>
      <c r="C513" s="81"/>
      <c r="D513" s="81"/>
      <c r="E513" s="139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</row>
    <row r="514" spans="1:48" ht="15.75" hidden="1" customHeight="1" x14ac:dyDescent="0.25">
      <c r="A514" s="81">
        <v>0</v>
      </c>
      <c r="B514" s="81"/>
      <c r="C514" s="81"/>
      <c r="D514" s="81"/>
      <c r="E514" s="139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</row>
    <row r="515" spans="1:48" ht="15.75" hidden="1" customHeight="1" x14ac:dyDescent="0.25">
      <c r="A515" s="81">
        <v>0</v>
      </c>
      <c r="B515" s="81"/>
      <c r="C515" s="81"/>
      <c r="D515" s="81"/>
      <c r="E515" s="139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</row>
    <row r="516" spans="1:48" ht="15.75" hidden="1" customHeight="1" x14ac:dyDescent="0.25">
      <c r="A516" s="81">
        <v>0</v>
      </c>
      <c r="B516" s="81"/>
      <c r="C516" s="81"/>
      <c r="D516" s="81"/>
      <c r="E516" s="139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</row>
    <row r="517" spans="1:48" ht="15.75" hidden="1" customHeight="1" x14ac:dyDescent="0.25">
      <c r="A517" s="81"/>
      <c r="B517" s="184"/>
      <c r="C517" s="184"/>
      <c r="D517" s="184"/>
      <c r="E517" s="185"/>
      <c r="F517" s="185"/>
      <c r="G517" s="184"/>
      <c r="H517" s="184"/>
      <c r="I517" s="184"/>
      <c r="J517" s="184"/>
      <c r="K517" s="184"/>
      <c r="L517" s="184"/>
      <c r="M517" s="184"/>
      <c r="N517" s="185"/>
      <c r="O517" s="185"/>
      <c r="P517" s="184"/>
      <c r="Q517" s="184"/>
      <c r="R517" s="184"/>
      <c r="S517" s="184"/>
      <c r="T517" s="185"/>
      <c r="U517" s="185"/>
      <c r="V517" s="185"/>
      <c r="W517" s="185"/>
      <c r="X517" s="185"/>
      <c r="Y517" s="185"/>
      <c r="Z517" s="185"/>
      <c r="AA517" s="185"/>
      <c r="AB517" s="185"/>
      <c r="AC517" s="185"/>
      <c r="AD517" s="185"/>
      <c r="AE517" s="185"/>
      <c r="AF517" s="185"/>
      <c r="AG517" s="187"/>
      <c r="AH517" s="186"/>
      <c r="AI517" s="187"/>
      <c r="AJ517" s="186"/>
      <c r="AK517" s="187"/>
      <c r="AL517" s="186"/>
      <c r="AM517" s="187"/>
      <c r="AN517" s="187"/>
      <c r="AO517" s="187"/>
      <c r="AP517" s="187"/>
      <c r="AQ517" s="187"/>
      <c r="AR517" s="187"/>
      <c r="AS517" s="187"/>
      <c r="AT517" s="187"/>
      <c r="AU517" s="187"/>
      <c r="AV517" s="187"/>
    </row>
    <row r="518" spans="1:48" ht="15.75" hidden="1" customHeight="1" x14ac:dyDescent="0.25">
      <c r="AE518" s="81"/>
      <c r="AF518" s="81"/>
    </row>
    <row r="519" spans="1:48" ht="15.75" hidden="1" customHeight="1" x14ac:dyDescent="0.25">
      <c r="A519" s="81">
        <v>0</v>
      </c>
      <c r="B519" s="81" t="str">
        <f ca="1">IFERROR(__xludf.DUMMYFUNCTION("IMPORTRANGE(""https://docs.google.com/spreadsheets/d/1BShtVTUOc-Av9wkMRitu1lvbE2to2OFUwBEQfMiEcCY/edit#"",""EHA!A2:AK50"")"),"#REF!")</f>
        <v>#REF!</v>
      </c>
      <c r="C519" s="81"/>
      <c r="D519" s="81"/>
      <c r="E519" s="81"/>
      <c r="F519" s="139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</row>
    <row r="520" spans="1:48" ht="15.75" hidden="1" customHeight="1" x14ac:dyDescent="0.25">
      <c r="A520" s="81">
        <v>0</v>
      </c>
      <c r="B520" s="81"/>
      <c r="C520" s="81"/>
      <c r="D520" s="81"/>
      <c r="E520" s="81"/>
      <c r="F520" s="139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</row>
    <row r="521" spans="1:48" ht="15.75" hidden="1" customHeight="1" x14ac:dyDescent="0.25">
      <c r="A521" s="81">
        <v>0</v>
      </c>
      <c r="B521" s="81"/>
      <c r="C521" s="81"/>
      <c r="D521" s="81"/>
      <c r="E521" s="81"/>
      <c r="F521" s="139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</row>
    <row r="522" spans="1:48" ht="15.75" hidden="1" customHeight="1" x14ac:dyDescent="0.25">
      <c r="A522" s="81">
        <v>0</v>
      </c>
      <c r="B522" s="81"/>
      <c r="C522" s="81"/>
      <c r="D522" s="81"/>
      <c r="E522" s="81"/>
      <c r="F522" s="139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</row>
    <row r="523" spans="1:48" ht="15.75" hidden="1" customHeight="1" x14ac:dyDescent="0.25">
      <c r="A523" s="81">
        <v>0</v>
      </c>
      <c r="B523" s="81"/>
      <c r="C523" s="81"/>
      <c r="D523" s="81"/>
      <c r="E523" s="81"/>
      <c r="F523" s="139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</row>
    <row r="524" spans="1:48" ht="15.75" hidden="1" customHeight="1" x14ac:dyDescent="0.25">
      <c r="A524" s="81">
        <v>0</v>
      </c>
      <c r="B524" s="81"/>
      <c r="C524" s="81"/>
      <c r="D524" s="81"/>
      <c r="E524" s="81"/>
      <c r="F524" s="139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</row>
    <row r="525" spans="1:48" ht="15.75" hidden="1" customHeight="1" x14ac:dyDescent="0.25">
      <c r="A525" s="81">
        <v>0</v>
      </c>
      <c r="B525" s="81"/>
      <c r="C525" s="81"/>
      <c r="D525" s="81"/>
      <c r="E525" s="81"/>
      <c r="F525" s="139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</row>
    <row r="526" spans="1:48" ht="15.75" hidden="1" customHeight="1" x14ac:dyDescent="0.25">
      <c r="A526" s="81">
        <v>0</v>
      </c>
      <c r="B526" s="81"/>
      <c r="C526" s="81"/>
      <c r="D526" s="81"/>
      <c r="E526" s="81"/>
      <c r="F526" s="139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</row>
    <row r="527" spans="1:48" ht="15.75" hidden="1" customHeight="1" x14ac:dyDescent="0.25">
      <c r="A527" s="81">
        <v>0</v>
      </c>
      <c r="B527" s="81"/>
      <c r="C527" s="81"/>
      <c r="D527" s="81"/>
      <c r="E527" s="81"/>
      <c r="F527" s="139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</row>
    <row r="528" spans="1:48" ht="15.75" hidden="1" customHeight="1" x14ac:dyDescent="0.25">
      <c r="A528" s="81">
        <v>0</v>
      </c>
      <c r="B528" s="81"/>
      <c r="C528" s="81"/>
      <c r="D528" s="81"/>
      <c r="E528" s="81"/>
      <c r="F528" s="139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</row>
    <row r="529" spans="1:48" ht="15.75" hidden="1" customHeight="1" x14ac:dyDescent="0.25">
      <c r="A529" s="81">
        <v>0</v>
      </c>
      <c r="B529" s="81"/>
      <c r="C529" s="81"/>
      <c r="D529" s="81"/>
      <c r="E529" s="81"/>
      <c r="F529" s="139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</row>
    <row r="530" spans="1:48" ht="15.75" hidden="1" customHeight="1" x14ac:dyDescent="0.25">
      <c r="A530" s="81">
        <v>0</v>
      </c>
      <c r="B530" s="81"/>
      <c r="C530" s="81"/>
      <c r="D530" s="81"/>
      <c r="E530" s="81"/>
      <c r="F530" s="139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</row>
    <row r="531" spans="1:48" ht="15.75" hidden="1" customHeight="1" x14ac:dyDescent="0.25">
      <c r="A531" s="81">
        <v>0</v>
      </c>
      <c r="B531" s="81"/>
      <c r="C531" s="81"/>
      <c r="D531" s="81"/>
      <c r="E531" s="81"/>
      <c r="F531" s="139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</row>
    <row r="532" spans="1:48" ht="15.75" hidden="1" customHeight="1" x14ac:dyDescent="0.25">
      <c r="A532" s="81">
        <v>0</v>
      </c>
      <c r="B532" s="81"/>
      <c r="C532" s="81"/>
      <c r="D532" s="81"/>
      <c r="E532" s="81"/>
      <c r="F532" s="139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</row>
    <row r="533" spans="1:48" ht="15.75" hidden="1" customHeight="1" x14ac:dyDescent="0.25">
      <c r="A533" s="81"/>
      <c r="B533" s="184"/>
      <c r="C533" s="184"/>
      <c r="D533" s="184"/>
      <c r="E533" s="185"/>
      <c r="F533" s="185"/>
      <c r="G533" s="184"/>
      <c r="H533" s="184"/>
      <c r="I533" s="184"/>
      <c r="J533" s="184"/>
      <c r="K533" s="184"/>
      <c r="L533" s="184"/>
      <c r="M533" s="184"/>
      <c r="N533" s="185"/>
      <c r="O533" s="185"/>
      <c r="P533" s="184"/>
      <c r="Q533" s="184"/>
      <c r="R533" s="184"/>
      <c r="S533" s="184"/>
      <c r="T533" s="185"/>
      <c r="U533" s="185"/>
      <c r="V533" s="185"/>
      <c r="W533" s="185"/>
      <c r="X533" s="185"/>
      <c r="Y533" s="185"/>
      <c r="Z533" s="185"/>
      <c r="AA533" s="185"/>
      <c r="AB533" s="185"/>
      <c r="AC533" s="185"/>
      <c r="AD533" s="185"/>
      <c r="AE533" s="185"/>
      <c r="AF533" s="185"/>
      <c r="AG533" s="187"/>
      <c r="AH533" s="186"/>
      <c r="AI533" s="187"/>
      <c r="AJ533" s="186"/>
      <c r="AK533" s="187"/>
      <c r="AL533" s="186"/>
      <c r="AM533" s="187"/>
      <c r="AN533" s="187"/>
      <c r="AO533" s="187"/>
      <c r="AP533" s="187"/>
      <c r="AQ533" s="187"/>
      <c r="AR533" s="187"/>
      <c r="AS533" s="187"/>
      <c r="AT533" s="187"/>
      <c r="AU533" s="187"/>
      <c r="AV533" s="187"/>
    </row>
    <row r="534" spans="1:48" ht="15.75" hidden="1" customHeight="1" x14ac:dyDescent="0.25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</row>
    <row r="535" spans="1:48" ht="15.75" hidden="1" customHeight="1" x14ac:dyDescent="0.2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</row>
    <row r="536" spans="1:48" ht="15.75" hidden="1" customHeight="1" x14ac:dyDescent="0.25">
      <c r="A536" s="81">
        <v>0</v>
      </c>
      <c r="B536" s="81"/>
      <c r="C536" s="81"/>
      <c r="D536" s="81"/>
      <c r="E536" s="139"/>
      <c r="F536" s="139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</row>
    <row r="537" spans="1:48" ht="15.75" hidden="1" customHeight="1" x14ac:dyDescent="0.25">
      <c r="A537" s="81">
        <v>0</v>
      </c>
      <c r="B537" s="81"/>
      <c r="C537" s="81"/>
      <c r="D537" s="81"/>
      <c r="E537" s="139"/>
      <c r="F537" s="139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</row>
    <row r="538" spans="1:48" ht="15.75" hidden="1" customHeight="1" x14ac:dyDescent="0.25">
      <c r="A538" s="81">
        <v>0</v>
      </c>
      <c r="B538" s="81"/>
      <c r="C538" s="81"/>
      <c r="D538" s="81"/>
      <c r="E538" s="139"/>
      <c r="F538" s="139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</row>
    <row r="539" spans="1:48" ht="15.75" hidden="1" customHeight="1" x14ac:dyDescent="0.25">
      <c r="A539" s="81">
        <v>0</v>
      </c>
      <c r="B539" s="81"/>
      <c r="C539" s="81"/>
      <c r="D539" s="81"/>
      <c r="E539" s="139"/>
      <c r="F539" s="139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</row>
    <row r="540" spans="1:48" ht="15.75" hidden="1" customHeight="1" x14ac:dyDescent="0.25">
      <c r="A540" s="81">
        <v>0</v>
      </c>
      <c r="B540" s="81"/>
      <c r="C540" s="81"/>
      <c r="D540" s="81"/>
      <c r="E540" s="139"/>
      <c r="F540" s="139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</row>
    <row r="541" spans="1:48" ht="15.75" hidden="1" customHeight="1" x14ac:dyDescent="0.25">
      <c r="A541" s="81">
        <v>0</v>
      </c>
      <c r="B541" s="81"/>
      <c r="C541" s="81"/>
      <c r="D541" s="81"/>
      <c r="E541" s="139"/>
      <c r="F541" s="139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</row>
    <row r="542" spans="1:48" ht="15.75" hidden="1" customHeight="1" x14ac:dyDescent="0.25">
      <c r="A542" s="81">
        <v>0</v>
      </c>
      <c r="B542" s="81"/>
      <c r="C542" s="81"/>
      <c r="D542" s="81"/>
      <c r="E542" s="139"/>
      <c r="F542" s="139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</row>
    <row r="543" spans="1:48" ht="15.75" hidden="1" customHeight="1" x14ac:dyDescent="0.25">
      <c r="A543" s="81">
        <v>0</v>
      </c>
      <c r="B543" s="81"/>
      <c r="C543" s="81"/>
      <c r="D543" s="81"/>
      <c r="E543" s="81"/>
      <c r="F543" s="139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</row>
    <row r="544" spans="1:48" ht="15.75" hidden="1" customHeight="1" x14ac:dyDescent="0.25">
      <c r="A544" s="81">
        <v>0</v>
      </c>
      <c r="B544" s="81"/>
      <c r="C544" s="81"/>
      <c r="D544" s="81"/>
      <c r="E544" s="139"/>
      <c r="F544" s="139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</row>
    <row r="545" spans="1:48" ht="15.75" hidden="1" customHeight="1" x14ac:dyDescent="0.25">
      <c r="A545" s="81">
        <v>0</v>
      </c>
      <c r="B545" s="81"/>
      <c r="C545" s="81"/>
      <c r="D545" s="81"/>
      <c r="E545" s="139"/>
      <c r="F545" s="139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</row>
    <row r="546" spans="1:48" ht="15.75" hidden="1" customHeight="1" x14ac:dyDescent="0.25">
      <c r="A546" s="81">
        <v>0</v>
      </c>
      <c r="B546" s="81"/>
      <c r="C546" s="81"/>
      <c r="D546" s="81"/>
      <c r="E546" s="139"/>
      <c r="F546" s="139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</row>
    <row r="547" spans="1:48" ht="15.75" hidden="1" customHeight="1" x14ac:dyDescent="0.25">
      <c r="A547" s="81">
        <v>0</v>
      </c>
      <c r="B547" s="81"/>
      <c r="C547" s="81"/>
      <c r="D547" s="81"/>
      <c r="E547" s="139"/>
      <c r="F547" s="139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</row>
    <row r="548" spans="1:48" ht="15.75" hidden="1" customHeight="1" x14ac:dyDescent="0.25">
      <c r="A548" s="81">
        <v>0</v>
      </c>
      <c r="B548" s="81"/>
      <c r="C548" s="81"/>
      <c r="D548" s="81"/>
      <c r="E548" s="139"/>
      <c r="F548" s="139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</row>
    <row r="549" spans="1:48" ht="15.75" hidden="1" customHeight="1" x14ac:dyDescent="0.25">
      <c r="A549" s="81">
        <v>0</v>
      </c>
      <c r="B549" s="81"/>
      <c r="C549" s="81"/>
      <c r="D549" s="81"/>
      <c r="E549" s="139"/>
      <c r="F549" s="139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</row>
    <row r="550" spans="1:48" ht="15.75" hidden="1" customHeight="1" x14ac:dyDescent="0.25">
      <c r="A550" s="81"/>
      <c r="B550" s="184"/>
      <c r="C550" s="184"/>
      <c r="D550" s="184"/>
      <c r="E550" s="185"/>
      <c r="F550" s="185"/>
      <c r="G550" s="184"/>
      <c r="H550" s="184"/>
      <c r="I550" s="184"/>
      <c r="J550" s="184"/>
      <c r="K550" s="184"/>
      <c r="L550" s="184"/>
      <c r="M550" s="184"/>
      <c r="N550" s="185"/>
      <c r="O550" s="185"/>
      <c r="P550" s="184"/>
      <c r="Q550" s="184"/>
      <c r="R550" s="184"/>
      <c r="S550" s="184"/>
      <c r="T550" s="185"/>
      <c r="U550" s="185"/>
      <c r="V550" s="185"/>
      <c r="W550" s="185"/>
      <c r="X550" s="185"/>
      <c r="Y550" s="185"/>
      <c r="Z550" s="185"/>
      <c r="AA550" s="185"/>
      <c r="AB550" s="185"/>
      <c r="AC550" s="185"/>
      <c r="AD550" s="185"/>
      <c r="AE550" s="185"/>
      <c r="AF550" s="185"/>
      <c r="AG550" s="187"/>
      <c r="AH550" s="186"/>
      <c r="AI550" s="187"/>
      <c r="AJ550" s="186"/>
      <c r="AK550" s="187"/>
      <c r="AL550" s="186"/>
      <c r="AM550" s="187"/>
      <c r="AN550" s="187"/>
      <c r="AO550" s="187"/>
      <c r="AP550" s="187"/>
      <c r="AQ550" s="187"/>
      <c r="AR550" s="187"/>
      <c r="AS550" s="187"/>
      <c r="AT550" s="187"/>
      <c r="AU550" s="187"/>
      <c r="AV550" s="187"/>
    </row>
    <row r="551" spans="1:48" ht="15.75" hidden="1" customHeight="1" x14ac:dyDescent="0.25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</row>
    <row r="552" spans="1:48" ht="15.75" hidden="1" customHeight="1" x14ac:dyDescent="0.25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</row>
    <row r="553" spans="1:48" ht="15.75" hidden="1" customHeight="1" x14ac:dyDescent="0.25">
      <c r="A553" s="81">
        <v>0</v>
      </c>
      <c r="B553" s="81"/>
      <c r="C553" s="81"/>
      <c r="D553" s="81"/>
      <c r="E553" s="139"/>
      <c r="F553" s="139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</row>
    <row r="554" spans="1:48" ht="15.75" hidden="1" customHeight="1" x14ac:dyDescent="0.25">
      <c r="A554" s="81">
        <v>0</v>
      </c>
      <c r="B554" s="81"/>
      <c r="C554" s="81"/>
      <c r="D554" s="81"/>
      <c r="E554" s="139"/>
      <c r="F554" s="139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</row>
    <row r="555" spans="1:48" ht="15.75" hidden="1" customHeight="1" x14ac:dyDescent="0.25">
      <c r="A555" s="81">
        <v>0</v>
      </c>
      <c r="B555" s="81"/>
      <c r="C555" s="81"/>
      <c r="D555" s="81"/>
      <c r="E555" s="139"/>
      <c r="F555" s="139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</row>
    <row r="556" spans="1:48" ht="15.75" hidden="1" customHeight="1" x14ac:dyDescent="0.25">
      <c r="A556" s="81">
        <v>0</v>
      </c>
      <c r="B556" s="81"/>
      <c r="C556" s="81"/>
      <c r="D556" s="81"/>
      <c r="E556" s="139"/>
      <c r="F556" s="139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</row>
    <row r="557" spans="1:48" ht="15.75" hidden="1" customHeight="1" x14ac:dyDescent="0.25">
      <c r="A557" s="81">
        <v>0</v>
      </c>
      <c r="B557" s="81"/>
      <c r="C557" s="81"/>
      <c r="D557" s="81"/>
      <c r="E557" s="139"/>
      <c r="F557" s="139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</row>
    <row r="558" spans="1:48" ht="15.75" hidden="1" customHeight="1" x14ac:dyDescent="0.25">
      <c r="A558" s="81">
        <v>0</v>
      </c>
      <c r="B558" s="81"/>
      <c r="C558" s="81"/>
      <c r="D558" s="81"/>
      <c r="E558" s="139"/>
      <c r="F558" s="139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</row>
    <row r="559" spans="1:48" ht="15.75" hidden="1" customHeight="1" x14ac:dyDescent="0.25">
      <c r="A559" s="81">
        <v>0</v>
      </c>
      <c r="B559" s="81"/>
      <c r="C559" s="81"/>
      <c r="D559" s="81"/>
      <c r="E559" s="139"/>
      <c r="F559" s="139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</row>
    <row r="560" spans="1:48" ht="15.75" hidden="1" customHeight="1" x14ac:dyDescent="0.25">
      <c r="A560" s="81">
        <v>0</v>
      </c>
      <c r="B560" s="81"/>
      <c r="C560" s="81"/>
      <c r="D560" s="81"/>
      <c r="E560" s="81"/>
      <c r="F560" s="139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</row>
    <row r="561" spans="1:48" ht="15.75" hidden="1" customHeight="1" x14ac:dyDescent="0.25">
      <c r="A561" s="81">
        <v>0</v>
      </c>
      <c r="B561" s="81"/>
      <c r="C561" s="81"/>
      <c r="D561" s="81"/>
      <c r="E561" s="139"/>
      <c r="F561" s="139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</row>
    <row r="562" spans="1:48" ht="15.75" hidden="1" customHeight="1" x14ac:dyDescent="0.25">
      <c r="A562" s="81">
        <v>0</v>
      </c>
      <c r="B562" s="81"/>
      <c r="C562" s="81"/>
      <c r="D562" s="81"/>
      <c r="E562" s="139"/>
      <c r="F562" s="139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</row>
    <row r="563" spans="1:48" ht="15.75" hidden="1" customHeight="1" x14ac:dyDescent="0.25">
      <c r="A563" s="81">
        <v>0</v>
      </c>
      <c r="B563" s="81"/>
      <c r="C563" s="81"/>
      <c r="D563" s="81"/>
      <c r="E563" s="139"/>
      <c r="F563" s="139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</row>
    <row r="564" spans="1:48" ht="15.75" hidden="1" customHeight="1" x14ac:dyDescent="0.25">
      <c r="A564" s="81">
        <v>0</v>
      </c>
      <c r="B564" s="81"/>
      <c r="C564" s="81"/>
      <c r="D564" s="81"/>
      <c r="E564" s="139"/>
      <c r="F564" s="139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</row>
    <row r="565" spans="1:48" ht="15.75" hidden="1" customHeight="1" x14ac:dyDescent="0.25">
      <c r="A565" s="81">
        <v>0</v>
      </c>
      <c r="B565" s="81"/>
      <c r="C565" s="81"/>
      <c r="D565" s="81"/>
      <c r="E565" s="139"/>
      <c r="F565" s="139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</row>
    <row r="566" spans="1:48" ht="15.75" hidden="1" customHeight="1" x14ac:dyDescent="0.25">
      <c r="A566" s="81">
        <v>0</v>
      </c>
      <c r="B566" s="81"/>
      <c r="C566" s="81"/>
      <c r="D566" s="81"/>
      <c r="E566" s="139"/>
      <c r="F566" s="139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</row>
    <row r="567" spans="1:48" ht="15.75" hidden="1" customHeight="1" x14ac:dyDescent="0.25">
      <c r="A567" s="81"/>
      <c r="B567" s="184"/>
      <c r="C567" s="184"/>
      <c r="D567" s="184"/>
      <c r="E567" s="185"/>
      <c r="F567" s="185"/>
      <c r="G567" s="184"/>
      <c r="H567" s="184"/>
      <c r="I567" s="184"/>
      <c r="J567" s="184"/>
      <c r="K567" s="184"/>
      <c r="L567" s="184"/>
      <c r="M567" s="184"/>
      <c r="N567" s="185"/>
      <c r="O567" s="185"/>
      <c r="P567" s="184"/>
      <c r="Q567" s="184"/>
      <c r="R567" s="184"/>
      <c r="S567" s="184"/>
      <c r="T567" s="185"/>
      <c r="U567" s="185"/>
      <c r="V567" s="185"/>
      <c r="W567" s="185"/>
      <c r="X567" s="185"/>
      <c r="Y567" s="185"/>
      <c r="Z567" s="185"/>
      <c r="AA567" s="185"/>
      <c r="AB567" s="185"/>
      <c r="AC567" s="185"/>
      <c r="AD567" s="185"/>
      <c r="AE567" s="185"/>
      <c r="AF567" s="185"/>
      <c r="AG567" s="187"/>
      <c r="AH567" s="186"/>
      <c r="AI567" s="187"/>
      <c r="AJ567" s="186"/>
      <c r="AK567" s="187"/>
      <c r="AL567" s="186"/>
      <c r="AM567" s="187"/>
      <c r="AN567" s="187"/>
      <c r="AO567" s="187"/>
      <c r="AP567" s="187"/>
      <c r="AQ567" s="187"/>
      <c r="AR567" s="187"/>
      <c r="AS567" s="187"/>
      <c r="AT567" s="187"/>
      <c r="AU567" s="187"/>
      <c r="AV567" s="187"/>
    </row>
    <row r="568" spans="1:48" ht="15.75" hidden="1" customHeight="1" x14ac:dyDescent="0.25">
      <c r="AE568" s="81"/>
      <c r="AF568" s="81"/>
    </row>
    <row r="569" spans="1:48" ht="15.75" hidden="1" customHeight="1" x14ac:dyDescent="0.25">
      <c r="A569" s="81">
        <v>0</v>
      </c>
      <c r="B569" s="81" t="str">
        <f ca="1">IFERROR(__xludf.DUMMYFUNCTION("IMPORTRANGE(""https://docs.google.com/spreadsheets/d/1FjySyHCOCXBK5Av5kCrHUil0kAMIcFtEcn39IP0bTEU/edit#"",""EHA!A2:AK16"")"),"#REF!")</f>
        <v>#REF!</v>
      </c>
      <c r="C569" s="81"/>
      <c r="D569" s="81"/>
      <c r="E569" s="139"/>
      <c r="F569" s="139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</row>
    <row r="570" spans="1:48" ht="15.75" hidden="1" customHeight="1" x14ac:dyDescent="0.25">
      <c r="A570" s="81">
        <v>0</v>
      </c>
      <c r="B570" s="81"/>
      <c r="C570" s="81"/>
      <c r="D570" s="81"/>
      <c r="E570" s="139"/>
      <c r="F570" s="139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</row>
    <row r="571" spans="1:48" ht="15.75" hidden="1" customHeight="1" x14ac:dyDescent="0.25">
      <c r="A571" s="81">
        <v>0</v>
      </c>
      <c r="B571" s="81"/>
      <c r="C571" s="81"/>
      <c r="D571" s="81"/>
      <c r="E571" s="139"/>
      <c r="F571" s="139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</row>
    <row r="572" spans="1:48" ht="15.75" hidden="1" customHeight="1" x14ac:dyDescent="0.25">
      <c r="A572" s="81">
        <v>0</v>
      </c>
      <c r="B572" s="81"/>
      <c r="C572" s="81"/>
      <c r="D572" s="81"/>
      <c r="E572" s="139"/>
      <c r="F572" s="139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</row>
    <row r="573" spans="1:48" ht="15.75" hidden="1" customHeight="1" x14ac:dyDescent="0.25">
      <c r="A573" s="81">
        <v>0</v>
      </c>
      <c r="B573" s="81"/>
      <c r="C573" s="81"/>
      <c r="D573" s="81"/>
      <c r="E573" s="139"/>
      <c r="F573" s="139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</row>
    <row r="574" spans="1:48" ht="15.75" hidden="1" customHeight="1" x14ac:dyDescent="0.25">
      <c r="A574" s="81">
        <v>0</v>
      </c>
      <c r="B574" s="81"/>
      <c r="C574" s="81"/>
      <c r="D574" s="81"/>
      <c r="E574" s="139"/>
      <c r="F574" s="139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</row>
    <row r="575" spans="1:48" ht="15.75" hidden="1" customHeight="1" x14ac:dyDescent="0.25">
      <c r="A575" s="81">
        <v>0</v>
      </c>
      <c r="B575" s="81"/>
      <c r="C575" s="81"/>
      <c r="D575" s="81"/>
      <c r="E575" s="139"/>
      <c r="F575" s="139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</row>
    <row r="576" spans="1:48" ht="15.75" hidden="1" customHeight="1" x14ac:dyDescent="0.25">
      <c r="A576" s="81">
        <v>0</v>
      </c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</row>
    <row r="577" spans="1:48" ht="15.75" hidden="1" customHeight="1" x14ac:dyDescent="0.25">
      <c r="A577" s="81">
        <v>0</v>
      </c>
      <c r="B577" s="81"/>
      <c r="C577" s="81"/>
      <c r="D577" s="81"/>
      <c r="E577" s="139"/>
      <c r="F577" s="139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</row>
    <row r="578" spans="1:48" ht="15.75" hidden="1" customHeight="1" x14ac:dyDescent="0.25">
      <c r="A578" s="81">
        <v>0</v>
      </c>
      <c r="B578" s="81"/>
      <c r="C578" s="81"/>
      <c r="D578" s="81"/>
      <c r="E578" s="139"/>
      <c r="F578" s="139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</row>
    <row r="579" spans="1:48" ht="15.75" hidden="1" customHeight="1" x14ac:dyDescent="0.25">
      <c r="A579" s="81">
        <v>0</v>
      </c>
      <c r="B579" s="81"/>
      <c r="C579" s="81"/>
      <c r="D579" s="81"/>
      <c r="E579" s="139"/>
      <c r="F579" s="139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</row>
    <row r="580" spans="1:48" ht="15.75" hidden="1" customHeight="1" x14ac:dyDescent="0.25">
      <c r="A580" s="81">
        <v>0</v>
      </c>
      <c r="B580" s="81"/>
      <c r="C580" s="81"/>
      <c r="D580" s="81"/>
      <c r="E580" s="139"/>
      <c r="F580" s="139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</row>
    <row r="581" spans="1:48" ht="15.75" hidden="1" customHeight="1" x14ac:dyDescent="0.25">
      <c r="A581" s="81">
        <v>0</v>
      </c>
      <c r="B581" s="81"/>
      <c r="C581" s="81"/>
      <c r="D581" s="81"/>
      <c r="E581" s="139"/>
      <c r="F581" s="139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</row>
    <row r="582" spans="1:48" ht="15.75" hidden="1" customHeight="1" x14ac:dyDescent="0.25">
      <c r="A582" s="81">
        <v>0</v>
      </c>
      <c r="B582" s="81"/>
      <c r="C582" s="81"/>
      <c r="D582" s="81"/>
      <c r="E582" s="139"/>
      <c r="F582" s="139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</row>
    <row r="583" spans="1:48" ht="15.75" hidden="1" customHeight="1" x14ac:dyDescent="0.25">
      <c r="A583" s="81"/>
      <c r="B583" s="184"/>
      <c r="C583" s="184"/>
      <c r="D583" s="184"/>
      <c r="E583" s="185"/>
      <c r="F583" s="185"/>
      <c r="G583" s="184"/>
      <c r="H583" s="184"/>
      <c r="I583" s="184"/>
      <c r="J583" s="184"/>
      <c r="K583" s="184"/>
      <c r="L583" s="184"/>
      <c r="M583" s="184"/>
      <c r="N583" s="185"/>
      <c r="O583" s="185"/>
      <c r="P583" s="184"/>
      <c r="Q583" s="184"/>
      <c r="R583" s="184"/>
      <c r="S583" s="184"/>
      <c r="T583" s="185"/>
      <c r="U583" s="185"/>
      <c r="V583" s="185"/>
      <c r="W583" s="185"/>
      <c r="X583" s="185"/>
      <c r="Y583" s="185"/>
      <c r="Z583" s="185"/>
      <c r="AA583" s="185"/>
      <c r="AB583" s="185"/>
      <c r="AC583" s="185"/>
      <c r="AD583" s="185"/>
      <c r="AE583" s="185"/>
      <c r="AF583" s="185"/>
      <c r="AG583" s="187"/>
      <c r="AH583" s="186"/>
      <c r="AI583" s="187"/>
      <c r="AJ583" s="186"/>
      <c r="AK583" s="187"/>
      <c r="AL583" s="186"/>
      <c r="AM583" s="187"/>
      <c r="AN583" s="187"/>
      <c r="AO583" s="187"/>
      <c r="AP583" s="187"/>
      <c r="AQ583" s="187"/>
      <c r="AR583" s="187"/>
      <c r="AS583" s="187"/>
      <c r="AT583" s="187"/>
      <c r="AU583" s="187"/>
      <c r="AV583" s="187"/>
    </row>
    <row r="584" spans="1:48" ht="15.75" hidden="1" customHeight="1" x14ac:dyDescent="0.25">
      <c r="AE584" s="81"/>
      <c r="AF584" s="81"/>
    </row>
    <row r="585" spans="1:48" ht="15.75" hidden="1" customHeight="1" x14ac:dyDescent="0.25">
      <c r="A585" s="81">
        <v>0</v>
      </c>
      <c r="B585" s="81" t="str">
        <f ca="1">IFERROR(__xludf.DUMMYFUNCTION("importrange(""https://docs.google.com/spreadsheets/d/1kyd57zrYeiyR3qjHS39TRn28TYUCHUFSSHydVasEYvk/edit#"",""EHA!A2:AK16"")"),"#REF!")</f>
        <v>#REF!</v>
      </c>
      <c r="C585" s="81"/>
      <c r="D585" s="81"/>
      <c r="E585" s="139"/>
      <c r="F585" s="139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</row>
    <row r="586" spans="1:48" ht="15.75" hidden="1" customHeight="1" x14ac:dyDescent="0.25">
      <c r="A586" s="81">
        <v>0</v>
      </c>
      <c r="B586" s="81"/>
      <c r="C586" s="81"/>
      <c r="D586" s="81"/>
      <c r="E586" s="139"/>
      <c r="F586" s="139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</row>
    <row r="587" spans="1:48" ht="15.75" hidden="1" customHeight="1" x14ac:dyDescent="0.25">
      <c r="A587" s="81">
        <v>0</v>
      </c>
      <c r="B587" s="81"/>
      <c r="C587" s="81"/>
      <c r="D587" s="81"/>
      <c r="E587" s="139"/>
      <c r="F587" s="139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</row>
    <row r="588" spans="1:48" ht="15.75" hidden="1" customHeight="1" x14ac:dyDescent="0.25">
      <c r="A588" s="81">
        <v>0</v>
      </c>
      <c r="B588" s="81"/>
      <c r="C588" s="81"/>
      <c r="D588" s="81"/>
      <c r="E588" s="139"/>
      <c r="F588" s="139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</row>
    <row r="589" spans="1:48" ht="15.75" hidden="1" customHeight="1" x14ac:dyDescent="0.25">
      <c r="A589" s="81">
        <v>0</v>
      </c>
      <c r="B589" s="81"/>
      <c r="C589" s="81"/>
      <c r="D589" s="81"/>
      <c r="E589" s="139"/>
      <c r="F589" s="139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</row>
    <row r="590" spans="1:48" ht="15.75" hidden="1" customHeight="1" x14ac:dyDescent="0.25">
      <c r="A590" s="81">
        <v>0</v>
      </c>
      <c r="B590" s="81"/>
      <c r="C590" s="81"/>
      <c r="D590" s="81"/>
      <c r="E590" s="139"/>
      <c r="F590" s="139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</row>
    <row r="591" spans="1:48" ht="15.75" hidden="1" customHeight="1" x14ac:dyDescent="0.25">
      <c r="A591" s="81">
        <v>0</v>
      </c>
      <c r="B591" s="81"/>
      <c r="C591" s="81"/>
      <c r="D591" s="81"/>
      <c r="E591" s="139"/>
      <c r="F591" s="139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</row>
    <row r="592" spans="1:48" ht="15.75" hidden="1" customHeight="1" x14ac:dyDescent="0.25">
      <c r="A592" s="81">
        <v>0</v>
      </c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</row>
    <row r="593" spans="1:48" ht="15.75" hidden="1" customHeight="1" x14ac:dyDescent="0.25">
      <c r="A593" s="81">
        <v>0</v>
      </c>
      <c r="B593" s="81"/>
      <c r="C593" s="81"/>
      <c r="D593" s="81"/>
      <c r="E593" s="139"/>
      <c r="F593" s="139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</row>
    <row r="594" spans="1:48" ht="15.75" hidden="1" customHeight="1" x14ac:dyDescent="0.25">
      <c r="A594" s="81">
        <v>0</v>
      </c>
      <c r="B594" s="81"/>
      <c r="C594" s="81"/>
      <c r="D594" s="81"/>
      <c r="E594" s="139"/>
      <c r="F594" s="139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</row>
    <row r="595" spans="1:48" ht="15.75" hidden="1" customHeight="1" x14ac:dyDescent="0.25">
      <c r="A595" s="81">
        <v>0</v>
      </c>
      <c r="B595" s="81"/>
      <c r="C595" s="81"/>
      <c r="D595" s="81"/>
      <c r="E595" s="139"/>
      <c r="F595" s="139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</row>
    <row r="596" spans="1:48" ht="15.75" hidden="1" customHeight="1" x14ac:dyDescent="0.25">
      <c r="A596" s="81">
        <v>0</v>
      </c>
      <c r="B596" s="81"/>
      <c r="C596" s="81"/>
      <c r="D596" s="81"/>
      <c r="E596" s="139"/>
      <c r="F596" s="139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</row>
    <row r="597" spans="1:48" ht="15.75" hidden="1" customHeight="1" x14ac:dyDescent="0.25">
      <c r="A597" s="81">
        <v>0</v>
      </c>
      <c r="B597" s="81"/>
      <c r="C597" s="81"/>
      <c r="D597" s="81"/>
      <c r="E597" s="139"/>
      <c r="F597" s="139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</row>
    <row r="598" spans="1:48" ht="15.75" hidden="1" customHeight="1" x14ac:dyDescent="0.25">
      <c r="A598" s="81">
        <v>0</v>
      </c>
      <c r="B598" s="81"/>
      <c r="C598" s="81"/>
      <c r="D598" s="81"/>
      <c r="E598" s="139"/>
      <c r="F598" s="139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</row>
    <row r="599" spans="1:48" ht="15.75" hidden="1" customHeight="1" x14ac:dyDescent="0.25">
      <c r="A599" s="81"/>
      <c r="B599" s="184"/>
      <c r="C599" s="184"/>
      <c r="D599" s="184"/>
      <c r="E599" s="185"/>
      <c r="F599" s="185"/>
      <c r="G599" s="184"/>
      <c r="H599" s="184"/>
      <c r="I599" s="184"/>
      <c r="J599" s="184"/>
      <c r="K599" s="184"/>
      <c r="L599" s="184"/>
      <c r="M599" s="184"/>
      <c r="N599" s="185"/>
      <c r="O599" s="185"/>
      <c r="P599" s="184"/>
      <c r="Q599" s="184"/>
      <c r="R599" s="184"/>
      <c r="S599" s="184"/>
      <c r="T599" s="185"/>
      <c r="U599" s="185"/>
      <c r="V599" s="185"/>
      <c r="W599" s="185"/>
      <c r="X599" s="185"/>
      <c r="Y599" s="185"/>
      <c r="Z599" s="185"/>
      <c r="AA599" s="185"/>
      <c r="AB599" s="185"/>
      <c r="AC599" s="185"/>
      <c r="AD599" s="185"/>
      <c r="AE599" s="185"/>
      <c r="AF599" s="185"/>
      <c r="AG599" s="187"/>
      <c r="AH599" s="186"/>
      <c r="AI599" s="187"/>
      <c r="AJ599" s="186"/>
      <c r="AK599" s="187"/>
      <c r="AL599" s="186"/>
      <c r="AM599" s="187"/>
      <c r="AN599" s="187"/>
      <c r="AO599" s="187"/>
      <c r="AP599" s="187"/>
      <c r="AQ599" s="187"/>
      <c r="AR599" s="187"/>
      <c r="AS599" s="187"/>
      <c r="AT599" s="187"/>
      <c r="AU599" s="187"/>
      <c r="AV599" s="187"/>
    </row>
    <row r="600" spans="1:48" ht="15.75" hidden="1" customHeight="1" x14ac:dyDescent="0.25">
      <c r="AE600" s="81"/>
      <c r="AF600" s="81"/>
    </row>
    <row r="601" spans="1:48" ht="15.75" customHeight="1" x14ac:dyDescent="0.25">
      <c r="A601" s="81">
        <v>1</v>
      </c>
      <c r="B601" s="81" t="str">
        <f ca="1">IFERROR(__xludf.DUMMYFUNCTION("IMPORTRANGE(""https://docs.google.com/spreadsheets/d/1m8wygfEK7JevM56D4OhQHdsOldY_Hw5MWlh1RHmMi5k/edit#"",""EHA!A2:AK16"")"),"#REF!")</f>
        <v>#REF!</v>
      </c>
      <c r="C601" s="81"/>
      <c r="D601" s="81"/>
      <c r="E601" s="139"/>
      <c r="F601" s="139"/>
      <c r="G601" s="81"/>
      <c r="H601" s="81"/>
      <c r="I601" s="81"/>
      <c r="J601" s="81"/>
      <c r="K601" s="81"/>
      <c r="L601" s="81"/>
      <c r="M601" s="249"/>
      <c r="N601" s="139"/>
      <c r="O601" s="139"/>
      <c r="P601" s="81"/>
      <c r="Q601" s="81"/>
      <c r="R601" s="81"/>
      <c r="S601" s="81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00"/>
      <c r="AH601" s="145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</row>
    <row r="602" spans="1:48" ht="15.75" customHeight="1" x14ac:dyDescent="0.25">
      <c r="A602" s="81">
        <v>1</v>
      </c>
      <c r="B602" s="81"/>
      <c r="C602" s="81"/>
      <c r="D602" s="81"/>
      <c r="E602" s="139"/>
      <c r="F602" s="139"/>
      <c r="G602" s="81"/>
      <c r="H602" s="81"/>
      <c r="I602" s="81"/>
      <c r="J602" s="81"/>
      <c r="K602" s="81"/>
      <c r="L602" s="81"/>
      <c r="M602" s="249"/>
      <c r="N602" s="139"/>
      <c r="O602" s="139"/>
      <c r="P602" s="81"/>
      <c r="Q602" s="81"/>
      <c r="R602" s="81"/>
      <c r="S602" s="81"/>
      <c r="T602" s="139"/>
      <c r="U602" s="139"/>
      <c r="V602" s="139"/>
      <c r="W602" s="139"/>
      <c r="X602" s="139"/>
      <c r="Y602" s="139"/>
      <c r="Z602" s="81"/>
      <c r="AA602" s="81"/>
      <c r="AB602" s="81"/>
      <c r="AC602" s="81"/>
      <c r="AD602" s="81"/>
      <c r="AE602" s="81"/>
      <c r="AF602" s="81"/>
      <c r="AG602" s="100"/>
      <c r="AH602" s="145"/>
      <c r="AI602" s="100"/>
      <c r="AJ602" s="145"/>
      <c r="AK602" s="100"/>
      <c r="AL602" s="145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</row>
    <row r="603" spans="1:48" ht="15.75" customHeight="1" x14ac:dyDescent="0.25">
      <c r="A603" s="81">
        <v>1</v>
      </c>
      <c r="B603" s="81"/>
      <c r="C603" s="81"/>
      <c r="D603" s="81"/>
      <c r="E603" s="139"/>
      <c r="F603" s="139"/>
      <c r="G603" s="81"/>
      <c r="H603" s="81"/>
      <c r="I603" s="188"/>
      <c r="J603" s="81"/>
      <c r="K603" s="81"/>
      <c r="L603" s="81"/>
      <c r="M603" s="249"/>
      <c r="N603" s="139"/>
      <c r="O603" s="139"/>
      <c r="P603" s="81"/>
      <c r="Q603" s="81"/>
      <c r="R603" s="81"/>
      <c r="S603" s="81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</row>
    <row r="604" spans="1:48" ht="15.75" hidden="1" customHeight="1" x14ac:dyDescent="0.25">
      <c r="A604" s="81">
        <v>0</v>
      </c>
      <c r="B604" s="81"/>
      <c r="C604" s="81"/>
      <c r="D604" s="81"/>
      <c r="E604" s="139"/>
      <c r="F604" s="139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</row>
    <row r="605" spans="1:48" ht="15.75" hidden="1" customHeight="1" x14ac:dyDescent="0.25">
      <c r="A605" s="81">
        <v>0</v>
      </c>
      <c r="B605" s="81"/>
      <c r="C605" s="81"/>
      <c r="D605" s="81"/>
      <c r="E605" s="139"/>
      <c r="F605" s="139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</row>
    <row r="606" spans="1:48" ht="15.75" hidden="1" customHeight="1" x14ac:dyDescent="0.25">
      <c r="A606" s="81">
        <v>0</v>
      </c>
      <c r="B606" s="81"/>
      <c r="C606" s="81"/>
      <c r="D606" s="81"/>
      <c r="E606" s="139"/>
      <c r="F606" s="139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</row>
    <row r="607" spans="1:48" ht="15.75" hidden="1" customHeight="1" x14ac:dyDescent="0.25">
      <c r="A607" s="81">
        <v>0</v>
      </c>
      <c r="B607" s="81"/>
      <c r="C607" s="81"/>
      <c r="D607" s="81"/>
      <c r="E607" s="139"/>
      <c r="F607" s="139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</row>
    <row r="608" spans="1:48" ht="15.75" hidden="1" customHeight="1" x14ac:dyDescent="0.25">
      <c r="A608" s="81">
        <v>0</v>
      </c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</row>
    <row r="609" spans="1:48" ht="15.75" hidden="1" customHeight="1" x14ac:dyDescent="0.25">
      <c r="A609" s="81">
        <v>0</v>
      </c>
      <c r="B609" s="81"/>
      <c r="C609" s="81"/>
      <c r="D609" s="81"/>
      <c r="E609" s="139"/>
      <c r="F609" s="139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</row>
    <row r="610" spans="1:48" ht="15.75" hidden="1" customHeight="1" x14ac:dyDescent="0.25">
      <c r="A610" s="81">
        <v>0</v>
      </c>
      <c r="B610" s="81"/>
      <c r="C610" s="81"/>
      <c r="D610" s="81"/>
      <c r="E610" s="139"/>
      <c r="F610" s="139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</row>
    <row r="611" spans="1:48" ht="15.75" hidden="1" customHeight="1" x14ac:dyDescent="0.25">
      <c r="A611" s="81">
        <v>0</v>
      </c>
      <c r="B611" s="81"/>
      <c r="C611" s="81"/>
      <c r="D611" s="81"/>
      <c r="E611" s="139"/>
      <c r="F611" s="139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</row>
    <row r="612" spans="1:48" ht="15.75" hidden="1" customHeight="1" x14ac:dyDescent="0.25">
      <c r="A612" s="81">
        <v>0</v>
      </c>
      <c r="B612" s="81"/>
      <c r="C612" s="81"/>
      <c r="D612" s="81"/>
      <c r="E612" s="139"/>
      <c r="F612" s="139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</row>
    <row r="613" spans="1:48" ht="15.75" hidden="1" customHeight="1" x14ac:dyDescent="0.25">
      <c r="A613" s="81">
        <v>0</v>
      </c>
      <c r="B613" s="81"/>
      <c r="C613" s="81"/>
      <c r="D613" s="81"/>
      <c r="E613" s="139"/>
      <c r="F613" s="139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</row>
    <row r="614" spans="1:48" ht="15.75" hidden="1" customHeight="1" x14ac:dyDescent="0.25">
      <c r="A614" s="81">
        <v>0</v>
      </c>
      <c r="B614" s="81"/>
      <c r="C614" s="81"/>
      <c r="D614" s="81"/>
      <c r="E614" s="139"/>
      <c r="F614" s="139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</row>
    <row r="615" spans="1:48" ht="15.75" hidden="1" customHeight="1" x14ac:dyDescent="0.25">
      <c r="A615" s="81"/>
      <c r="B615" s="184"/>
      <c r="C615" s="184"/>
      <c r="D615" s="184"/>
      <c r="E615" s="185"/>
      <c r="F615" s="185"/>
      <c r="G615" s="184"/>
      <c r="H615" s="184"/>
      <c r="I615" s="184"/>
      <c r="J615" s="184"/>
      <c r="K615" s="184"/>
      <c r="L615" s="184"/>
      <c r="M615" s="184"/>
      <c r="N615" s="185"/>
      <c r="O615" s="185"/>
      <c r="P615" s="184"/>
      <c r="Q615" s="184"/>
      <c r="R615" s="184"/>
      <c r="S615" s="184"/>
      <c r="T615" s="185"/>
      <c r="U615" s="185"/>
      <c r="V615" s="185"/>
      <c r="W615" s="185"/>
      <c r="X615" s="185"/>
      <c r="Y615" s="185"/>
      <c r="Z615" s="185"/>
      <c r="AA615" s="185"/>
      <c r="AB615" s="185"/>
      <c r="AC615" s="185"/>
      <c r="AD615" s="185"/>
      <c r="AE615" s="185"/>
      <c r="AF615" s="185"/>
      <c r="AG615" s="187"/>
      <c r="AH615" s="186"/>
      <c r="AI615" s="187"/>
      <c r="AJ615" s="186"/>
      <c r="AK615" s="187"/>
      <c r="AL615" s="186"/>
      <c r="AM615" s="187"/>
      <c r="AN615" s="187"/>
      <c r="AO615" s="187"/>
      <c r="AP615" s="187"/>
      <c r="AQ615" s="187"/>
      <c r="AR615" s="187"/>
      <c r="AS615" s="187"/>
      <c r="AT615" s="187"/>
      <c r="AU615" s="187"/>
      <c r="AV615" s="187"/>
    </row>
    <row r="616" spans="1:48" ht="15.75" hidden="1" customHeight="1" x14ac:dyDescent="0.25">
      <c r="AE616" s="81"/>
      <c r="AF616" s="81"/>
    </row>
    <row r="617" spans="1:48" ht="15.75" hidden="1" customHeight="1" x14ac:dyDescent="0.25">
      <c r="A617" s="81">
        <v>0</v>
      </c>
      <c r="B617" s="81" t="str">
        <f ca="1">IFERROR(__xludf.DUMMYFUNCTION("IMPORTRANGE(""https://docs.google.com/spreadsheets/d/1giCYqcktJLsp_T7MQe-dHxJolDYnyS5XdHiTWaNLI8c/edit#"",""EHA!A2:AK16"")"),"#REF!")</f>
        <v>#REF!</v>
      </c>
      <c r="C617" s="81"/>
      <c r="D617" s="81"/>
      <c r="E617" s="139"/>
      <c r="F617" s="139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</row>
    <row r="618" spans="1:48" ht="15.75" hidden="1" customHeight="1" x14ac:dyDescent="0.25">
      <c r="A618" s="81">
        <v>0</v>
      </c>
      <c r="B618" s="81"/>
      <c r="C618" s="81"/>
      <c r="D618" s="81"/>
      <c r="E618" s="139"/>
      <c r="F618" s="139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</row>
    <row r="619" spans="1:48" ht="15.75" hidden="1" customHeight="1" x14ac:dyDescent="0.25">
      <c r="A619" s="81">
        <v>0</v>
      </c>
      <c r="B619" s="81"/>
      <c r="C619" s="81"/>
      <c r="D619" s="81"/>
      <c r="E619" s="139"/>
      <c r="F619" s="139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</row>
    <row r="620" spans="1:48" ht="15.75" hidden="1" customHeight="1" x14ac:dyDescent="0.25">
      <c r="A620" s="81">
        <v>0</v>
      </c>
      <c r="B620" s="81"/>
      <c r="C620" s="81"/>
      <c r="D620" s="81"/>
      <c r="E620" s="139"/>
      <c r="F620" s="139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</row>
    <row r="621" spans="1:48" ht="15.75" hidden="1" customHeight="1" x14ac:dyDescent="0.25">
      <c r="A621" s="81">
        <v>0</v>
      </c>
      <c r="B621" s="81"/>
      <c r="C621" s="81"/>
      <c r="D621" s="81"/>
      <c r="E621" s="139"/>
      <c r="F621" s="139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</row>
    <row r="622" spans="1:48" ht="15.75" hidden="1" customHeight="1" x14ac:dyDescent="0.25">
      <c r="A622" s="81">
        <v>0</v>
      </c>
      <c r="B622" s="81"/>
      <c r="C622" s="81"/>
      <c r="D622" s="81"/>
      <c r="E622" s="139"/>
      <c r="F622" s="139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</row>
    <row r="623" spans="1:48" ht="15.75" hidden="1" customHeight="1" x14ac:dyDescent="0.25">
      <c r="A623" s="81">
        <v>0</v>
      </c>
      <c r="B623" s="81"/>
      <c r="C623" s="81"/>
      <c r="D623" s="81"/>
      <c r="E623" s="139"/>
      <c r="F623" s="139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</row>
    <row r="624" spans="1:48" ht="15.75" hidden="1" customHeight="1" x14ac:dyDescent="0.25">
      <c r="A624" s="81">
        <v>0</v>
      </c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</row>
    <row r="625" spans="1:48" ht="15.75" hidden="1" customHeight="1" x14ac:dyDescent="0.25">
      <c r="A625" s="81">
        <v>0</v>
      </c>
      <c r="B625" s="81"/>
      <c r="C625" s="81"/>
      <c r="D625" s="81"/>
      <c r="E625" s="139"/>
      <c r="F625" s="139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</row>
    <row r="626" spans="1:48" ht="15.75" hidden="1" customHeight="1" x14ac:dyDescent="0.25">
      <c r="A626" s="81">
        <v>0</v>
      </c>
      <c r="B626" s="81"/>
      <c r="C626" s="81"/>
      <c r="D626" s="81"/>
      <c r="E626" s="139"/>
      <c r="F626" s="139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</row>
    <row r="627" spans="1:48" ht="15.75" hidden="1" customHeight="1" x14ac:dyDescent="0.25">
      <c r="A627" s="81">
        <v>0</v>
      </c>
      <c r="B627" s="81"/>
      <c r="C627" s="81"/>
      <c r="D627" s="81"/>
      <c r="E627" s="139"/>
      <c r="F627" s="139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</row>
    <row r="628" spans="1:48" ht="15.75" hidden="1" customHeight="1" x14ac:dyDescent="0.25">
      <c r="A628" s="81">
        <v>0</v>
      </c>
      <c r="B628" s="81"/>
      <c r="C628" s="81"/>
      <c r="D628" s="81"/>
      <c r="E628" s="139"/>
      <c r="F628" s="139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</row>
    <row r="629" spans="1:48" ht="15.75" hidden="1" customHeight="1" x14ac:dyDescent="0.25">
      <c r="A629" s="81">
        <v>0</v>
      </c>
      <c r="B629" s="81"/>
      <c r="C629" s="81"/>
      <c r="D629" s="81"/>
      <c r="E629" s="139"/>
      <c r="F629" s="139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</row>
    <row r="630" spans="1:48" ht="15.75" hidden="1" customHeight="1" x14ac:dyDescent="0.25">
      <c r="A630" s="81">
        <v>0</v>
      </c>
      <c r="B630" s="81"/>
      <c r="C630" s="81"/>
      <c r="D630" s="81"/>
      <c r="E630" s="139"/>
      <c r="F630" s="139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</row>
    <row r="631" spans="1:48" ht="15.75" hidden="1" customHeight="1" x14ac:dyDescent="0.25">
      <c r="A631" s="81"/>
      <c r="B631" s="184"/>
      <c r="C631" s="184"/>
      <c r="D631" s="184"/>
      <c r="E631" s="185"/>
      <c r="F631" s="185"/>
      <c r="G631" s="184"/>
      <c r="H631" s="184"/>
      <c r="I631" s="184"/>
      <c r="J631" s="184"/>
      <c r="K631" s="184"/>
      <c r="L631" s="184"/>
      <c r="M631" s="184"/>
      <c r="N631" s="185"/>
      <c r="O631" s="185"/>
      <c r="P631" s="184"/>
      <c r="Q631" s="184"/>
      <c r="R631" s="184"/>
      <c r="S631" s="184"/>
      <c r="T631" s="185"/>
      <c r="U631" s="185"/>
      <c r="V631" s="185"/>
      <c r="W631" s="185"/>
      <c r="X631" s="185"/>
      <c r="Y631" s="185"/>
      <c r="Z631" s="185"/>
      <c r="AA631" s="185"/>
      <c r="AB631" s="185"/>
      <c r="AC631" s="185"/>
      <c r="AD631" s="185"/>
      <c r="AE631" s="185"/>
      <c r="AF631" s="185"/>
      <c r="AG631" s="187"/>
      <c r="AH631" s="186"/>
      <c r="AI631" s="187"/>
      <c r="AJ631" s="186"/>
      <c r="AK631" s="187"/>
      <c r="AL631" s="186"/>
      <c r="AM631" s="187"/>
      <c r="AN631" s="187"/>
      <c r="AO631" s="187"/>
      <c r="AP631" s="187"/>
      <c r="AQ631" s="187"/>
      <c r="AR631" s="187"/>
      <c r="AS631" s="187"/>
      <c r="AT631" s="187"/>
      <c r="AU631" s="187"/>
      <c r="AV631" s="187"/>
    </row>
    <row r="632" spans="1:48" ht="15.75" hidden="1" customHeight="1" x14ac:dyDescent="0.25">
      <c r="AE632" s="81"/>
      <c r="AF632" s="81"/>
    </row>
    <row r="633" spans="1:48" ht="15.75" customHeight="1" x14ac:dyDescent="0.25">
      <c r="A633" s="81">
        <v>1</v>
      </c>
      <c r="B633" s="81" t="str">
        <f ca="1">IFERROR(__xludf.DUMMYFUNCTION("IMPORTRANGE(""https://docs.google.com/spreadsheets/d/1XTMCS8PuHDB1SqvfnuInFpWhp2leBqNwvp4I0GJUyrs/edit#"",""EHA!A2:AK16"")"),"#REF!")</f>
        <v>#REF!</v>
      </c>
      <c r="C633" s="81"/>
      <c r="D633" s="81"/>
      <c r="E633" s="139"/>
      <c r="F633" s="139"/>
      <c r="G633" s="81"/>
      <c r="H633" s="81"/>
      <c r="I633" s="188"/>
      <c r="J633" s="81"/>
      <c r="K633" s="81"/>
      <c r="L633" s="81"/>
      <c r="M633" s="251"/>
      <c r="N633" s="81"/>
      <c r="O633" s="81"/>
      <c r="P633" s="81"/>
      <c r="Q633" s="81"/>
      <c r="R633" s="81"/>
      <c r="S633" s="81"/>
      <c r="T633" s="139"/>
      <c r="U633" s="81"/>
      <c r="V633" s="81"/>
      <c r="W633" s="188"/>
      <c r="X633" s="188"/>
      <c r="Y633" s="188"/>
      <c r="Z633" s="188"/>
      <c r="AA633" s="188"/>
      <c r="AB633" s="139"/>
      <c r="AC633" s="139"/>
      <c r="AD633" s="139"/>
      <c r="AE633" s="139"/>
      <c r="AF633" s="81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</row>
    <row r="634" spans="1:48" ht="15.75" customHeight="1" x14ac:dyDescent="0.25">
      <c r="A634" s="81">
        <v>1</v>
      </c>
      <c r="B634" s="81"/>
      <c r="C634" s="81"/>
      <c r="D634" s="81"/>
      <c r="E634" s="139"/>
      <c r="F634" s="139"/>
      <c r="G634" s="81"/>
      <c r="H634" s="81"/>
      <c r="I634" s="188"/>
      <c r="J634" s="81"/>
      <c r="K634" s="81"/>
      <c r="L634" s="81"/>
      <c r="M634" s="251"/>
      <c r="N634" s="81"/>
      <c r="O634" s="81"/>
      <c r="P634" s="81"/>
      <c r="Q634" s="81"/>
      <c r="R634" s="81"/>
      <c r="S634" s="81"/>
      <c r="T634" s="139"/>
      <c r="U634" s="81"/>
      <c r="V634" s="81"/>
      <c r="W634" s="188"/>
      <c r="X634" s="188"/>
      <c r="Y634" s="188"/>
      <c r="Z634" s="188"/>
      <c r="AA634" s="188"/>
      <c r="AB634" s="188"/>
      <c r="AC634" s="188"/>
      <c r="AD634" s="188"/>
      <c r="AE634" s="139"/>
      <c r="AF634" s="81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</row>
    <row r="635" spans="1:48" ht="15.75" customHeight="1" x14ac:dyDescent="0.25">
      <c r="A635" s="81">
        <v>1</v>
      </c>
      <c r="B635" s="81"/>
      <c r="C635" s="81"/>
      <c r="D635" s="81"/>
      <c r="E635" s="139"/>
      <c r="F635" s="139"/>
      <c r="G635" s="81"/>
      <c r="H635" s="81"/>
      <c r="I635" s="188"/>
      <c r="J635" s="81"/>
      <c r="K635" s="81"/>
      <c r="L635" s="81"/>
      <c r="M635" s="251"/>
      <c r="N635" s="81"/>
      <c r="O635" s="81"/>
      <c r="P635" s="81"/>
      <c r="Q635" s="81"/>
      <c r="R635" s="81"/>
      <c r="S635" s="81"/>
      <c r="T635" s="139"/>
      <c r="U635" s="81"/>
      <c r="V635" s="81"/>
      <c r="W635" s="81"/>
      <c r="X635" s="81"/>
      <c r="Y635" s="81"/>
      <c r="Z635" s="81"/>
      <c r="AA635" s="188"/>
      <c r="AB635" s="188"/>
      <c r="AC635" s="188"/>
      <c r="AD635" s="188"/>
      <c r="AE635" s="81"/>
      <c r="AF635" s="81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</row>
    <row r="636" spans="1:48" ht="15.75" hidden="1" customHeight="1" x14ac:dyDescent="0.25">
      <c r="A636" s="81">
        <v>0</v>
      </c>
      <c r="B636" s="81"/>
      <c r="C636" s="81"/>
      <c r="D636" s="81"/>
      <c r="E636" s="139"/>
      <c r="F636" s="139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139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212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</row>
    <row r="637" spans="1:48" ht="15.75" hidden="1" customHeight="1" x14ac:dyDescent="0.25">
      <c r="A637" s="81">
        <v>0</v>
      </c>
      <c r="B637" s="81"/>
      <c r="C637" s="81"/>
      <c r="D637" s="81"/>
      <c r="E637" s="139"/>
      <c r="F637" s="139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139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212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</row>
    <row r="638" spans="1:48" ht="15.75" hidden="1" customHeight="1" x14ac:dyDescent="0.25">
      <c r="A638" s="81">
        <v>0</v>
      </c>
      <c r="B638" s="81"/>
      <c r="C638" s="81"/>
      <c r="D638" s="81"/>
      <c r="E638" s="139"/>
      <c r="F638" s="139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139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212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</row>
    <row r="639" spans="1:48" ht="15.75" hidden="1" customHeight="1" x14ac:dyDescent="0.25">
      <c r="A639" s="81">
        <v>0</v>
      </c>
      <c r="B639" s="81"/>
      <c r="C639" s="81"/>
      <c r="D639" s="81"/>
      <c r="E639" s="139"/>
      <c r="F639" s="139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139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212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</row>
    <row r="640" spans="1:48" ht="15.75" hidden="1" customHeight="1" x14ac:dyDescent="0.25">
      <c r="A640" s="81">
        <v>0</v>
      </c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212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</row>
    <row r="641" spans="1:48" ht="15.75" hidden="1" customHeight="1" x14ac:dyDescent="0.25">
      <c r="A641" s="81">
        <v>0</v>
      </c>
      <c r="B641" s="81"/>
      <c r="C641" s="81"/>
      <c r="D641" s="81"/>
      <c r="E641" s="139"/>
      <c r="F641" s="139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212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</row>
    <row r="642" spans="1:48" ht="15.75" hidden="1" customHeight="1" x14ac:dyDescent="0.25">
      <c r="A642" s="81">
        <v>0</v>
      </c>
      <c r="B642" s="81"/>
      <c r="C642" s="81"/>
      <c r="D642" s="81"/>
      <c r="E642" s="139"/>
      <c r="F642" s="139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212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</row>
    <row r="643" spans="1:48" ht="15.75" hidden="1" customHeight="1" x14ac:dyDescent="0.25">
      <c r="A643" s="81">
        <v>0</v>
      </c>
      <c r="B643" s="81"/>
      <c r="C643" s="81"/>
      <c r="D643" s="81"/>
      <c r="E643" s="139"/>
      <c r="F643" s="139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212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</row>
    <row r="644" spans="1:48" ht="15.75" hidden="1" customHeight="1" x14ac:dyDescent="0.25">
      <c r="A644" s="81">
        <v>0</v>
      </c>
      <c r="B644" s="81"/>
      <c r="C644" s="81"/>
      <c r="D644" s="81"/>
      <c r="E644" s="139"/>
      <c r="F644" s="139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212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</row>
    <row r="645" spans="1:48" ht="15.75" hidden="1" customHeight="1" x14ac:dyDescent="0.25">
      <c r="A645" s="81">
        <v>0</v>
      </c>
      <c r="B645" s="81"/>
      <c r="C645" s="81"/>
      <c r="D645" s="81"/>
      <c r="E645" s="139"/>
      <c r="F645" s="139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212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</row>
    <row r="646" spans="1:48" ht="15.75" hidden="1" customHeight="1" x14ac:dyDescent="0.25">
      <c r="A646" s="81">
        <v>0</v>
      </c>
      <c r="B646" s="81"/>
      <c r="C646" s="81"/>
      <c r="D646" s="81"/>
      <c r="E646" s="139"/>
      <c r="F646" s="139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212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</row>
    <row r="647" spans="1:48" ht="15.75" hidden="1" customHeight="1" x14ac:dyDescent="0.25">
      <c r="A647" s="81"/>
      <c r="B647" s="184"/>
      <c r="C647" s="184"/>
      <c r="D647" s="184"/>
      <c r="E647" s="185"/>
      <c r="F647" s="185"/>
      <c r="G647" s="184"/>
      <c r="H647" s="184"/>
      <c r="I647" s="184"/>
      <c r="J647" s="184"/>
      <c r="K647" s="184"/>
      <c r="L647" s="184"/>
      <c r="M647" s="184"/>
      <c r="N647" s="185"/>
      <c r="O647" s="185"/>
      <c r="P647" s="184"/>
      <c r="Q647" s="184"/>
      <c r="R647" s="184"/>
      <c r="S647" s="184"/>
      <c r="T647" s="185"/>
      <c r="U647" s="185"/>
      <c r="V647" s="185"/>
      <c r="W647" s="185"/>
      <c r="X647" s="185"/>
      <c r="Y647" s="185"/>
      <c r="Z647" s="185"/>
      <c r="AA647" s="185"/>
      <c r="AB647" s="185"/>
      <c r="AC647" s="185"/>
      <c r="AD647" s="185"/>
      <c r="AE647" s="185"/>
      <c r="AF647" s="268"/>
      <c r="AG647" s="187"/>
      <c r="AH647" s="186"/>
      <c r="AI647" s="187"/>
      <c r="AJ647" s="186"/>
      <c r="AK647" s="187"/>
      <c r="AL647" s="186"/>
      <c r="AM647" s="187"/>
      <c r="AN647" s="187"/>
      <c r="AO647" s="187"/>
      <c r="AP647" s="187"/>
      <c r="AQ647" s="187"/>
      <c r="AR647" s="187"/>
      <c r="AS647" s="187"/>
      <c r="AT647" s="187"/>
      <c r="AU647" s="187"/>
      <c r="AV647" s="187"/>
    </row>
    <row r="648" spans="1:48" ht="15.75" hidden="1" customHeight="1" x14ac:dyDescent="0.25"/>
    <row r="649" spans="1:48" ht="15.75" hidden="1" customHeight="1" x14ac:dyDescent="0.25">
      <c r="A649" s="81">
        <v>0</v>
      </c>
      <c r="B649" s="81" t="str">
        <f ca="1">IFERROR(__xludf.DUMMYFUNCTION("IMPORTRANGE(""https://docs.google.com/spreadsheets/d/1go9Mv1OABmqyTAzNCrR_2h0TlAp2YxXMIbKBTMi5ljU/edit#"",""EHA!A2:AK16"")"),"#REF!")</f>
        <v>#REF!</v>
      </c>
      <c r="C649" s="81"/>
      <c r="D649" s="81"/>
      <c r="E649" s="139"/>
      <c r="F649" s="139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212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</row>
    <row r="650" spans="1:48" ht="15.75" hidden="1" customHeight="1" x14ac:dyDescent="0.25">
      <c r="A650" s="81">
        <v>0</v>
      </c>
      <c r="B650" s="81"/>
      <c r="C650" s="81"/>
      <c r="D650" s="81"/>
      <c r="E650" s="139"/>
      <c r="F650" s="139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212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</row>
    <row r="651" spans="1:48" ht="15.75" hidden="1" customHeight="1" x14ac:dyDescent="0.25">
      <c r="A651" s="81">
        <v>0</v>
      </c>
      <c r="B651" s="81"/>
      <c r="C651" s="81"/>
      <c r="D651" s="81"/>
      <c r="E651" s="139"/>
      <c r="F651" s="139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212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</row>
    <row r="652" spans="1:48" ht="15.75" hidden="1" customHeight="1" x14ac:dyDescent="0.25">
      <c r="A652" s="81">
        <v>0</v>
      </c>
      <c r="B652" s="81"/>
      <c r="C652" s="81"/>
      <c r="D652" s="81"/>
      <c r="E652" s="139"/>
      <c r="F652" s="139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212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</row>
    <row r="653" spans="1:48" ht="15.75" hidden="1" customHeight="1" x14ac:dyDescent="0.25">
      <c r="A653" s="81">
        <v>0</v>
      </c>
      <c r="B653" s="81"/>
      <c r="C653" s="81"/>
      <c r="D653" s="81"/>
      <c r="E653" s="139"/>
      <c r="F653" s="139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212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</row>
    <row r="654" spans="1:48" ht="15.75" hidden="1" customHeight="1" x14ac:dyDescent="0.25">
      <c r="A654" s="81">
        <v>0</v>
      </c>
      <c r="B654" s="81"/>
      <c r="C654" s="81"/>
      <c r="D654" s="81"/>
      <c r="E654" s="139"/>
      <c r="F654" s="139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212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</row>
    <row r="655" spans="1:48" ht="15.75" hidden="1" customHeight="1" x14ac:dyDescent="0.25">
      <c r="A655" s="81">
        <v>0</v>
      </c>
      <c r="B655" s="81"/>
      <c r="C655" s="81"/>
      <c r="D655" s="81"/>
      <c r="E655" s="139"/>
      <c r="F655" s="139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212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</row>
    <row r="656" spans="1:48" ht="15.75" hidden="1" customHeight="1" x14ac:dyDescent="0.25">
      <c r="A656" s="81">
        <v>0</v>
      </c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212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</row>
    <row r="657" spans="1:48" ht="15.75" hidden="1" customHeight="1" x14ac:dyDescent="0.25">
      <c r="A657" s="81">
        <v>0</v>
      </c>
      <c r="B657" s="81"/>
      <c r="C657" s="81"/>
      <c r="D657" s="81"/>
      <c r="E657" s="139"/>
      <c r="F657" s="139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212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</row>
    <row r="658" spans="1:48" ht="15.75" hidden="1" customHeight="1" x14ac:dyDescent="0.25">
      <c r="A658" s="81">
        <v>0</v>
      </c>
      <c r="B658" s="81"/>
      <c r="C658" s="81"/>
      <c r="D658" s="81"/>
      <c r="E658" s="139"/>
      <c r="F658" s="139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212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</row>
    <row r="659" spans="1:48" ht="15.75" hidden="1" customHeight="1" x14ac:dyDescent="0.25">
      <c r="A659" s="81">
        <v>0</v>
      </c>
      <c r="B659" s="81"/>
      <c r="C659" s="81"/>
      <c r="D659" s="81"/>
      <c r="E659" s="139"/>
      <c r="F659" s="139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212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</row>
    <row r="660" spans="1:48" ht="15.75" hidden="1" customHeight="1" x14ac:dyDescent="0.25">
      <c r="A660" s="81">
        <v>0</v>
      </c>
      <c r="B660" s="81"/>
      <c r="C660" s="81"/>
      <c r="D660" s="81"/>
      <c r="E660" s="139"/>
      <c r="F660" s="139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212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</row>
    <row r="661" spans="1:48" ht="15.75" hidden="1" customHeight="1" x14ac:dyDescent="0.25">
      <c r="A661" s="81">
        <v>0</v>
      </c>
      <c r="B661" s="81"/>
      <c r="C661" s="81"/>
      <c r="D661" s="81"/>
      <c r="E661" s="139"/>
      <c r="F661" s="139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212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</row>
    <row r="662" spans="1:48" ht="15.75" hidden="1" customHeight="1" x14ac:dyDescent="0.25">
      <c r="A662" s="81">
        <v>0</v>
      </c>
      <c r="B662" s="81"/>
      <c r="C662" s="81"/>
      <c r="D662" s="81"/>
      <c r="E662" s="139"/>
      <c r="F662" s="139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212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</row>
    <row r="663" spans="1:48" ht="15.75" hidden="1" customHeight="1" x14ac:dyDescent="0.25">
      <c r="A663" s="81"/>
      <c r="B663" s="184"/>
      <c r="C663" s="184"/>
      <c r="D663" s="184"/>
      <c r="E663" s="185"/>
      <c r="F663" s="185"/>
      <c r="G663" s="184"/>
      <c r="H663" s="184"/>
      <c r="I663" s="184"/>
      <c r="J663" s="184"/>
      <c r="K663" s="184"/>
      <c r="L663" s="184"/>
      <c r="M663" s="184"/>
      <c r="N663" s="185"/>
      <c r="O663" s="185"/>
      <c r="P663" s="184"/>
      <c r="Q663" s="184"/>
      <c r="R663" s="184"/>
      <c r="S663" s="184"/>
      <c r="T663" s="185"/>
      <c r="U663" s="185"/>
      <c r="V663" s="185"/>
      <c r="W663" s="185"/>
      <c r="X663" s="185"/>
      <c r="Y663" s="185"/>
      <c r="Z663" s="185"/>
      <c r="AA663" s="185"/>
      <c r="AB663" s="185"/>
      <c r="AC663" s="185"/>
      <c r="AD663" s="185"/>
      <c r="AE663" s="185"/>
      <c r="AF663" s="268"/>
      <c r="AG663" s="187"/>
      <c r="AH663" s="186"/>
      <c r="AI663" s="187"/>
      <c r="AJ663" s="186"/>
      <c r="AK663" s="187"/>
      <c r="AL663" s="186"/>
      <c r="AM663" s="187"/>
      <c r="AN663" s="187"/>
      <c r="AO663" s="187"/>
      <c r="AP663" s="187"/>
      <c r="AQ663" s="187"/>
      <c r="AR663" s="187"/>
      <c r="AS663" s="187"/>
      <c r="AT663" s="187"/>
      <c r="AU663" s="187"/>
      <c r="AV663" s="187"/>
    </row>
    <row r="664" spans="1:48" ht="15.75" hidden="1" customHeight="1" x14ac:dyDescent="0.25"/>
    <row r="665" spans="1:48" ht="15.75" hidden="1" customHeight="1" x14ac:dyDescent="0.25">
      <c r="A665" s="81">
        <v>0</v>
      </c>
      <c r="B665" s="81" t="str">
        <f ca="1">IFERROR(__xludf.DUMMYFUNCTION("IMPORTRANGE(""https://docs.google.com/spreadsheets/d/1iC4quoOTYG2EOhe51ok8cbYOIG474Xr_HJbNarrv0X0/edit#"",""EHA!A2:AK16"")"),"#REF!")</f>
        <v>#REF!</v>
      </c>
      <c r="C665" s="81"/>
      <c r="D665" s="81"/>
      <c r="E665" s="139"/>
      <c r="F665" s="139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212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</row>
    <row r="666" spans="1:48" ht="15.75" hidden="1" customHeight="1" x14ac:dyDescent="0.25">
      <c r="A666" s="81">
        <v>0</v>
      </c>
      <c r="B666" s="81"/>
      <c r="C666" s="81"/>
      <c r="D666" s="81"/>
      <c r="E666" s="139"/>
      <c r="F666" s="139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212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</row>
    <row r="667" spans="1:48" ht="15.75" hidden="1" customHeight="1" x14ac:dyDescent="0.25">
      <c r="A667" s="81">
        <v>0</v>
      </c>
      <c r="B667" s="81"/>
      <c r="C667" s="81"/>
      <c r="D667" s="81"/>
      <c r="E667" s="139"/>
      <c r="F667" s="139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212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</row>
    <row r="668" spans="1:48" ht="15.75" hidden="1" customHeight="1" x14ac:dyDescent="0.25">
      <c r="A668" s="81">
        <v>0</v>
      </c>
      <c r="B668" s="81"/>
      <c r="C668" s="81"/>
      <c r="D668" s="81"/>
      <c r="E668" s="139"/>
      <c r="F668" s="139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212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</row>
    <row r="669" spans="1:48" ht="15.75" hidden="1" customHeight="1" x14ac:dyDescent="0.25">
      <c r="A669" s="81">
        <v>0</v>
      </c>
      <c r="B669" s="81"/>
      <c r="C669" s="81"/>
      <c r="D669" s="81"/>
      <c r="E669" s="139"/>
      <c r="F669" s="139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212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</row>
    <row r="670" spans="1:48" ht="15.75" hidden="1" customHeight="1" x14ac:dyDescent="0.25">
      <c r="A670" s="81">
        <v>0</v>
      </c>
      <c r="B670" s="81"/>
      <c r="C670" s="81"/>
      <c r="D670" s="81"/>
      <c r="E670" s="139"/>
      <c r="F670" s="139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212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</row>
    <row r="671" spans="1:48" ht="15.75" hidden="1" customHeight="1" x14ac:dyDescent="0.25">
      <c r="A671" s="81">
        <v>0</v>
      </c>
      <c r="B671" s="81"/>
      <c r="C671" s="81"/>
      <c r="D671" s="81"/>
      <c r="E671" s="139"/>
      <c r="F671" s="139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212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</row>
    <row r="672" spans="1:48" ht="15.75" hidden="1" customHeight="1" x14ac:dyDescent="0.25">
      <c r="A672" s="81">
        <v>0</v>
      </c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212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</row>
    <row r="673" spans="1:48" ht="15.75" hidden="1" customHeight="1" x14ac:dyDescent="0.25">
      <c r="A673" s="81">
        <v>0</v>
      </c>
      <c r="B673" s="81"/>
      <c r="C673" s="81"/>
      <c r="D673" s="81"/>
      <c r="E673" s="139"/>
      <c r="F673" s="139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212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</row>
    <row r="674" spans="1:48" ht="15.75" hidden="1" customHeight="1" x14ac:dyDescent="0.25">
      <c r="A674" s="81">
        <v>0</v>
      </c>
      <c r="B674" s="81"/>
      <c r="C674" s="81"/>
      <c r="D674" s="81"/>
      <c r="E674" s="139"/>
      <c r="F674" s="139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212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</row>
    <row r="675" spans="1:48" ht="15.75" hidden="1" customHeight="1" x14ac:dyDescent="0.25">
      <c r="A675" s="81">
        <v>0</v>
      </c>
      <c r="B675" s="81"/>
      <c r="C675" s="81"/>
      <c r="D675" s="81"/>
      <c r="E675" s="139"/>
      <c r="F675" s="139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212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</row>
    <row r="676" spans="1:48" ht="15.75" hidden="1" customHeight="1" x14ac:dyDescent="0.25">
      <c r="A676" s="81">
        <v>0</v>
      </c>
      <c r="B676" s="81"/>
      <c r="C676" s="81"/>
      <c r="D676" s="81"/>
      <c r="E676" s="139"/>
      <c r="F676" s="139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212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</row>
    <row r="677" spans="1:48" ht="15.75" hidden="1" customHeight="1" x14ac:dyDescent="0.25">
      <c r="A677" s="81">
        <v>0</v>
      </c>
      <c r="B677" s="81"/>
      <c r="C677" s="81"/>
      <c r="D677" s="81"/>
      <c r="E677" s="139"/>
      <c r="F677" s="139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212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</row>
    <row r="678" spans="1:48" ht="15.75" hidden="1" customHeight="1" x14ac:dyDescent="0.25">
      <c r="A678" s="81">
        <v>0</v>
      </c>
      <c r="B678" s="81"/>
      <c r="C678" s="81"/>
      <c r="D678" s="81"/>
      <c r="E678" s="139"/>
      <c r="F678" s="139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212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</row>
    <row r="679" spans="1:48" ht="15.75" hidden="1" customHeight="1" x14ac:dyDescent="0.25">
      <c r="A679" s="81"/>
      <c r="B679" s="184"/>
      <c r="C679" s="184"/>
      <c r="D679" s="184"/>
      <c r="E679" s="185"/>
      <c r="F679" s="185"/>
      <c r="G679" s="184"/>
      <c r="H679" s="184"/>
      <c r="I679" s="184"/>
      <c r="J679" s="184"/>
      <c r="K679" s="184"/>
      <c r="L679" s="184"/>
      <c r="M679" s="184"/>
      <c r="N679" s="185"/>
      <c r="O679" s="185"/>
      <c r="P679" s="184"/>
      <c r="Q679" s="184"/>
      <c r="R679" s="184"/>
      <c r="S679" s="184"/>
      <c r="T679" s="185"/>
      <c r="U679" s="185"/>
      <c r="V679" s="185"/>
      <c r="W679" s="185"/>
      <c r="X679" s="185"/>
      <c r="Y679" s="185"/>
      <c r="Z679" s="185"/>
      <c r="AA679" s="185"/>
      <c r="AB679" s="185"/>
      <c r="AC679" s="185"/>
      <c r="AD679" s="185"/>
      <c r="AE679" s="185"/>
      <c r="AF679" s="268"/>
      <c r="AG679" s="187"/>
      <c r="AH679" s="186"/>
      <c r="AI679" s="187"/>
      <c r="AJ679" s="186"/>
      <c r="AK679" s="187"/>
      <c r="AL679" s="186"/>
      <c r="AM679" s="187"/>
      <c r="AN679" s="187"/>
      <c r="AO679" s="187"/>
      <c r="AP679" s="187"/>
      <c r="AQ679" s="187"/>
      <c r="AR679" s="187"/>
      <c r="AS679" s="187"/>
      <c r="AT679" s="187"/>
      <c r="AU679" s="187"/>
      <c r="AV679" s="187"/>
    </row>
    <row r="680" spans="1:48" ht="15.75" customHeight="1" x14ac:dyDescent="0.25"/>
    <row r="681" spans="1:48" ht="15.75" customHeight="1" x14ac:dyDescent="0.25"/>
    <row r="682" spans="1:48" ht="15.75" customHeight="1" x14ac:dyDescent="0.25"/>
    <row r="683" spans="1:48" ht="15.75" customHeight="1" x14ac:dyDescent="0.25"/>
    <row r="684" spans="1:48" ht="15.75" customHeight="1" x14ac:dyDescent="0.25"/>
    <row r="685" spans="1:48" ht="15.75" customHeight="1" x14ac:dyDescent="0.25"/>
    <row r="686" spans="1:48" ht="15.75" customHeight="1" x14ac:dyDescent="0.25"/>
    <row r="687" spans="1:48" ht="15.75" customHeight="1" x14ac:dyDescent="0.25"/>
    <row r="688" spans="1:4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</sheetData>
  <autoFilter ref="A1:I679" xr:uid="{00000000-0009-0000-0000-000006000000}">
    <filterColumn colId="0">
      <filters>
        <filter val="1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G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8.453125" customWidth="1"/>
    <col min="2" max="2" width="6.08984375" customWidth="1"/>
    <col min="3" max="3" width="12.90625" customWidth="1"/>
    <col min="4" max="4" width="10.7265625" customWidth="1"/>
    <col min="5" max="5" width="15.453125" customWidth="1"/>
    <col min="6" max="6" width="33.36328125" customWidth="1"/>
    <col min="7" max="7" width="15.6328125" customWidth="1"/>
    <col min="8" max="8" width="14.26953125" customWidth="1"/>
    <col min="9" max="9" width="40" customWidth="1"/>
    <col min="10" max="10" width="17.36328125" customWidth="1"/>
    <col min="11" max="11" width="12.6328125" customWidth="1"/>
    <col min="12" max="12" width="5.36328125" customWidth="1"/>
    <col min="21" max="32" width="10.36328125" customWidth="1"/>
    <col min="33" max="33" width="3.90625" customWidth="1"/>
  </cols>
  <sheetData>
    <row r="1" spans="1:33" ht="15.75" customHeight="1" x14ac:dyDescent="0.85">
      <c r="A1" s="199" t="s">
        <v>170</v>
      </c>
      <c r="B1" s="179" t="s">
        <v>146</v>
      </c>
      <c r="C1" s="179" t="s">
        <v>4</v>
      </c>
      <c r="D1" s="179" t="s">
        <v>130</v>
      </c>
      <c r="E1" s="179" t="s">
        <v>131</v>
      </c>
      <c r="F1" s="179" t="s">
        <v>147</v>
      </c>
      <c r="G1" s="179" t="s">
        <v>171</v>
      </c>
      <c r="H1" s="179" t="s">
        <v>37</v>
      </c>
      <c r="I1" s="179" t="s">
        <v>150</v>
      </c>
      <c r="J1" s="179" t="s">
        <v>151</v>
      </c>
      <c r="K1" s="179" t="s">
        <v>152</v>
      </c>
      <c r="L1" s="179" t="s">
        <v>153</v>
      </c>
      <c r="M1" s="179" t="s">
        <v>154</v>
      </c>
      <c r="N1" s="180" t="s">
        <v>155</v>
      </c>
      <c r="O1" s="179" t="s">
        <v>156</v>
      </c>
      <c r="P1" s="179" t="s">
        <v>157</v>
      </c>
      <c r="Q1" s="181" t="s">
        <v>158</v>
      </c>
      <c r="R1" s="181" t="s">
        <v>159</v>
      </c>
      <c r="S1" s="180" t="s">
        <v>160</v>
      </c>
      <c r="T1" s="7" t="s">
        <v>161</v>
      </c>
      <c r="U1" s="182">
        <v>44951</v>
      </c>
      <c r="V1" s="182">
        <v>44982</v>
      </c>
      <c r="W1" s="182">
        <v>45010</v>
      </c>
      <c r="X1" s="182">
        <v>45041</v>
      </c>
      <c r="Y1" s="182">
        <v>45071</v>
      </c>
      <c r="Z1" s="182">
        <v>45102</v>
      </c>
      <c r="AA1" s="182">
        <v>45132</v>
      </c>
      <c r="AB1" s="182">
        <v>45163</v>
      </c>
      <c r="AC1" s="182">
        <v>45194</v>
      </c>
      <c r="AD1" s="182">
        <v>45224</v>
      </c>
      <c r="AE1" s="182">
        <v>45255</v>
      </c>
      <c r="AF1" s="202">
        <v>45285</v>
      </c>
      <c r="AG1" s="100"/>
    </row>
    <row r="2" spans="1:33" ht="15.75" customHeight="1" x14ac:dyDescent="0.25">
      <c r="A2" s="100">
        <v>1</v>
      </c>
      <c r="B2" s="203" t="str">
        <f ca="1">IFERROR(__xludf.DUMMYFUNCTION("importrange(""https://docs.google.com/spreadsheets/d/1vfFC-WbQjC4TdER162idYZbspjq9W6-E_N7ziFhkIHg/edit?gid=1485329002#"",""Personnel Cost!A2:AE15"")"),"#REF!")</f>
        <v>#REF!</v>
      </c>
      <c r="C2" s="81"/>
      <c r="D2" s="81"/>
      <c r="E2" s="81"/>
      <c r="F2" s="81"/>
      <c r="G2" s="139"/>
      <c r="H2" s="35"/>
      <c r="I2" s="206"/>
      <c r="J2" s="139"/>
      <c r="K2" s="139"/>
      <c r="L2" s="139"/>
      <c r="M2" s="189"/>
      <c r="N2" s="139"/>
      <c r="O2" s="139"/>
      <c r="P2" s="139"/>
      <c r="Q2" s="207"/>
      <c r="R2" s="208"/>
      <c r="S2" s="139"/>
      <c r="T2" s="139"/>
      <c r="U2" s="139"/>
      <c r="V2" s="139"/>
      <c r="W2" s="206"/>
      <c r="X2" s="209"/>
      <c r="Y2" s="209"/>
      <c r="Z2" s="209"/>
      <c r="AA2" s="206"/>
      <c r="AB2" s="206"/>
      <c r="AC2" s="139"/>
      <c r="AD2" s="139"/>
      <c r="AE2" s="139"/>
      <c r="AF2" s="210"/>
      <c r="AG2" s="100"/>
    </row>
    <row r="3" spans="1:33" ht="15.75" customHeight="1" x14ac:dyDescent="0.25">
      <c r="A3" s="100">
        <v>0</v>
      </c>
      <c r="B3" s="81"/>
      <c r="C3" s="81"/>
      <c r="D3" s="81"/>
      <c r="E3" s="81"/>
      <c r="F3" s="81"/>
      <c r="G3" s="139"/>
      <c r="H3" s="35"/>
      <c r="I3" s="206"/>
      <c r="J3" s="139"/>
      <c r="K3" s="139"/>
      <c r="L3" s="139"/>
      <c r="M3" s="189"/>
      <c r="N3" s="139"/>
      <c r="O3" s="139"/>
      <c r="P3" s="81"/>
      <c r="Q3" s="81"/>
      <c r="R3" s="81"/>
      <c r="S3" s="81"/>
      <c r="T3" s="139"/>
      <c r="U3" s="81"/>
      <c r="V3" s="81"/>
      <c r="W3" s="64"/>
      <c r="X3" s="64"/>
      <c r="Y3" s="64"/>
      <c r="Z3" s="64"/>
      <c r="AA3" s="64"/>
      <c r="AB3" s="206"/>
      <c r="AC3" s="139"/>
      <c r="AD3" s="139"/>
      <c r="AE3" s="139"/>
      <c r="AF3" s="210"/>
      <c r="AG3" s="100"/>
    </row>
    <row r="4" spans="1:33" ht="15.75" customHeight="1" x14ac:dyDescent="0.25">
      <c r="A4" s="100">
        <v>0</v>
      </c>
      <c r="B4" s="81"/>
      <c r="C4" s="81"/>
      <c r="D4" s="81"/>
      <c r="E4" s="81"/>
      <c r="F4" s="81"/>
      <c r="G4" s="139"/>
      <c r="H4" s="35"/>
      <c r="I4" s="206"/>
      <c r="J4" s="81"/>
      <c r="K4" s="81"/>
      <c r="L4" s="81"/>
      <c r="M4" s="81"/>
      <c r="N4" s="81"/>
      <c r="O4" s="139"/>
      <c r="P4" s="81"/>
      <c r="Q4" s="81"/>
      <c r="R4" s="81"/>
      <c r="S4" s="81"/>
      <c r="T4" s="139"/>
      <c r="U4" s="81"/>
      <c r="V4" s="81"/>
      <c r="W4" s="64"/>
      <c r="X4" s="64"/>
      <c r="Y4" s="64"/>
      <c r="Z4" s="64"/>
      <c r="AA4" s="64"/>
      <c r="AB4" s="64"/>
      <c r="AC4" s="81"/>
      <c r="AD4" s="81"/>
      <c r="AE4" s="81"/>
      <c r="AF4" s="212"/>
      <c r="AG4" s="100"/>
    </row>
    <row r="5" spans="1:33" ht="15.75" customHeight="1" x14ac:dyDescent="0.25">
      <c r="A5" s="100">
        <v>0</v>
      </c>
      <c r="B5" s="81"/>
      <c r="C5" s="81"/>
      <c r="D5" s="81"/>
      <c r="E5" s="81"/>
      <c r="F5" s="81"/>
      <c r="G5" s="139"/>
      <c r="H5" s="35"/>
      <c r="I5" s="139"/>
      <c r="J5" s="81"/>
      <c r="K5" s="81"/>
      <c r="L5" s="81"/>
      <c r="M5" s="81"/>
      <c r="N5" s="81"/>
      <c r="O5" s="139"/>
      <c r="P5" s="81"/>
      <c r="Q5" s="81"/>
      <c r="R5" s="81"/>
      <c r="S5" s="81"/>
      <c r="T5" s="139"/>
      <c r="U5" s="81"/>
      <c r="V5" s="81"/>
      <c r="W5" s="64"/>
      <c r="X5" s="64"/>
      <c r="Y5" s="64"/>
      <c r="Z5" s="64"/>
      <c r="AA5" s="64"/>
      <c r="AB5" s="64"/>
      <c r="AC5" s="81"/>
      <c r="AD5" s="81"/>
      <c r="AE5" s="81"/>
      <c r="AF5" s="212"/>
      <c r="AG5" s="100"/>
    </row>
    <row r="6" spans="1:33" ht="15.75" customHeight="1" x14ac:dyDescent="0.25">
      <c r="A6" s="100">
        <v>0</v>
      </c>
      <c r="B6" s="81"/>
      <c r="C6" s="81"/>
      <c r="D6" s="81"/>
      <c r="E6" s="81"/>
      <c r="F6" s="81"/>
      <c r="G6" s="139"/>
      <c r="H6" s="35"/>
      <c r="I6" s="139"/>
      <c r="J6" s="81"/>
      <c r="K6" s="81"/>
      <c r="L6" s="81"/>
      <c r="M6" s="81"/>
      <c r="N6" s="81"/>
      <c r="O6" s="139"/>
      <c r="P6" s="81"/>
      <c r="Q6" s="81"/>
      <c r="R6" s="81"/>
      <c r="S6" s="81"/>
      <c r="T6" s="139"/>
      <c r="U6" s="81"/>
      <c r="V6" s="81"/>
      <c r="W6" s="64"/>
      <c r="X6" s="64"/>
      <c r="Y6" s="64"/>
      <c r="Z6" s="64"/>
      <c r="AA6" s="64"/>
      <c r="AB6" s="64"/>
      <c r="AC6" s="81"/>
      <c r="AD6" s="81"/>
      <c r="AE6" s="81"/>
      <c r="AF6" s="212"/>
      <c r="AG6" s="100"/>
    </row>
    <row r="7" spans="1:33" ht="15.75" customHeight="1" x14ac:dyDescent="0.25">
      <c r="A7" s="100">
        <v>0</v>
      </c>
      <c r="B7" s="81"/>
      <c r="C7" s="81"/>
      <c r="D7" s="81"/>
      <c r="E7" s="81"/>
      <c r="F7" s="81"/>
      <c r="G7" s="139"/>
      <c r="H7" s="35"/>
      <c r="I7" s="139"/>
      <c r="J7" s="81"/>
      <c r="K7" s="81"/>
      <c r="L7" s="81"/>
      <c r="M7" s="81"/>
      <c r="N7" s="81"/>
      <c r="O7" s="139"/>
      <c r="P7" s="81"/>
      <c r="Q7" s="81"/>
      <c r="R7" s="81"/>
      <c r="S7" s="81"/>
      <c r="T7" s="139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212"/>
      <c r="AG7" s="100"/>
    </row>
    <row r="8" spans="1:33" ht="15.75" customHeight="1" x14ac:dyDescent="0.25">
      <c r="A8" s="100">
        <v>0</v>
      </c>
      <c r="B8" s="81"/>
      <c r="C8" s="81"/>
      <c r="D8" s="81"/>
      <c r="E8" s="81"/>
      <c r="F8" s="81"/>
      <c r="G8" s="139"/>
      <c r="H8" s="35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139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212"/>
      <c r="AG8" s="100"/>
    </row>
    <row r="9" spans="1:33" ht="15.75" customHeight="1" x14ac:dyDescent="0.25">
      <c r="A9" s="100">
        <v>0</v>
      </c>
      <c r="B9" s="81"/>
      <c r="C9" s="81"/>
      <c r="D9" s="81"/>
      <c r="E9" s="81"/>
      <c r="F9" s="81"/>
      <c r="G9" s="139"/>
      <c r="H9" s="35"/>
      <c r="I9" s="139"/>
      <c r="J9" s="139"/>
      <c r="K9" s="139"/>
      <c r="L9" s="139"/>
      <c r="M9" s="189"/>
      <c r="N9" s="139"/>
      <c r="O9" s="139"/>
      <c r="P9" s="81"/>
      <c r="Q9" s="81"/>
      <c r="R9" s="81"/>
      <c r="S9" s="81"/>
      <c r="T9" s="139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212"/>
      <c r="AG9" s="100"/>
    </row>
    <row r="10" spans="1:33" ht="15.75" customHeight="1" x14ac:dyDescent="0.25">
      <c r="A10" s="100">
        <v>0</v>
      </c>
      <c r="B10" s="81"/>
      <c r="C10" s="81"/>
      <c r="D10" s="81"/>
      <c r="E10" s="81"/>
      <c r="F10" s="81"/>
      <c r="G10" s="139"/>
      <c r="H10" s="35"/>
      <c r="I10" s="139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139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212"/>
      <c r="AG10" s="100"/>
    </row>
    <row r="11" spans="1:33" ht="15.75" customHeight="1" x14ac:dyDescent="0.25">
      <c r="A11" s="100">
        <v>0</v>
      </c>
      <c r="B11" s="81"/>
      <c r="C11" s="81"/>
      <c r="D11" s="81"/>
      <c r="E11" s="81"/>
      <c r="F11" s="81"/>
      <c r="G11" s="139"/>
      <c r="H11" s="35"/>
      <c r="I11" s="139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139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212"/>
      <c r="AG11" s="100"/>
    </row>
    <row r="12" spans="1:33" ht="15.75" customHeight="1" x14ac:dyDescent="0.25">
      <c r="A12" s="100">
        <v>0</v>
      </c>
      <c r="B12" s="81"/>
      <c r="C12" s="81"/>
      <c r="D12" s="81"/>
      <c r="E12" s="81"/>
      <c r="F12" s="81"/>
      <c r="G12" s="139"/>
      <c r="H12" s="35"/>
      <c r="I12" s="139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139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212"/>
      <c r="AG12" s="100"/>
    </row>
    <row r="13" spans="1:33" ht="15.75" customHeight="1" x14ac:dyDescent="0.25">
      <c r="A13" s="100">
        <v>0</v>
      </c>
      <c r="B13" s="81"/>
      <c r="C13" s="81"/>
      <c r="D13" s="81"/>
      <c r="E13" s="81"/>
      <c r="F13" s="81"/>
      <c r="G13" s="139"/>
      <c r="H13" s="35"/>
      <c r="I13" s="139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139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212"/>
      <c r="AG13" s="100"/>
    </row>
    <row r="14" spans="1:33" ht="15.75" customHeight="1" x14ac:dyDescent="0.25">
      <c r="A14" s="100">
        <v>0</v>
      </c>
      <c r="B14" s="81"/>
      <c r="C14" s="81"/>
      <c r="D14" s="81"/>
      <c r="E14" s="81"/>
      <c r="F14" s="81"/>
      <c r="G14" s="139"/>
      <c r="H14" s="35"/>
      <c r="I14" s="139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139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212"/>
      <c r="AG14" s="100"/>
    </row>
    <row r="15" spans="1:33" ht="15.75" customHeight="1" x14ac:dyDescent="0.3">
      <c r="B15" s="214"/>
      <c r="C15" s="214"/>
      <c r="D15" s="214"/>
      <c r="E15" s="216"/>
      <c r="F15" s="214"/>
      <c r="G15" s="216"/>
      <c r="H15" s="216"/>
      <c r="I15" s="216"/>
      <c r="J15" s="216"/>
      <c r="K15" s="214"/>
      <c r="L15" s="214"/>
      <c r="M15" s="214"/>
      <c r="N15" s="216"/>
      <c r="O15" s="216"/>
      <c r="P15" s="214"/>
      <c r="Q15" s="214"/>
      <c r="R15" s="214"/>
      <c r="S15" s="214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8"/>
      <c r="AG15" s="219"/>
    </row>
    <row r="16" spans="1:33" ht="15.75" customHeight="1" x14ac:dyDescent="0.25"/>
    <row r="17" spans="1:33" ht="15.75" customHeight="1" x14ac:dyDescent="0.25">
      <c r="A17" s="15">
        <v>1</v>
      </c>
      <c r="B17" s="203" t="str">
        <f ca="1">IFERROR(__xludf.DUMMYFUNCTION("importrange(""https://docs.google.com/spreadsheets/d/1vfFC-WbQjC4TdER162idYZbspjq9W6-E_N7ziFhkIHg/edit?gid=1485329002#"",""Personnel Cost!A34:AE44"")"),"#REF!")</f>
        <v>#REF!</v>
      </c>
      <c r="C17" s="81"/>
      <c r="D17" s="81"/>
      <c r="E17" s="139"/>
      <c r="F17" s="81"/>
      <c r="G17" s="139"/>
      <c r="H17" s="35"/>
      <c r="I17" s="139"/>
      <c r="J17" s="139"/>
      <c r="K17" s="139"/>
      <c r="L17" s="139"/>
      <c r="M17" s="189"/>
      <c r="N17" s="81"/>
      <c r="O17" s="139"/>
      <c r="P17" s="81"/>
      <c r="Q17" s="81"/>
      <c r="R17" s="81"/>
      <c r="S17" s="81"/>
      <c r="T17" s="139"/>
      <c r="U17" s="81"/>
      <c r="V17" s="81"/>
      <c r="W17" s="81"/>
      <c r="X17" s="81"/>
      <c r="Y17" s="81"/>
      <c r="Z17" s="81"/>
      <c r="AA17" s="81"/>
      <c r="AB17" s="139"/>
      <c r="AC17" s="139"/>
      <c r="AD17" s="139"/>
      <c r="AE17" s="139"/>
      <c r="AF17" s="210"/>
      <c r="AG17" s="100"/>
    </row>
    <row r="18" spans="1:33" ht="15.75" customHeight="1" x14ac:dyDescent="0.25">
      <c r="A18" s="100">
        <v>0</v>
      </c>
      <c r="B18" s="81"/>
      <c r="C18" s="81"/>
      <c r="D18" s="81"/>
      <c r="E18" s="139"/>
      <c r="F18" s="81"/>
      <c r="G18" s="139"/>
      <c r="H18" s="35"/>
      <c r="I18" s="139"/>
      <c r="J18" s="81"/>
      <c r="K18" s="81"/>
      <c r="L18" s="81"/>
      <c r="M18" s="81"/>
      <c r="N18" s="81"/>
      <c r="O18" s="139"/>
      <c r="P18" s="81"/>
      <c r="Q18" s="81"/>
      <c r="R18" s="81"/>
      <c r="S18" s="81"/>
      <c r="T18" s="139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212"/>
      <c r="AG18" s="100"/>
    </row>
    <row r="19" spans="1:33" ht="15.75" customHeight="1" x14ac:dyDescent="0.25">
      <c r="A19" s="100">
        <v>0</v>
      </c>
      <c r="B19" s="81"/>
      <c r="C19" s="81"/>
      <c r="D19" s="81"/>
      <c r="E19" s="139"/>
      <c r="F19" s="81"/>
      <c r="G19" s="139"/>
      <c r="H19" s="35"/>
      <c r="I19" s="139"/>
      <c r="J19" s="81"/>
      <c r="K19" s="81"/>
      <c r="L19" s="81"/>
      <c r="M19" s="81"/>
      <c r="N19" s="81"/>
      <c r="O19" s="139"/>
      <c r="P19" s="81"/>
      <c r="Q19" s="81"/>
      <c r="R19" s="81"/>
      <c r="S19" s="81"/>
      <c r="T19" s="139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212"/>
      <c r="AG19" s="100"/>
    </row>
    <row r="20" spans="1:33" ht="15.75" customHeight="1" x14ac:dyDescent="0.25">
      <c r="A20" s="100">
        <v>0</v>
      </c>
      <c r="B20" s="81"/>
      <c r="C20" s="81"/>
      <c r="D20" s="81"/>
      <c r="E20" s="139"/>
      <c r="F20" s="81"/>
      <c r="G20" s="139"/>
      <c r="H20" s="35"/>
      <c r="I20" s="139"/>
      <c r="J20" s="81"/>
      <c r="K20" s="81"/>
      <c r="L20" s="81"/>
      <c r="M20" s="81"/>
      <c r="N20" s="81"/>
      <c r="O20" s="139"/>
      <c r="P20" s="81"/>
      <c r="Q20" s="81"/>
      <c r="R20" s="81"/>
      <c r="S20" s="81"/>
      <c r="T20" s="139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212"/>
      <c r="AG20" s="100"/>
    </row>
    <row r="21" spans="1:33" ht="15.75" customHeight="1" x14ac:dyDescent="0.25">
      <c r="A21" s="100">
        <v>0</v>
      </c>
      <c r="B21" s="81"/>
      <c r="C21" s="81"/>
      <c r="D21" s="81"/>
      <c r="E21" s="139"/>
      <c r="F21" s="81"/>
      <c r="G21" s="139"/>
      <c r="H21" s="35"/>
      <c r="I21" s="139"/>
      <c r="J21" s="81"/>
      <c r="K21" s="139"/>
      <c r="L21" s="81"/>
      <c r="M21" s="81"/>
      <c r="N21" s="81"/>
      <c r="O21" s="139"/>
      <c r="P21" s="81"/>
      <c r="Q21" s="81"/>
      <c r="R21" s="81"/>
      <c r="S21" s="81"/>
      <c r="T21" s="139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212"/>
      <c r="AG21" s="100"/>
    </row>
    <row r="22" spans="1:33" ht="15.75" customHeight="1" x14ac:dyDescent="0.25">
      <c r="A22" s="100">
        <v>0</v>
      </c>
      <c r="B22" s="81"/>
      <c r="C22" s="81"/>
      <c r="D22" s="81"/>
      <c r="E22" s="139"/>
      <c r="F22" s="81"/>
      <c r="G22" s="139"/>
      <c r="H22" s="35"/>
      <c r="I22" s="139"/>
      <c r="J22" s="81"/>
      <c r="K22" s="81"/>
      <c r="L22" s="81"/>
      <c r="M22" s="81"/>
      <c r="N22" s="81"/>
      <c r="O22" s="139"/>
      <c r="P22" s="81"/>
      <c r="Q22" s="81"/>
      <c r="R22" s="81"/>
      <c r="S22" s="81"/>
      <c r="T22" s="139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212"/>
      <c r="AG22" s="100"/>
    </row>
    <row r="23" spans="1:33" ht="15.75" customHeight="1" x14ac:dyDescent="0.25">
      <c r="A23" s="100">
        <v>0</v>
      </c>
      <c r="B23" s="81"/>
      <c r="C23" s="81"/>
      <c r="D23" s="81"/>
      <c r="E23" s="139"/>
      <c r="F23" s="81"/>
      <c r="G23" s="139"/>
      <c r="H23" s="35"/>
      <c r="I23" s="139"/>
      <c r="J23" s="81"/>
      <c r="K23" s="81"/>
      <c r="L23" s="81"/>
      <c r="M23" s="81"/>
      <c r="N23" s="81"/>
      <c r="O23" s="139"/>
      <c r="P23" s="81"/>
      <c r="Q23" s="81"/>
      <c r="R23" s="81"/>
      <c r="S23" s="81"/>
      <c r="T23" s="139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212"/>
      <c r="AG23" s="100"/>
    </row>
    <row r="24" spans="1:33" ht="15.75" customHeight="1" x14ac:dyDescent="0.25">
      <c r="A24" s="100">
        <v>0</v>
      </c>
      <c r="B24" s="81"/>
      <c r="C24" s="81"/>
      <c r="D24" s="81"/>
      <c r="E24" s="139"/>
      <c r="F24" s="81"/>
      <c r="G24" s="139"/>
      <c r="H24" s="35"/>
      <c r="I24" s="139"/>
      <c r="J24" s="81"/>
      <c r="K24" s="81"/>
      <c r="L24" s="81"/>
      <c r="M24" s="81"/>
      <c r="N24" s="81"/>
      <c r="O24" s="139"/>
      <c r="P24" s="81"/>
      <c r="Q24" s="81"/>
      <c r="R24" s="81"/>
      <c r="S24" s="81"/>
      <c r="T24" s="139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212"/>
      <c r="AG24" s="100"/>
    </row>
    <row r="25" spans="1:33" ht="15.75" customHeight="1" x14ac:dyDescent="0.25">
      <c r="A25" s="100">
        <v>0</v>
      </c>
      <c r="B25" s="81"/>
      <c r="C25" s="81"/>
      <c r="D25" s="81"/>
      <c r="E25" s="139"/>
      <c r="F25" s="81"/>
      <c r="G25" s="139"/>
      <c r="H25" s="35"/>
      <c r="I25" s="139"/>
      <c r="J25" s="81"/>
      <c r="K25" s="81"/>
      <c r="L25" s="81"/>
      <c r="M25" s="81"/>
      <c r="N25" s="81"/>
      <c r="O25" s="139"/>
      <c r="P25" s="81"/>
      <c r="Q25" s="81"/>
      <c r="R25" s="81"/>
      <c r="S25" s="81"/>
      <c r="T25" s="139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212"/>
      <c r="AG25" s="100"/>
    </row>
    <row r="26" spans="1:33" ht="15.75" customHeight="1" x14ac:dyDescent="0.25">
      <c r="A26" s="100">
        <v>0</v>
      </c>
      <c r="B26" s="81"/>
      <c r="C26" s="81"/>
      <c r="D26" s="81"/>
      <c r="E26" s="139"/>
      <c r="F26" s="81"/>
      <c r="G26" s="139"/>
      <c r="H26" s="35"/>
      <c r="I26" s="139"/>
      <c r="J26" s="81"/>
      <c r="K26" s="81"/>
      <c r="L26" s="81"/>
      <c r="M26" s="81"/>
      <c r="N26" s="81"/>
      <c r="O26" s="139"/>
      <c r="P26" s="81"/>
      <c r="Q26" s="81"/>
      <c r="R26" s="81"/>
      <c r="S26" s="81"/>
      <c r="T26" s="139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212"/>
      <c r="AG26" s="100"/>
    </row>
    <row r="27" spans="1:33" ht="15.75" customHeight="1" x14ac:dyDescent="0.3">
      <c r="B27" s="214"/>
      <c r="C27" s="214"/>
      <c r="D27" s="214"/>
      <c r="E27" s="216"/>
      <c r="F27" s="214"/>
      <c r="G27" s="216"/>
      <c r="H27" s="216"/>
      <c r="I27" s="216"/>
      <c r="J27" s="216"/>
      <c r="K27" s="214"/>
      <c r="L27" s="214"/>
      <c r="M27" s="214"/>
      <c r="N27" s="216"/>
      <c r="O27" s="216"/>
      <c r="P27" s="214"/>
      <c r="Q27" s="214"/>
      <c r="R27" s="214"/>
      <c r="S27" s="214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8"/>
      <c r="AG27" s="219"/>
    </row>
    <row r="28" spans="1:33" ht="15.75" customHeight="1" x14ac:dyDescent="0.25"/>
    <row r="29" spans="1:33" ht="15.75" customHeight="1" x14ac:dyDescent="0.25">
      <c r="A29" s="100">
        <v>0</v>
      </c>
      <c r="B29" s="203" t="str">
        <f ca="1">IFERROR(__xludf.DUMMYFUNCTION("importrange(""https://docs.google.com/spreadsheets/d/1vfFC-WbQjC4TdER162idYZbspjq9W6-E_N7ziFhkIHg/edit?gid=1485329002#"",""Personnel Cost!A57:AE67"")"),"#REF!")</f>
        <v>#REF!</v>
      </c>
      <c r="C29" s="81"/>
      <c r="D29" s="81"/>
      <c r="E29" s="139"/>
      <c r="F29" s="81"/>
      <c r="G29" s="139"/>
      <c r="H29" s="35"/>
      <c r="I29" s="139"/>
      <c r="J29" s="81"/>
      <c r="K29" s="81"/>
      <c r="L29" s="81"/>
      <c r="M29" s="81"/>
      <c r="N29" s="81"/>
      <c r="O29" s="139"/>
      <c r="P29" s="81"/>
      <c r="Q29" s="81"/>
      <c r="R29" s="81"/>
      <c r="S29" s="81"/>
      <c r="T29" s="139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212"/>
      <c r="AG29" s="100"/>
    </row>
    <row r="30" spans="1:33" ht="15.75" customHeight="1" x14ac:dyDescent="0.25">
      <c r="A30" s="100">
        <v>0</v>
      </c>
      <c r="B30" s="81"/>
      <c r="C30" s="81"/>
      <c r="D30" s="81"/>
      <c r="E30" s="139"/>
      <c r="F30" s="81"/>
      <c r="G30" s="139"/>
      <c r="H30" s="35"/>
      <c r="I30" s="139"/>
      <c r="J30" s="81"/>
      <c r="K30" s="81"/>
      <c r="L30" s="81"/>
      <c r="M30" s="81"/>
      <c r="N30" s="81"/>
      <c r="O30" s="139"/>
      <c r="P30" s="81"/>
      <c r="Q30" s="81"/>
      <c r="R30" s="81"/>
      <c r="S30" s="81"/>
      <c r="T30" s="139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212"/>
      <c r="AG30" s="100"/>
    </row>
    <row r="31" spans="1:33" ht="15.75" customHeight="1" x14ac:dyDescent="0.25">
      <c r="A31" s="100">
        <v>0</v>
      </c>
      <c r="B31" s="81"/>
      <c r="C31" s="81"/>
      <c r="D31" s="81"/>
      <c r="E31" s="139"/>
      <c r="F31" s="81"/>
      <c r="G31" s="139"/>
      <c r="H31" s="35"/>
      <c r="I31" s="139"/>
      <c r="J31" s="81"/>
      <c r="K31" s="81"/>
      <c r="L31" s="81"/>
      <c r="M31" s="81"/>
      <c r="N31" s="81"/>
      <c r="O31" s="139"/>
      <c r="P31" s="81"/>
      <c r="Q31" s="81"/>
      <c r="R31" s="81"/>
      <c r="S31" s="81"/>
      <c r="T31" s="139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212"/>
      <c r="AG31" s="100"/>
    </row>
    <row r="32" spans="1:33" ht="15.75" customHeight="1" x14ac:dyDescent="0.25">
      <c r="A32" s="100">
        <v>0</v>
      </c>
      <c r="B32" s="81"/>
      <c r="C32" s="81"/>
      <c r="D32" s="81"/>
      <c r="E32" s="139"/>
      <c r="F32" s="81"/>
      <c r="G32" s="139"/>
      <c r="H32" s="35"/>
      <c r="I32" s="139"/>
      <c r="J32" s="81"/>
      <c r="K32" s="81"/>
      <c r="L32" s="81"/>
      <c r="M32" s="81"/>
      <c r="N32" s="81"/>
      <c r="O32" s="139"/>
      <c r="P32" s="81"/>
      <c r="Q32" s="81"/>
      <c r="R32" s="81"/>
      <c r="S32" s="81"/>
      <c r="T32" s="139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212"/>
      <c r="AG32" s="100"/>
    </row>
    <row r="33" spans="1:33" ht="15.75" customHeight="1" x14ac:dyDescent="0.25">
      <c r="A33" s="100">
        <v>0</v>
      </c>
      <c r="B33" s="81"/>
      <c r="C33" s="81"/>
      <c r="D33" s="81"/>
      <c r="E33" s="139"/>
      <c r="F33" s="81"/>
      <c r="G33" s="139"/>
      <c r="H33" s="35"/>
      <c r="I33" s="139"/>
      <c r="J33" s="81"/>
      <c r="K33" s="139"/>
      <c r="L33" s="81"/>
      <c r="M33" s="81"/>
      <c r="N33" s="81"/>
      <c r="O33" s="139"/>
      <c r="P33" s="81"/>
      <c r="Q33" s="81"/>
      <c r="R33" s="81"/>
      <c r="S33" s="81"/>
      <c r="T33" s="139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212"/>
      <c r="AG33" s="100"/>
    </row>
    <row r="34" spans="1:33" ht="15.75" customHeight="1" x14ac:dyDescent="0.25">
      <c r="A34" s="100">
        <v>0</v>
      </c>
      <c r="B34" s="81"/>
      <c r="C34" s="81"/>
      <c r="D34" s="81"/>
      <c r="E34" s="139"/>
      <c r="F34" s="81"/>
      <c r="G34" s="139"/>
      <c r="H34" s="35"/>
      <c r="I34" s="139"/>
      <c r="J34" s="81"/>
      <c r="K34" s="81"/>
      <c r="L34" s="81"/>
      <c r="M34" s="81"/>
      <c r="N34" s="81"/>
      <c r="O34" s="139"/>
      <c r="P34" s="81"/>
      <c r="Q34" s="81"/>
      <c r="R34" s="81"/>
      <c r="S34" s="81"/>
      <c r="T34" s="139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212"/>
      <c r="AG34" s="100"/>
    </row>
    <row r="35" spans="1:33" ht="15.75" customHeight="1" x14ac:dyDescent="0.25">
      <c r="A35" s="100">
        <v>0</v>
      </c>
      <c r="B35" s="81"/>
      <c r="C35" s="81"/>
      <c r="D35" s="81"/>
      <c r="E35" s="139"/>
      <c r="F35" s="81"/>
      <c r="G35" s="139"/>
      <c r="H35" s="35"/>
      <c r="I35" s="139"/>
      <c r="J35" s="81"/>
      <c r="K35" s="81"/>
      <c r="L35" s="81"/>
      <c r="M35" s="81"/>
      <c r="N35" s="81"/>
      <c r="O35" s="139"/>
      <c r="P35" s="81"/>
      <c r="Q35" s="81"/>
      <c r="R35" s="81"/>
      <c r="S35" s="81"/>
      <c r="T35" s="139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212"/>
      <c r="AG35" s="100"/>
    </row>
    <row r="36" spans="1:33" ht="15.75" customHeight="1" x14ac:dyDescent="0.25">
      <c r="A36" s="100">
        <v>0</v>
      </c>
      <c r="B36" s="81"/>
      <c r="C36" s="81"/>
      <c r="D36" s="81"/>
      <c r="E36" s="139"/>
      <c r="F36" s="81"/>
      <c r="G36" s="139"/>
      <c r="H36" s="35"/>
      <c r="I36" s="139"/>
      <c r="J36" s="81"/>
      <c r="K36" s="81"/>
      <c r="L36" s="81"/>
      <c r="M36" s="81"/>
      <c r="N36" s="81"/>
      <c r="O36" s="139"/>
      <c r="P36" s="81"/>
      <c r="Q36" s="81"/>
      <c r="R36" s="81"/>
      <c r="S36" s="81"/>
      <c r="T36" s="139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212"/>
      <c r="AG36" s="100"/>
    </row>
    <row r="37" spans="1:33" ht="15.75" customHeight="1" x14ac:dyDescent="0.25">
      <c r="A37" s="100">
        <v>0</v>
      </c>
      <c r="B37" s="81"/>
      <c r="C37" s="81"/>
      <c r="D37" s="81"/>
      <c r="E37" s="139"/>
      <c r="F37" s="81"/>
      <c r="G37" s="139"/>
      <c r="H37" s="35"/>
      <c r="I37" s="139"/>
      <c r="J37" s="81"/>
      <c r="K37" s="81"/>
      <c r="L37" s="81"/>
      <c r="M37" s="81"/>
      <c r="N37" s="81"/>
      <c r="O37" s="139"/>
      <c r="P37" s="81"/>
      <c r="Q37" s="81"/>
      <c r="R37" s="81"/>
      <c r="S37" s="81"/>
      <c r="T37" s="139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212"/>
      <c r="AG37" s="100"/>
    </row>
    <row r="38" spans="1:33" ht="15.75" customHeight="1" x14ac:dyDescent="0.25">
      <c r="A38" s="100">
        <v>0</v>
      </c>
      <c r="B38" s="81"/>
      <c r="C38" s="81"/>
      <c r="D38" s="81"/>
      <c r="E38" s="139"/>
      <c r="F38" s="81"/>
      <c r="G38" s="139"/>
      <c r="H38" s="35"/>
      <c r="I38" s="139"/>
      <c r="J38" s="81"/>
      <c r="K38" s="81"/>
      <c r="L38" s="81"/>
      <c r="M38" s="81"/>
      <c r="N38" s="81"/>
      <c r="O38" s="139"/>
      <c r="P38" s="81"/>
      <c r="Q38" s="81"/>
      <c r="R38" s="81"/>
      <c r="S38" s="81"/>
      <c r="T38" s="139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212"/>
      <c r="AG38" s="100"/>
    </row>
    <row r="39" spans="1:33" ht="15.75" customHeight="1" x14ac:dyDescent="0.3">
      <c r="B39" s="214"/>
      <c r="C39" s="214"/>
      <c r="D39" s="214"/>
      <c r="E39" s="216"/>
      <c r="F39" s="214"/>
      <c r="G39" s="216"/>
      <c r="H39" s="216"/>
      <c r="I39" s="216"/>
      <c r="J39" s="216"/>
      <c r="K39" s="214"/>
      <c r="L39" s="214"/>
      <c r="M39" s="214"/>
      <c r="N39" s="216"/>
      <c r="O39" s="216"/>
      <c r="P39" s="214"/>
      <c r="Q39" s="214"/>
      <c r="R39" s="214"/>
      <c r="S39" s="214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8"/>
      <c r="AG39" s="219"/>
    </row>
    <row r="40" spans="1:33" ht="15.75" customHeight="1" x14ac:dyDescent="0.25"/>
    <row r="41" spans="1:33" ht="15.75" customHeight="1" x14ac:dyDescent="0.25">
      <c r="A41" s="100">
        <v>1</v>
      </c>
      <c r="B41" s="203" t="str">
        <f ca="1">IFERROR(__xludf.DUMMYFUNCTION("importrange(""https://docs.google.com/spreadsheets/d/1wMuSVooMlA0131QqALBhyJ_A2MXZiQJNlXg5PWohqXE/edit?gid=1685527060#"",""Personnel Cost!A2:AE18"")"),"#REF!")</f>
        <v>#REF!</v>
      </c>
      <c r="C41" s="81"/>
      <c r="D41" s="81"/>
      <c r="E41" s="139"/>
      <c r="F41" s="139"/>
      <c r="G41" s="139"/>
      <c r="H41" s="35"/>
      <c r="I41" s="139"/>
      <c r="J41" s="139"/>
      <c r="K41" s="139"/>
      <c r="L41" s="139"/>
      <c r="M41" s="227"/>
      <c r="N41" s="139"/>
      <c r="O41" s="139"/>
      <c r="P41" s="139"/>
      <c r="Q41" s="207"/>
      <c r="R41" s="208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210"/>
      <c r="AG41" s="100"/>
    </row>
    <row r="42" spans="1:33" ht="15.75" customHeight="1" x14ac:dyDescent="0.25">
      <c r="A42" s="100">
        <v>1</v>
      </c>
      <c r="B42" s="81"/>
      <c r="C42" s="81"/>
      <c r="D42" s="81"/>
      <c r="E42" s="139"/>
      <c r="F42" s="139"/>
      <c r="G42" s="139"/>
      <c r="H42" s="35"/>
      <c r="I42" s="139"/>
      <c r="J42" s="139"/>
      <c r="K42" s="139"/>
      <c r="L42" s="139"/>
      <c r="M42" s="227"/>
      <c r="N42" s="139"/>
      <c r="O42" s="139"/>
      <c r="P42" s="139"/>
      <c r="Q42" s="189"/>
      <c r="R42" s="190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210"/>
      <c r="AG42" s="100"/>
    </row>
    <row r="43" spans="1:33" ht="15.75" customHeight="1" x14ac:dyDescent="0.25">
      <c r="A43" s="100">
        <v>1</v>
      </c>
      <c r="B43" s="81"/>
      <c r="C43" s="81"/>
      <c r="D43" s="81"/>
      <c r="E43" s="139"/>
      <c r="F43" s="139"/>
      <c r="G43" s="139"/>
      <c r="H43" s="35"/>
      <c r="I43" s="139"/>
      <c r="J43" s="139"/>
      <c r="K43" s="139"/>
      <c r="L43" s="139"/>
      <c r="M43" s="227"/>
      <c r="N43" s="139"/>
      <c r="O43" s="139"/>
      <c r="P43" s="139"/>
      <c r="Q43" s="189"/>
      <c r="R43" s="208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210"/>
      <c r="AG43" s="100"/>
    </row>
    <row r="44" spans="1:33" ht="15.75" customHeight="1" x14ac:dyDescent="0.25">
      <c r="A44" s="100">
        <v>1</v>
      </c>
      <c r="B44" s="81"/>
      <c r="C44" s="81"/>
      <c r="D44" s="81"/>
      <c r="E44" s="139"/>
      <c r="F44" s="139"/>
      <c r="G44" s="139"/>
      <c r="H44" s="35"/>
      <c r="I44" s="139"/>
      <c r="J44" s="139"/>
      <c r="K44" s="139"/>
      <c r="L44" s="139"/>
      <c r="M44" s="227"/>
      <c r="N44" s="139"/>
      <c r="O44" s="139"/>
      <c r="P44" s="139"/>
      <c r="Q44" s="189"/>
      <c r="R44" s="208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210"/>
      <c r="AG44" s="100"/>
    </row>
    <row r="45" spans="1:33" ht="15.75" customHeight="1" x14ac:dyDescent="0.25">
      <c r="A45" s="228">
        <v>0</v>
      </c>
      <c r="B45" s="81"/>
      <c r="C45" s="81"/>
      <c r="D45" s="81"/>
      <c r="E45" s="139"/>
      <c r="F45" s="139"/>
      <c r="G45" s="139"/>
      <c r="H45" s="35"/>
      <c r="I45" s="139"/>
      <c r="J45" s="139"/>
      <c r="K45" s="81"/>
      <c r="L45" s="81"/>
      <c r="M45" s="227"/>
      <c r="N45" s="139"/>
      <c r="O45" s="139"/>
      <c r="P45" s="139"/>
      <c r="Q45" s="207"/>
      <c r="R45" s="81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210"/>
      <c r="AG45" s="100"/>
    </row>
    <row r="46" spans="1:33" ht="15.75" customHeight="1" x14ac:dyDescent="0.25">
      <c r="A46" s="100">
        <v>0</v>
      </c>
      <c r="B46" s="81"/>
      <c r="C46" s="81"/>
      <c r="D46" s="81"/>
      <c r="E46" s="139"/>
      <c r="F46" s="139"/>
      <c r="G46" s="139"/>
      <c r="H46" s="35"/>
      <c r="I46" s="139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139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212"/>
      <c r="AG46" s="100"/>
    </row>
    <row r="47" spans="1:33" ht="15.75" customHeight="1" x14ac:dyDescent="0.25">
      <c r="A47" s="100">
        <v>0</v>
      </c>
      <c r="B47" s="81"/>
      <c r="C47" s="81"/>
      <c r="D47" s="81"/>
      <c r="E47" s="139"/>
      <c r="F47" s="139"/>
      <c r="G47" s="139"/>
      <c r="H47" s="35"/>
      <c r="I47" s="139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139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212"/>
      <c r="AG47" s="100"/>
    </row>
    <row r="48" spans="1:33" ht="15.75" customHeight="1" x14ac:dyDescent="0.25">
      <c r="A48" s="100">
        <v>0</v>
      </c>
      <c r="B48" s="81"/>
      <c r="C48" s="81"/>
      <c r="D48" s="81"/>
      <c r="E48" s="139"/>
      <c r="F48" s="139"/>
      <c r="G48" s="139"/>
      <c r="H48" s="35"/>
      <c r="I48" s="139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139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212"/>
      <c r="AG48" s="100"/>
    </row>
    <row r="49" spans="1:33" ht="15.75" customHeight="1" x14ac:dyDescent="0.25">
      <c r="A49" s="100">
        <v>0</v>
      </c>
      <c r="B49" s="81"/>
      <c r="C49" s="81"/>
      <c r="D49" s="81"/>
      <c r="E49" s="139"/>
      <c r="F49" s="139"/>
      <c r="G49" s="139"/>
      <c r="H49" s="35"/>
      <c r="I49" s="139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139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212"/>
      <c r="AG49" s="100"/>
    </row>
    <row r="50" spans="1:33" ht="15.75" customHeight="1" x14ac:dyDescent="0.25">
      <c r="A50" s="100">
        <v>0</v>
      </c>
      <c r="B50" s="81"/>
      <c r="C50" s="81"/>
      <c r="D50" s="81"/>
      <c r="E50" s="139"/>
      <c r="F50" s="139"/>
      <c r="G50" s="139"/>
      <c r="H50" s="35"/>
      <c r="I50" s="139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139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212"/>
      <c r="AG50" s="100"/>
    </row>
    <row r="51" spans="1:33" ht="15.75" customHeight="1" x14ac:dyDescent="0.25">
      <c r="A51" s="100">
        <v>0</v>
      </c>
      <c r="B51" s="81"/>
      <c r="C51" s="81"/>
      <c r="D51" s="81"/>
      <c r="E51" s="139"/>
      <c r="F51" s="139"/>
      <c r="G51" s="139"/>
      <c r="H51" s="35"/>
      <c r="I51" s="139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139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212"/>
      <c r="AG51" s="100"/>
    </row>
    <row r="52" spans="1:33" ht="15.75" customHeight="1" x14ac:dyDescent="0.25">
      <c r="A52" s="100">
        <v>0</v>
      </c>
      <c r="B52" s="81"/>
      <c r="C52" s="81"/>
      <c r="D52" s="81"/>
      <c r="E52" s="139"/>
      <c r="F52" s="139"/>
      <c r="G52" s="139"/>
      <c r="H52" s="35"/>
      <c r="I52" s="139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139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212"/>
      <c r="AG52" s="100"/>
    </row>
    <row r="53" spans="1:33" ht="15.75" customHeight="1" x14ac:dyDescent="0.25">
      <c r="A53" s="100">
        <v>0</v>
      </c>
      <c r="B53" s="81"/>
      <c r="C53" s="81"/>
      <c r="D53" s="81"/>
      <c r="E53" s="139"/>
      <c r="F53" s="139"/>
      <c r="G53" s="139"/>
      <c r="H53" s="35"/>
      <c r="I53" s="139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139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212"/>
      <c r="AG53" s="100"/>
    </row>
    <row r="54" spans="1:33" ht="15.75" customHeight="1" x14ac:dyDescent="0.25">
      <c r="A54" s="100">
        <v>0</v>
      </c>
      <c r="B54" s="81"/>
      <c r="C54" s="81"/>
      <c r="D54" s="81"/>
      <c r="E54" s="139"/>
      <c r="F54" s="139"/>
      <c r="G54" s="139"/>
      <c r="H54" s="35"/>
      <c r="I54" s="139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139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212"/>
      <c r="AG54" s="100"/>
    </row>
    <row r="55" spans="1:33" ht="15.75" customHeight="1" x14ac:dyDescent="0.25">
      <c r="A55" s="100">
        <v>0</v>
      </c>
      <c r="B55" s="81"/>
      <c r="C55" s="81"/>
      <c r="D55" s="81"/>
      <c r="E55" s="139"/>
      <c r="F55" s="139"/>
      <c r="G55" s="139"/>
      <c r="H55" s="35"/>
      <c r="I55" s="139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139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212"/>
      <c r="AG55" s="100"/>
    </row>
    <row r="56" spans="1:33" ht="15.75" customHeight="1" x14ac:dyDescent="0.25">
      <c r="A56" s="100">
        <v>0</v>
      </c>
      <c r="B56" s="81"/>
      <c r="C56" s="81"/>
      <c r="D56" s="81"/>
      <c r="E56" s="139"/>
      <c r="F56" s="139"/>
      <c r="G56" s="139"/>
      <c r="H56" s="35"/>
      <c r="I56" s="139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139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212"/>
      <c r="AG56" s="100"/>
    </row>
    <row r="57" spans="1:33" ht="15.75" customHeight="1" x14ac:dyDescent="0.3">
      <c r="B57" s="214"/>
      <c r="C57" s="214"/>
      <c r="D57" s="214"/>
      <c r="E57" s="216"/>
      <c r="F57" s="216"/>
      <c r="G57" s="216"/>
      <c r="H57" s="216"/>
      <c r="I57" s="216"/>
      <c r="J57" s="216"/>
      <c r="K57" s="214"/>
      <c r="L57" s="214"/>
      <c r="M57" s="214"/>
      <c r="N57" s="216"/>
      <c r="O57" s="216"/>
      <c r="P57" s="214"/>
      <c r="Q57" s="214"/>
      <c r="R57" s="214"/>
      <c r="S57" s="214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8"/>
      <c r="AG57" s="219"/>
    </row>
    <row r="58" spans="1:33" ht="15.75" customHeight="1" x14ac:dyDescent="0.25">
      <c r="W58" s="15"/>
      <c r="X58" s="15"/>
      <c r="Y58" s="15"/>
      <c r="Z58" s="15"/>
      <c r="AA58" s="15"/>
      <c r="AB58" s="15"/>
    </row>
    <row r="59" spans="1:33" ht="15.75" customHeight="1" x14ac:dyDescent="0.25">
      <c r="A59" s="15">
        <v>1</v>
      </c>
      <c r="B59" s="203" t="str">
        <f ca="1">IFERROR(__xludf.DUMMYFUNCTION("importrange(""https://docs.google.com/spreadsheets/d/1wMuSVooMlA0131QqALBhyJ_A2MXZiQJNlXg5PWohqXE/edit?gid=1685527060#"",""Personnel Cost!A34:AE44"")"),"#REF!")</f>
        <v>#REF!</v>
      </c>
      <c r="C59" s="81"/>
      <c r="D59" s="81"/>
      <c r="E59" s="139"/>
      <c r="F59" s="139"/>
      <c r="G59" s="139"/>
      <c r="H59" s="35"/>
      <c r="I59" s="206"/>
      <c r="J59" s="139"/>
      <c r="K59" s="139"/>
      <c r="L59" s="139"/>
      <c r="M59" s="139"/>
      <c r="N59" s="139"/>
      <c r="O59" s="139"/>
      <c r="P59" s="81"/>
      <c r="Q59" s="81"/>
      <c r="R59" s="81"/>
      <c r="S59" s="81"/>
      <c r="T59" s="139"/>
      <c r="U59" s="139"/>
      <c r="V59" s="139"/>
      <c r="W59" s="206"/>
      <c r="X59" s="206"/>
      <c r="Y59" s="206"/>
      <c r="Z59" s="209"/>
      <c r="AA59" s="209"/>
      <c r="AB59" s="209"/>
      <c r="AC59" s="139"/>
      <c r="AD59" s="139"/>
      <c r="AE59" s="139"/>
      <c r="AF59" s="210"/>
      <c r="AG59" s="100"/>
    </row>
    <row r="60" spans="1:33" ht="15.75" customHeight="1" x14ac:dyDescent="0.25">
      <c r="A60" s="100">
        <v>0</v>
      </c>
      <c r="B60" s="81"/>
      <c r="C60" s="81"/>
      <c r="D60" s="81"/>
      <c r="E60" s="139"/>
      <c r="F60" s="139"/>
      <c r="G60" s="139"/>
      <c r="H60" s="35"/>
      <c r="I60" s="139"/>
      <c r="J60" s="81"/>
      <c r="K60" s="81"/>
      <c r="L60" s="81"/>
      <c r="M60" s="81"/>
      <c r="N60" s="81"/>
      <c r="O60" s="139"/>
      <c r="P60" s="81"/>
      <c r="Q60" s="81"/>
      <c r="R60" s="81"/>
      <c r="S60" s="81"/>
      <c r="T60" s="139"/>
      <c r="U60" s="81"/>
      <c r="V60" s="81"/>
      <c r="W60" s="64"/>
      <c r="X60" s="64"/>
      <c r="Y60" s="64"/>
      <c r="Z60" s="64"/>
      <c r="AA60" s="64"/>
      <c r="AB60" s="64"/>
      <c r="AC60" s="81"/>
      <c r="AD60" s="81"/>
      <c r="AE60" s="81"/>
      <c r="AF60" s="212"/>
      <c r="AG60" s="100"/>
    </row>
    <row r="61" spans="1:33" ht="15.75" customHeight="1" x14ac:dyDescent="0.25">
      <c r="A61" s="100">
        <v>0</v>
      </c>
      <c r="B61" s="81"/>
      <c r="C61" s="81"/>
      <c r="D61" s="81"/>
      <c r="E61" s="139"/>
      <c r="F61" s="139"/>
      <c r="G61" s="139"/>
      <c r="H61" s="35"/>
      <c r="I61" s="139"/>
      <c r="J61" s="81"/>
      <c r="K61" s="81"/>
      <c r="L61" s="81"/>
      <c r="M61" s="81"/>
      <c r="N61" s="81"/>
      <c r="O61" s="139"/>
      <c r="P61" s="81"/>
      <c r="Q61" s="81"/>
      <c r="R61" s="81"/>
      <c r="S61" s="81"/>
      <c r="T61" s="139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212"/>
      <c r="AG61" s="100"/>
    </row>
    <row r="62" spans="1:33" ht="15.75" customHeight="1" x14ac:dyDescent="0.25">
      <c r="A62" s="100">
        <v>0</v>
      </c>
      <c r="B62" s="81"/>
      <c r="C62" s="81"/>
      <c r="D62" s="81"/>
      <c r="E62" s="139"/>
      <c r="F62" s="139"/>
      <c r="G62" s="139"/>
      <c r="H62" s="35"/>
      <c r="I62" s="139"/>
      <c r="J62" s="81"/>
      <c r="K62" s="81"/>
      <c r="L62" s="81"/>
      <c r="M62" s="81"/>
      <c r="N62" s="81"/>
      <c r="O62" s="139"/>
      <c r="P62" s="81"/>
      <c r="Q62" s="81"/>
      <c r="R62" s="81"/>
      <c r="S62" s="81"/>
      <c r="T62" s="139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212"/>
      <c r="AG62" s="100"/>
    </row>
    <row r="63" spans="1:33" ht="15.75" customHeight="1" x14ac:dyDescent="0.25">
      <c r="A63" s="100">
        <v>0</v>
      </c>
      <c r="B63" s="81"/>
      <c r="C63" s="81"/>
      <c r="D63" s="81"/>
      <c r="E63" s="139"/>
      <c r="F63" s="139"/>
      <c r="G63" s="139"/>
      <c r="H63" s="35"/>
      <c r="I63" s="139"/>
      <c r="J63" s="81"/>
      <c r="K63" s="139"/>
      <c r="L63" s="81"/>
      <c r="M63" s="81"/>
      <c r="N63" s="81"/>
      <c r="O63" s="139"/>
      <c r="P63" s="81"/>
      <c r="Q63" s="81"/>
      <c r="R63" s="81"/>
      <c r="S63" s="81"/>
      <c r="T63" s="139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212"/>
      <c r="AG63" s="100"/>
    </row>
    <row r="64" spans="1:33" ht="15.75" customHeight="1" x14ac:dyDescent="0.25">
      <c r="A64" s="100">
        <v>0</v>
      </c>
      <c r="B64" s="81"/>
      <c r="C64" s="81"/>
      <c r="D64" s="81"/>
      <c r="E64" s="139"/>
      <c r="F64" s="139"/>
      <c r="G64" s="139"/>
      <c r="H64" s="35"/>
      <c r="I64" s="139"/>
      <c r="J64" s="81"/>
      <c r="K64" s="81"/>
      <c r="L64" s="81"/>
      <c r="M64" s="81"/>
      <c r="N64" s="81"/>
      <c r="O64" s="139"/>
      <c r="P64" s="81"/>
      <c r="Q64" s="81"/>
      <c r="R64" s="81"/>
      <c r="S64" s="81"/>
      <c r="T64" s="139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212"/>
      <c r="AG64" s="100"/>
    </row>
    <row r="65" spans="1:33" ht="15.75" customHeight="1" x14ac:dyDescent="0.25">
      <c r="A65" s="15">
        <v>0</v>
      </c>
      <c r="B65" s="81"/>
      <c r="C65" s="81"/>
      <c r="D65" s="81"/>
      <c r="E65" s="139"/>
      <c r="F65" s="139"/>
      <c r="G65" s="139"/>
      <c r="H65" s="35"/>
      <c r="I65" s="139"/>
      <c r="J65" s="139"/>
      <c r="K65" s="139"/>
      <c r="L65" s="139"/>
      <c r="M65" s="139"/>
      <c r="N65" s="139"/>
      <c r="O65" s="139"/>
      <c r="P65" s="81"/>
      <c r="Q65" s="81"/>
      <c r="R65" s="81"/>
      <c r="S65" s="81"/>
      <c r="T65" s="139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212"/>
      <c r="AG65" s="100"/>
    </row>
    <row r="66" spans="1:33" ht="15.75" customHeight="1" x14ac:dyDescent="0.25">
      <c r="A66" s="100">
        <v>0</v>
      </c>
      <c r="B66" s="81"/>
      <c r="C66" s="81"/>
      <c r="D66" s="81"/>
      <c r="E66" s="139"/>
      <c r="F66" s="139"/>
      <c r="G66" s="139"/>
      <c r="H66" s="35"/>
      <c r="I66" s="139"/>
      <c r="J66" s="81"/>
      <c r="K66" s="81"/>
      <c r="L66" s="81"/>
      <c r="M66" s="81"/>
      <c r="N66" s="81"/>
      <c r="O66" s="139"/>
      <c r="P66" s="81"/>
      <c r="Q66" s="81"/>
      <c r="R66" s="81"/>
      <c r="S66" s="81"/>
      <c r="T66" s="139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212"/>
      <c r="AG66" s="100"/>
    </row>
    <row r="67" spans="1:33" ht="15.75" customHeight="1" x14ac:dyDescent="0.25">
      <c r="A67" s="100">
        <v>0</v>
      </c>
      <c r="B67" s="81"/>
      <c r="C67" s="81"/>
      <c r="D67" s="81"/>
      <c r="E67" s="139"/>
      <c r="F67" s="139"/>
      <c r="G67" s="139"/>
      <c r="H67" s="35"/>
      <c r="I67" s="139"/>
      <c r="J67" s="81"/>
      <c r="K67" s="81"/>
      <c r="L67" s="81"/>
      <c r="M67" s="81"/>
      <c r="N67" s="81"/>
      <c r="O67" s="139"/>
      <c r="P67" s="81"/>
      <c r="Q67" s="81"/>
      <c r="R67" s="81"/>
      <c r="S67" s="81"/>
      <c r="T67" s="139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212"/>
      <c r="AG67" s="100"/>
    </row>
    <row r="68" spans="1:33" ht="15.75" customHeight="1" x14ac:dyDescent="0.25">
      <c r="A68" s="100">
        <v>0</v>
      </c>
      <c r="B68" s="81"/>
      <c r="C68" s="81"/>
      <c r="D68" s="81"/>
      <c r="E68" s="139"/>
      <c r="F68" s="139"/>
      <c r="G68" s="139"/>
      <c r="H68" s="35"/>
      <c r="I68" s="139"/>
      <c r="J68" s="81"/>
      <c r="K68" s="81"/>
      <c r="L68" s="81"/>
      <c r="M68" s="81"/>
      <c r="N68" s="81"/>
      <c r="O68" s="139"/>
      <c r="P68" s="81"/>
      <c r="Q68" s="81"/>
      <c r="R68" s="81"/>
      <c r="S68" s="81"/>
      <c r="T68" s="139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212"/>
      <c r="AG68" s="100"/>
    </row>
    <row r="69" spans="1:33" ht="15.75" customHeight="1" x14ac:dyDescent="0.3">
      <c r="B69" s="214"/>
      <c r="C69" s="214"/>
      <c r="D69" s="214"/>
      <c r="E69" s="216"/>
      <c r="F69" s="216"/>
      <c r="G69" s="216"/>
      <c r="H69" s="216"/>
      <c r="I69" s="216"/>
      <c r="J69" s="216"/>
      <c r="K69" s="214"/>
      <c r="L69" s="214"/>
      <c r="M69" s="214"/>
      <c r="N69" s="216"/>
      <c r="O69" s="216"/>
      <c r="P69" s="214"/>
      <c r="Q69" s="214"/>
      <c r="R69" s="214"/>
      <c r="S69" s="214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8"/>
      <c r="AG69" s="219"/>
    </row>
    <row r="70" spans="1:33" ht="15.75" customHeight="1" x14ac:dyDescent="0.25">
      <c r="W70" s="15"/>
      <c r="X70" s="15"/>
      <c r="Y70" s="15"/>
      <c r="Z70" s="15"/>
    </row>
    <row r="71" spans="1:33" ht="15.75" customHeight="1" x14ac:dyDescent="0.25">
      <c r="A71" s="15">
        <v>1</v>
      </c>
      <c r="B71" s="203" t="str">
        <f ca="1">IFERROR(__xludf.DUMMYFUNCTION("importrange(""https://docs.google.com/spreadsheets/d/1wMuSVooMlA0131QqALBhyJ_A2MXZiQJNlXg5PWohqXE/edit?gid=1685527060#"",""Personnel Cost!A57:AE67"")"),"#REF!")</f>
        <v>#REF!</v>
      </c>
      <c r="C71" s="81"/>
      <c r="D71" s="81"/>
      <c r="E71" s="139"/>
      <c r="F71" s="139"/>
      <c r="G71" s="139"/>
      <c r="H71" s="35"/>
      <c r="I71" s="206"/>
      <c r="J71" s="139"/>
      <c r="K71" s="139"/>
      <c r="L71" s="139"/>
      <c r="M71" s="139"/>
      <c r="N71" s="139"/>
      <c r="O71" s="139"/>
      <c r="P71" s="81"/>
      <c r="Q71" s="81"/>
      <c r="R71" s="81"/>
      <c r="S71" s="81"/>
      <c r="T71" s="139"/>
      <c r="U71" s="81"/>
      <c r="V71" s="81"/>
      <c r="W71" s="64"/>
      <c r="X71" s="206"/>
      <c r="Y71" s="206"/>
      <c r="Z71" s="206"/>
      <c r="AA71" s="139"/>
      <c r="AB71" s="139"/>
      <c r="AC71" s="139"/>
      <c r="AD71" s="139"/>
      <c r="AE71" s="139"/>
      <c r="AF71" s="210"/>
      <c r="AG71" s="100"/>
    </row>
    <row r="72" spans="1:33" ht="15.75" customHeight="1" x14ac:dyDescent="0.25">
      <c r="A72" s="100">
        <v>0</v>
      </c>
      <c r="B72" s="81"/>
      <c r="C72" s="81"/>
      <c r="D72" s="81"/>
      <c r="E72" s="139"/>
      <c r="F72" s="139"/>
      <c r="G72" s="139"/>
      <c r="H72" s="35"/>
      <c r="I72" s="139"/>
      <c r="J72" s="81"/>
      <c r="K72" s="81"/>
      <c r="L72" s="81"/>
      <c r="M72" s="81"/>
      <c r="N72" s="81"/>
      <c r="O72" s="139"/>
      <c r="P72" s="81"/>
      <c r="Q72" s="81"/>
      <c r="R72" s="81"/>
      <c r="S72" s="81"/>
      <c r="T72" s="139"/>
      <c r="U72" s="81"/>
      <c r="V72" s="81"/>
      <c r="W72" s="64"/>
      <c r="X72" s="64"/>
      <c r="Y72" s="64"/>
      <c r="Z72" s="64"/>
      <c r="AA72" s="81"/>
      <c r="AB72" s="81"/>
      <c r="AC72" s="81"/>
      <c r="AD72" s="81"/>
      <c r="AE72" s="81"/>
      <c r="AF72" s="212"/>
      <c r="AG72" s="100"/>
    </row>
    <row r="73" spans="1:33" ht="15.75" customHeight="1" x14ac:dyDescent="0.25">
      <c r="A73" s="100">
        <v>0</v>
      </c>
      <c r="B73" s="81"/>
      <c r="C73" s="81"/>
      <c r="D73" s="81"/>
      <c r="E73" s="139"/>
      <c r="F73" s="139"/>
      <c r="G73" s="139"/>
      <c r="H73" s="35"/>
      <c r="I73" s="139"/>
      <c r="J73" s="81"/>
      <c r="K73" s="81"/>
      <c r="L73" s="81"/>
      <c r="M73" s="81"/>
      <c r="N73" s="81"/>
      <c r="O73" s="139"/>
      <c r="P73" s="81"/>
      <c r="Q73" s="81"/>
      <c r="R73" s="81"/>
      <c r="S73" s="81"/>
      <c r="T73" s="139"/>
      <c r="U73" s="81"/>
      <c r="V73" s="81"/>
      <c r="W73" s="64"/>
      <c r="X73" s="64"/>
      <c r="Y73" s="64"/>
      <c r="Z73" s="64"/>
      <c r="AA73" s="81"/>
      <c r="AB73" s="81"/>
      <c r="AC73" s="81"/>
      <c r="AD73" s="81"/>
      <c r="AE73" s="81"/>
      <c r="AF73" s="212"/>
      <c r="AG73" s="100"/>
    </row>
    <row r="74" spans="1:33" ht="15.75" customHeight="1" x14ac:dyDescent="0.25">
      <c r="A74" s="100">
        <v>0</v>
      </c>
      <c r="B74" s="81"/>
      <c r="C74" s="81"/>
      <c r="D74" s="81"/>
      <c r="E74" s="139"/>
      <c r="F74" s="139"/>
      <c r="G74" s="139"/>
      <c r="H74" s="35"/>
      <c r="I74" s="139"/>
      <c r="J74" s="81"/>
      <c r="K74" s="81"/>
      <c r="L74" s="81"/>
      <c r="M74" s="81"/>
      <c r="N74" s="81"/>
      <c r="O74" s="139"/>
      <c r="P74" s="81"/>
      <c r="Q74" s="81"/>
      <c r="R74" s="81"/>
      <c r="S74" s="81"/>
      <c r="T74" s="139"/>
      <c r="U74" s="81"/>
      <c r="V74" s="81"/>
      <c r="W74" s="64"/>
      <c r="X74" s="64"/>
      <c r="Y74" s="64"/>
      <c r="Z74" s="64"/>
      <c r="AA74" s="81"/>
      <c r="AB74" s="81"/>
      <c r="AC74" s="81"/>
      <c r="AD74" s="81"/>
      <c r="AE74" s="81"/>
      <c r="AF74" s="212"/>
      <c r="AG74" s="100"/>
    </row>
    <row r="75" spans="1:33" ht="15.75" customHeight="1" x14ac:dyDescent="0.25">
      <c r="A75" s="100">
        <v>0</v>
      </c>
      <c r="B75" s="81"/>
      <c r="C75" s="81"/>
      <c r="D75" s="81"/>
      <c r="E75" s="139"/>
      <c r="F75" s="139"/>
      <c r="G75" s="139"/>
      <c r="H75" s="35"/>
      <c r="I75" s="139"/>
      <c r="J75" s="81"/>
      <c r="K75" s="81"/>
      <c r="L75" s="81"/>
      <c r="M75" s="81"/>
      <c r="N75" s="81"/>
      <c r="O75" s="139"/>
      <c r="P75" s="81"/>
      <c r="Q75" s="81"/>
      <c r="R75" s="81"/>
      <c r="S75" s="81"/>
      <c r="T75" s="139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212"/>
      <c r="AG75" s="100"/>
    </row>
    <row r="76" spans="1:33" ht="15.75" customHeight="1" x14ac:dyDescent="0.25">
      <c r="A76" s="100">
        <v>0</v>
      </c>
      <c r="B76" s="81"/>
      <c r="C76" s="81"/>
      <c r="D76" s="81"/>
      <c r="E76" s="139"/>
      <c r="F76" s="139"/>
      <c r="G76" s="139"/>
      <c r="H76" s="35"/>
      <c r="I76" s="139"/>
      <c r="J76" s="81"/>
      <c r="K76" s="81"/>
      <c r="L76" s="81"/>
      <c r="M76" s="81"/>
      <c r="N76" s="81"/>
      <c r="O76" s="139"/>
      <c r="P76" s="81"/>
      <c r="Q76" s="81"/>
      <c r="R76" s="81"/>
      <c r="S76" s="81"/>
      <c r="T76" s="139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212"/>
      <c r="AG76" s="100"/>
    </row>
    <row r="77" spans="1:33" ht="15.75" customHeight="1" x14ac:dyDescent="0.25">
      <c r="A77" s="15">
        <v>0</v>
      </c>
      <c r="B77" s="81"/>
      <c r="C77" s="81"/>
      <c r="D77" s="81"/>
      <c r="E77" s="139"/>
      <c r="F77" s="139"/>
      <c r="G77" s="139"/>
      <c r="H77" s="35"/>
      <c r="I77" s="139"/>
      <c r="J77" s="139"/>
      <c r="K77" s="139"/>
      <c r="L77" s="139"/>
      <c r="M77" s="139"/>
      <c r="N77" s="139"/>
      <c r="O77" s="139"/>
      <c r="P77" s="81"/>
      <c r="Q77" s="81"/>
      <c r="R77" s="81"/>
      <c r="S77" s="81"/>
      <c r="T77" s="139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212"/>
      <c r="AG77" s="100"/>
    </row>
    <row r="78" spans="1:33" ht="15.75" customHeight="1" x14ac:dyDescent="0.25">
      <c r="A78" s="100">
        <v>0</v>
      </c>
      <c r="B78" s="81"/>
      <c r="C78" s="81"/>
      <c r="D78" s="81"/>
      <c r="E78" s="139"/>
      <c r="F78" s="139"/>
      <c r="G78" s="139"/>
      <c r="H78" s="35"/>
      <c r="I78" s="139"/>
      <c r="J78" s="81"/>
      <c r="K78" s="81"/>
      <c r="L78" s="81"/>
      <c r="M78" s="81"/>
      <c r="N78" s="81"/>
      <c r="O78" s="139"/>
      <c r="P78" s="81"/>
      <c r="Q78" s="81"/>
      <c r="R78" s="81"/>
      <c r="S78" s="81"/>
      <c r="T78" s="139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212"/>
      <c r="AG78" s="100"/>
    </row>
    <row r="79" spans="1:33" ht="15.75" customHeight="1" x14ac:dyDescent="0.25">
      <c r="A79" s="100">
        <v>0</v>
      </c>
      <c r="B79" s="81"/>
      <c r="C79" s="81"/>
      <c r="D79" s="81"/>
      <c r="E79" s="139"/>
      <c r="F79" s="139"/>
      <c r="G79" s="139"/>
      <c r="H79" s="35"/>
      <c r="I79" s="139"/>
      <c r="J79" s="81"/>
      <c r="K79" s="81"/>
      <c r="L79" s="81"/>
      <c r="M79" s="81"/>
      <c r="N79" s="81"/>
      <c r="O79" s="139"/>
      <c r="P79" s="81"/>
      <c r="Q79" s="81"/>
      <c r="R79" s="81"/>
      <c r="S79" s="81"/>
      <c r="T79" s="139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212"/>
      <c r="AG79" s="100"/>
    </row>
    <row r="80" spans="1:33" ht="15.75" customHeight="1" x14ac:dyDescent="0.25">
      <c r="A80" s="100">
        <v>0</v>
      </c>
      <c r="B80" s="81"/>
      <c r="C80" s="81"/>
      <c r="D80" s="81"/>
      <c r="E80" s="139"/>
      <c r="F80" s="139"/>
      <c r="G80" s="139"/>
      <c r="H80" s="35"/>
      <c r="I80" s="139"/>
      <c r="J80" s="81"/>
      <c r="K80" s="81"/>
      <c r="L80" s="81"/>
      <c r="M80" s="81"/>
      <c r="N80" s="81"/>
      <c r="O80" s="139"/>
      <c r="P80" s="81"/>
      <c r="Q80" s="81"/>
      <c r="R80" s="81"/>
      <c r="S80" s="81"/>
      <c r="T80" s="139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212"/>
      <c r="AG80" s="100"/>
    </row>
    <row r="81" spans="1:33" ht="15.75" customHeight="1" x14ac:dyDescent="0.3">
      <c r="B81" s="214"/>
      <c r="C81" s="214"/>
      <c r="D81" s="214"/>
      <c r="E81" s="216"/>
      <c r="F81" s="216"/>
      <c r="G81" s="216"/>
      <c r="H81" s="216"/>
      <c r="I81" s="216"/>
      <c r="J81" s="216"/>
      <c r="K81" s="214"/>
      <c r="L81" s="214"/>
      <c r="M81" s="214"/>
      <c r="N81" s="216"/>
      <c r="O81" s="216"/>
      <c r="P81" s="214"/>
      <c r="Q81" s="214"/>
      <c r="R81" s="214"/>
      <c r="S81" s="214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8"/>
      <c r="AG81" s="219"/>
    </row>
    <row r="82" spans="1:33" ht="15.75" customHeight="1" x14ac:dyDescent="0.25"/>
    <row r="83" spans="1:33" ht="15.75" customHeight="1" x14ac:dyDescent="0.25">
      <c r="A83" s="100">
        <v>0</v>
      </c>
      <c r="B83" s="203" t="str">
        <f ca="1">IFERROR(__xludf.DUMMYFUNCTION("Importrange(""https://docs.google.com/spreadsheets/d/1HCIruMhnA39ywuZfLF-H4w1q13eiYGdzzc1TRkdRHNc/edit?gid=264125725#"",""Personnel Cost!A2:AE15"")"),"#REF!")</f>
        <v>#REF!</v>
      </c>
      <c r="C83" s="81"/>
      <c r="D83" s="81"/>
      <c r="E83" s="139"/>
      <c r="F83" s="139"/>
      <c r="G83" s="139"/>
      <c r="H83" s="35"/>
      <c r="I83" s="206"/>
      <c r="J83" s="139"/>
      <c r="K83" s="139"/>
      <c r="L83" s="139"/>
      <c r="M83" s="139"/>
      <c r="N83" s="139"/>
      <c r="O83" s="139"/>
      <c r="P83" s="81"/>
      <c r="Q83" s="81"/>
      <c r="R83" s="81"/>
      <c r="S83" s="81"/>
      <c r="T83" s="139"/>
      <c r="U83" s="81"/>
      <c r="V83" s="64"/>
      <c r="W83" s="231"/>
      <c r="X83" s="231"/>
      <c r="Y83" s="231"/>
      <c r="Z83" s="231"/>
      <c r="AA83" s="206"/>
      <c r="AB83" s="139"/>
      <c r="AC83" s="139"/>
      <c r="AD83" s="139"/>
      <c r="AE83" s="139"/>
      <c r="AF83" s="210"/>
      <c r="AG83" s="100"/>
    </row>
    <row r="84" spans="1:33" ht="15.75" customHeight="1" x14ac:dyDescent="0.25">
      <c r="A84" s="100">
        <v>0</v>
      </c>
      <c r="B84" s="81"/>
      <c r="C84" s="81"/>
      <c r="D84" s="81"/>
      <c r="E84" s="139"/>
      <c r="F84" s="139"/>
      <c r="G84" s="139"/>
      <c r="H84" s="35"/>
      <c r="I84" s="139"/>
      <c r="J84" s="81"/>
      <c r="K84" s="81"/>
      <c r="L84" s="81"/>
      <c r="M84" s="81"/>
      <c r="N84" s="81"/>
      <c r="O84" s="139"/>
      <c r="P84" s="81"/>
      <c r="Q84" s="81"/>
      <c r="R84" s="81"/>
      <c r="S84" s="81"/>
      <c r="T84" s="139"/>
      <c r="U84" s="81"/>
      <c r="V84" s="64"/>
      <c r="W84" s="64"/>
      <c r="X84" s="64"/>
      <c r="Y84" s="64"/>
      <c r="Z84" s="64"/>
      <c r="AA84" s="64"/>
      <c r="AB84" s="81"/>
      <c r="AC84" s="81"/>
      <c r="AD84" s="81"/>
      <c r="AE84" s="81"/>
      <c r="AF84" s="212"/>
      <c r="AG84" s="100"/>
    </row>
    <row r="85" spans="1:33" ht="15.75" customHeight="1" x14ac:dyDescent="0.25">
      <c r="A85" s="100">
        <v>0</v>
      </c>
      <c r="B85" s="81"/>
      <c r="C85" s="81"/>
      <c r="D85" s="81"/>
      <c r="E85" s="139"/>
      <c r="F85" s="139"/>
      <c r="G85" s="139"/>
      <c r="H85" s="35"/>
      <c r="I85" s="139"/>
      <c r="J85" s="81"/>
      <c r="K85" s="81"/>
      <c r="L85" s="81"/>
      <c r="M85" s="81"/>
      <c r="N85" s="81"/>
      <c r="O85" s="139"/>
      <c r="P85" s="81"/>
      <c r="Q85" s="81"/>
      <c r="R85" s="81"/>
      <c r="S85" s="81"/>
      <c r="T85" s="139"/>
      <c r="U85" s="81"/>
      <c r="V85" s="64"/>
      <c r="W85" s="64"/>
      <c r="X85" s="64"/>
      <c r="Y85" s="64"/>
      <c r="Z85" s="64"/>
      <c r="AA85" s="64"/>
      <c r="AB85" s="81"/>
      <c r="AC85" s="81"/>
      <c r="AD85" s="81"/>
      <c r="AE85" s="81"/>
      <c r="AF85" s="212"/>
      <c r="AG85" s="100"/>
    </row>
    <row r="86" spans="1:33" ht="15.75" customHeight="1" x14ac:dyDescent="0.25">
      <c r="A86" s="100">
        <v>0</v>
      </c>
      <c r="B86" s="81"/>
      <c r="C86" s="81"/>
      <c r="D86" s="81"/>
      <c r="E86" s="139"/>
      <c r="F86" s="139"/>
      <c r="G86" s="139"/>
      <c r="H86" s="35"/>
      <c r="I86" s="139"/>
      <c r="J86" s="81"/>
      <c r="K86" s="81"/>
      <c r="L86" s="81"/>
      <c r="M86" s="81"/>
      <c r="N86" s="81"/>
      <c r="O86" s="139"/>
      <c r="P86" s="81"/>
      <c r="Q86" s="81"/>
      <c r="R86" s="81"/>
      <c r="S86" s="81"/>
      <c r="T86" s="139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212"/>
      <c r="AG86" s="100"/>
    </row>
    <row r="87" spans="1:33" ht="15.75" customHeight="1" x14ac:dyDescent="0.25">
      <c r="A87" s="100">
        <v>0</v>
      </c>
      <c r="B87" s="81"/>
      <c r="C87" s="81"/>
      <c r="D87" s="81"/>
      <c r="E87" s="139"/>
      <c r="F87" s="139"/>
      <c r="G87" s="139"/>
      <c r="H87" s="35"/>
      <c r="I87" s="139"/>
      <c r="J87" s="81"/>
      <c r="K87" s="81"/>
      <c r="L87" s="81"/>
      <c r="M87" s="81"/>
      <c r="N87" s="81"/>
      <c r="O87" s="139"/>
      <c r="P87" s="81"/>
      <c r="Q87" s="81"/>
      <c r="R87" s="81"/>
      <c r="S87" s="81"/>
      <c r="T87" s="139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212"/>
      <c r="AG87" s="100"/>
    </row>
    <row r="88" spans="1:33" ht="15.75" customHeight="1" x14ac:dyDescent="0.25">
      <c r="A88" s="100">
        <v>0</v>
      </c>
      <c r="B88" s="81"/>
      <c r="C88" s="81"/>
      <c r="D88" s="81"/>
      <c r="E88" s="139"/>
      <c r="F88" s="139"/>
      <c r="G88" s="139"/>
      <c r="H88" s="35"/>
      <c r="I88" s="139"/>
      <c r="J88" s="81"/>
      <c r="K88" s="81"/>
      <c r="L88" s="81"/>
      <c r="M88" s="81"/>
      <c r="N88" s="81"/>
      <c r="O88" s="139"/>
      <c r="P88" s="81"/>
      <c r="Q88" s="81"/>
      <c r="R88" s="81"/>
      <c r="S88" s="81"/>
      <c r="T88" s="139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212"/>
      <c r="AG88" s="100"/>
    </row>
    <row r="89" spans="1:33" ht="15.75" customHeight="1" x14ac:dyDescent="0.25">
      <c r="A89" s="100">
        <v>0</v>
      </c>
      <c r="B89" s="81"/>
      <c r="C89" s="81"/>
      <c r="D89" s="81"/>
      <c r="E89" s="139"/>
      <c r="F89" s="139"/>
      <c r="G89" s="139"/>
      <c r="H89" s="35"/>
      <c r="I89" s="139"/>
      <c r="J89" s="81"/>
      <c r="K89" s="81"/>
      <c r="L89" s="81"/>
      <c r="M89" s="81"/>
      <c r="N89" s="81"/>
      <c r="O89" s="139"/>
      <c r="P89" s="81"/>
      <c r="Q89" s="81"/>
      <c r="R89" s="81"/>
      <c r="S89" s="81"/>
      <c r="T89" s="139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212"/>
      <c r="AG89" s="100"/>
    </row>
    <row r="90" spans="1:33" ht="15.75" customHeight="1" x14ac:dyDescent="0.25">
      <c r="A90" s="100">
        <v>0</v>
      </c>
      <c r="B90" s="81"/>
      <c r="C90" s="81"/>
      <c r="D90" s="81"/>
      <c r="E90" s="139"/>
      <c r="F90" s="139"/>
      <c r="G90" s="139"/>
      <c r="H90" s="35"/>
      <c r="I90" s="139"/>
      <c r="J90" s="81"/>
      <c r="K90" s="139"/>
      <c r="L90" s="81"/>
      <c r="M90" s="81"/>
      <c r="N90" s="81"/>
      <c r="O90" s="139"/>
      <c r="P90" s="81"/>
      <c r="Q90" s="81"/>
      <c r="R90" s="81"/>
      <c r="S90" s="81"/>
      <c r="T90" s="139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212"/>
      <c r="AG90" s="100"/>
    </row>
    <row r="91" spans="1:33" ht="15.75" customHeight="1" x14ac:dyDescent="0.25">
      <c r="A91" s="100">
        <v>0</v>
      </c>
      <c r="B91" s="81"/>
      <c r="C91" s="81"/>
      <c r="D91" s="81"/>
      <c r="E91" s="139"/>
      <c r="F91" s="139"/>
      <c r="G91" s="139"/>
      <c r="H91" s="35"/>
      <c r="I91" s="139"/>
      <c r="J91" s="81"/>
      <c r="K91" s="81"/>
      <c r="L91" s="81"/>
      <c r="M91" s="81"/>
      <c r="N91" s="81"/>
      <c r="O91" s="139"/>
      <c r="P91" s="81"/>
      <c r="Q91" s="81"/>
      <c r="R91" s="81"/>
      <c r="S91" s="81"/>
      <c r="T91" s="139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212"/>
      <c r="AG91" s="100"/>
    </row>
    <row r="92" spans="1:33" ht="15.75" customHeight="1" x14ac:dyDescent="0.25">
      <c r="A92" s="100">
        <v>0</v>
      </c>
      <c r="B92" s="81"/>
      <c r="C92" s="81"/>
      <c r="D92" s="81"/>
      <c r="E92" s="139"/>
      <c r="F92" s="139"/>
      <c r="G92" s="139"/>
      <c r="H92" s="35"/>
      <c r="I92" s="139"/>
      <c r="J92" s="81"/>
      <c r="K92" s="81"/>
      <c r="L92" s="81"/>
      <c r="M92" s="81"/>
      <c r="N92" s="81"/>
      <c r="O92" s="139"/>
      <c r="P92" s="81"/>
      <c r="Q92" s="81"/>
      <c r="R92" s="81"/>
      <c r="S92" s="81"/>
      <c r="T92" s="139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212"/>
      <c r="AG92" s="100"/>
    </row>
    <row r="93" spans="1:33" ht="15.75" customHeight="1" x14ac:dyDescent="0.25">
      <c r="A93" s="100">
        <v>0</v>
      </c>
      <c r="B93" s="81"/>
      <c r="C93" s="81"/>
      <c r="D93" s="81"/>
      <c r="E93" s="139"/>
      <c r="F93" s="139"/>
      <c r="G93" s="139"/>
      <c r="H93" s="35"/>
      <c r="I93" s="139"/>
      <c r="J93" s="81"/>
      <c r="K93" s="81"/>
      <c r="L93" s="81"/>
      <c r="M93" s="81"/>
      <c r="N93" s="81"/>
      <c r="O93" s="139"/>
      <c r="P93" s="81"/>
      <c r="Q93" s="81"/>
      <c r="R93" s="81"/>
      <c r="S93" s="81"/>
      <c r="T93" s="139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212"/>
      <c r="AG93" s="100"/>
    </row>
    <row r="94" spans="1:33" ht="15.75" customHeight="1" x14ac:dyDescent="0.25">
      <c r="A94" s="15">
        <v>0</v>
      </c>
      <c r="B94" s="81"/>
      <c r="C94" s="81"/>
      <c r="D94" s="81"/>
      <c r="E94" s="139"/>
      <c r="F94" s="139"/>
      <c r="G94" s="139"/>
      <c r="H94" s="35"/>
      <c r="I94" s="139"/>
      <c r="J94" s="139"/>
      <c r="K94" s="139"/>
      <c r="L94" s="139"/>
      <c r="M94" s="81"/>
      <c r="N94" s="139"/>
      <c r="O94" s="139"/>
      <c r="P94" s="81"/>
      <c r="Q94" s="81"/>
      <c r="R94" s="81"/>
      <c r="S94" s="81"/>
      <c r="T94" s="139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212"/>
      <c r="AG94" s="100"/>
    </row>
    <row r="95" spans="1:33" ht="15.75" customHeight="1" x14ac:dyDescent="0.25">
      <c r="A95" s="100">
        <v>0</v>
      </c>
      <c r="B95" s="81"/>
      <c r="C95" s="81"/>
      <c r="D95" s="81"/>
      <c r="E95" s="139"/>
      <c r="F95" s="139"/>
      <c r="G95" s="139"/>
      <c r="H95" s="35"/>
      <c r="I95" s="139"/>
      <c r="J95" s="81"/>
      <c r="K95" s="81"/>
      <c r="L95" s="81"/>
      <c r="M95" s="81"/>
      <c r="N95" s="81"/>
      <c r="O95" s="139"/>
      <c r="P95" s="81"/>
      <c r="Q95" s="81"/>
      <c r="R95" s="81"/>
      <c r="S95" s="81"/>
      <c r="T95" s="139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212"/>
      <c r="AG95" s="100"/>
    </row>
    <row r="96" spans="1:33" ht="15.75" customHeight="1" x14ac:dyDescent="0.3">
      <c r="B96" s="214"/>
      <c r="C96" s="214"/>
      <c r="D96" s="214"/>
      <c r="E96" s="216"/>
      <c r="F96" s="216"/>
      <c r="G96" s="216"/>
      <c r="H96" s="216"/>
      <c r="I96" s="216"/>
      <c r="J96" s="216"/>
      <c r="K96" s="214"/>
      <c r="L96" s="214"/>
      <c r="M96" s="214"/>
      <c r="N96" s="216"/>
      <c r="O96" s="216"/>
      <c r="P96" s="214"/>
      <c r="Q96" s="214"/>
      <c r="R96" s="214"/>
      <c r="S96" s="214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8"/>
      <c r="AG96" s="219"/>
    </row>
    <row r="97" spans="1:33" ht="15.75" customHeight="1" x14ac:dyDescent="0.25"/>
    <row r="98" spans="1:33" ht="15.75" customHeight="1" x14ac:dyDescent="0.25">
      <c r="A98" s="100">
        <v>0</v>
      </c>
      <c r="B98" s="203" t="str">
        <f ca="1">IFERROR(__xludf.DUMMYFUNCTION("Importrange(""https://docs.google.com/spreadsheets/d/1HCIruMhnA39ywuZfLF-H4w1q13eiYGdzzc1TRkdRHNc/edit?gid=264125725#"",""Personnel Cost!A34:AE44"")"),"#REF!")</f>
        <v>#REF!</v>
      </c>
      <c r="C98" s="81"/>
      <c r="D98" s="81"/>
      <c r="E98" s="139"/>
      <c r="F98" s="139"/>
      <c r="G98" s="139"/>
      <c r="H98" s="35"/>
      <c r="I98" s="139"/>
      <c r="J98" s="81"/>
      <c r="K98" s="81"/>
      <c r="L98" s="81"/>
      <c r="M98" s="81"/>
      <c r="N98" s="81"/>
      <c r="O98" s="139"/>
      <c r="P98" s="81"/>
      <c r="Q98" s="81"/>
      <c r="R98" s="81"/>
      <c r="S98" s="81"/>
      <c r="T98" s="139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212"/>
      <c r="AG98" s="100"/>
    </row>
    <row r="99" spans="1:33" ht="15.75" customHeight="1" x14ac:dyDescent="0.25">
      <c r="A99" s="100">
        <v>0</v>
      </c>
      <c r="B99" s="81"/>
      <c r="C99" s="81"/>
      <c r="D99" s="81"/>
      <c r="E99" s="139"/>
      <c r="F99" s="139"/>
      <c r="G99" s="139"/>
      <c r="H99" s="35"/>
      <c r="I99" s="139"/>
      <c r="J99" s="81"/>
      <c r="K99" s="81"/>
      <c r="L99" s="81"/>
      <c r="M99" s="81"/>
      <c r="N99" s="81"/>
      <c r="O99" s="139"/>
      <c r="P99" s="81"/>
      <c r="Q99" s="81"/>
      <c r="R99" s="81"/>
      <c r="S99" s="81"/>
      <c r="T99" s="139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212"/>
      <c r="AG99" s="100"/>
    </row>
    <row r="100" spans="1:33" ht="15.75" customHeight="1" x14ac:dyDescent="0.25">
      <c r="A100" s="100">
        <v>0</v>
      </c>
      <c r="B100" s="81"/>
      <c r="C100" s="81"/>
      <c r="D100" s="81"/>
      <c r="E100" s="139"/>
      <c r="F100" s="139"/>
      <c r="G100" s="139"/>
      <c r="H100" s="35"/>
      <c r="I100" s="139"/>
      <c r="J100" s="81"/>
      <c r="K100" s="81"/>
      <c r="L100" s="81"/>
      <c r="M100" s="81"/>
      <c r="N100" s="81"/>
      <c r="O100" s="139"/>
      <c r="P100" s="81"/>
      <c r="Q100" s="81"/>
      <c r="R100" s="81"/>
      <c r="S100" s="81"/>
      <c r="T100" s="139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212"/>
      <c r="AG100" s="100"/>
    </row>
    <row r="101" spans="1:33" ht="15.75" customHeight="1" x14ac:dyDescent="0.25">
      <c r="A101" s="100">
        <v>0</v>
      </c>
      <c r="B101" s="81"/>
      <c r="C101" s="81"/>
      <c r="D101" s="81"/>
      <c r="E101" s="139"/>
      <c r="F101" s="139"/>
      <c r="G101" s="139"/>
      <c r="H101" s="35"/>
      <c r="I101" s="139"/>
      <c r="J101" s="81"/>
      <c r="K101" s="81"/>
      <c r="L101" s="81"/>
      <c r="M101" s="81"/>
      <c r="N101" s="81"/>
      <c r="O101" s="139"/>
      <c r="P101" s="81"/>
      <c r="Q101" s="81"/>
      <c r="R101" s="81"/>
      <c r="S101" s="81"/>
      <c r="T101" s="139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212"/>
      <c r="AG101" s="100"/>
    </row>
    <row r="102" spans="1:33" ht="15.75" customHeight="1" x14ac:dyDescent="0.25">
      <c r="A102" s="100">
        <v>0</v>
      </c>
      <c r="B102" s="81"/>
      <c r="C102" s="81"/>
      <c r="D102" s="81"/>
      <c r="E102" s="139"/>
      <c r="F102" s="139"/>
      <c r="G102" s="139"/>
      <c r="H102" s="35"/>
      <c r="I102" s="139"/>
      <c r="J102" s="81"/>
      <c r="K102" s="139"/>
      <c r="L102" s="81"/>
      <c r="M102" s="81"/>
      <c r="N102" s="81"/>
      <c r="O102" s="139"/>
      <c r="P102" s="81"/>
      <c r="Q102" s="81"/>
      <c r="R102" s="81"/>
      <c r="S102" s="81"/>
      <c r="T102" s="139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212"/>
      <c r="AG102" s="100"/>
    </row>
    <row r="103" spans="1:33" ht="15.75" customHeight="1" x14ac:dyDescent="0.25">
      <c r="A103" s="100">
        <v>0</v>
      </c>
      <c r="B103" s="81"/>
      <c r="C103" s="81"/>
      <c r="D103" s="81"/>
      <c r="E103" s="139"/>
      <c r="F103" s="139"/>
      <c r="G103" s="139"/>
      <c r="H103" s="35"/>
      <c r="I103" s="139"/>
      <c r="J103" s="81"/>
      <c r="K103" s="81"/>
      <c r="L103" s="81"/>
      <c r="M103" s="81"/>
      <c r="N103" s="81"/>
      <c r="O103" s="139"/>
      <c r="P103" s="81"/>
      <c r="Q103" s="81"/>
      <c r="R103" s="81"/>
      <c r="S103" s="81"/>
      <c r="T103" s="139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212"/>
      <c r="AG103" s="100"/>
    </row>
    <row r="104" spans="1:33" ht="15.75" customHeight="1" x14ac:dyDescent="0.25">
      <c r="A104" s="100">
        <v>0</v>
      </c>
      <c r="B104" s="81"/>
      <c r="C104" s="81"/>
      <c r="D104" s="81"/>
      <c r="E104" s="139"/>
      <c r="F104" s="139"/>
      <c r="G104" s="139"/>
      <c r="H104" s="35"/>
      <c r="I104" s="139"/>
      <c r="J104" s="81"/>
      <c r="K104" s="81"/>
      <c r="L104" s="81"/>
      <c r="M104" s="81"/>
      <c r="N104" s="81"/>
      <c r="O104" s="139"/>
      <c r="P104" s="81"/>
      <c r="Q104" s="81"/>
      <c r="R104" s="81"/>
      <c r="S104" s="81"/>
      <c r="T104" s="139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212"/>
      <c r="AG104" s="100"/>
    </row>
    <row r="105" spans="1:33" ht="15.75" customHeight="1" x14ac:dyDescent="0.25">
      <c r="A105" s="100">
        <v>0</v>
      </c>
      <c r="B105" s="81"/>
      <c r="C105" s="81"/>
      <c r="D105" s="81"/>
      <c r="E105" s="139"/>
      <c r="F105" s="139"/>
      <c r="G105" s="139"/>
      <c r="H105" s="35"/>
      <c r="I105" s="139"/>
      <c r="J105" s="81"/>
      <c r="K105" s="81"/>
      <c r="L105" s="81"/>
      <c r="M105" s="81"/>
      <c r="N105" s="81"/>
      <c r="O105" s="139"/>
      <c r="P105" s="81"/>
      <c r="Q105" s="81"/>
      <c r="R105" s="81"/>
      <c r="S105" s="81"/>
      <c r="T105" s="139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212"/>
      <c r="AG105" s="100"/>
    </row>
    <row r="106" spans="1:33" ht="15.75" customHeight="1" x14ac:dyDescent="0.25">
      <c r="A106" s="100">
        <v>0</v>
      </c>
      <c r="B106" s="81"/>
      <c r="C106" s="81"/>
      <c r="D106" s="81"/>
      <c r="E106" s="139"/>
      <c r="F106" s="139"/>
      <c r="G106" s="139"/>
      <c r="H106" s="35"/>
      <c r="I106" s="139"/>
      <c r="J106" s="81"/>
      <c r="K106" s="81"/>
      <c r="L106" s="81"/>
      <c r="M106" s="81"/>
      <c r="N106" s="81"/>
      <c r="O106" s="139"/>
      <c r="P106" s="81"/>
      <c r="Q106" s="81"/>
      <c r="R106" s="81"/>
      <c r="S106" s="81"/>
      <c r="T106" s="139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212"/>
      <c r="AG106" s="100"/>
    </row>
    <row r="107" spans="1:33" ht="15.75" customHeight="1" x14ac:dyDescent="0.25">
      <c r="A107" s="100">
        <v>0</v>
      </c>
      <c r="B107" s="81"/>
      <c r="C107" s="81"/>
      <c r="D107" s="81"/>
      <c r="E107" s="139"/>
      <c r="F107" s="139"/>
      <c r="G107" s="139"/>
      <c r="H107" s="35"/>
      <c r="I107" s="139"/>
      <c r="J107" s="81"/>
      <c r="K107" s="81"/>
      <c r="L107" s="81"/>
      <c r="M107" s="81"/>
      <c r="N107" s="81"/>
      <c r="O107" s="139"/>
      <c r="P107" s="81"/>
      <c r="Q107" s="81"/>
      <c r="R107" s="81"/>
      <c r="S107" s="81"/>
      <c r="T107" s="139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212"/>
      <c r="AG107" s="100"/>
    </row>
    <row r="108" spans="1:33" ht="15.75" customHeight="1" x14ac:dyDescent="0.3">
      <c r="B108" s="214"/>
      <c r="C108" s="214"/>
      <c r="D108" s="214"/>
      <c r="E108" s="216"/>
      <c r="F108" s="216"/>
      <c r="G108" s="216"/>
      <c r="H108" s="216"/>
      <c r="I108" s="216"/>
      <c r="J108" s="216"/>
      <c r="K108" s="214"/>
      <c r="L108" s="214"/>
      <c r="M108" s="214"/>
      <c r="N108" s="216"/>
      <c r="O108" s="216"/>
      <c r="P108" s="214"/>
      <c r="Q108" s="214"/>
      <c r="R108" s="214"/>
      <c r="S108" s="214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8"/>
      <c r="AG108" s="219"/>
    </row>
    <row r="109" spans="1:33" ht="15.75" customHeight="1" x14ac:dyDescent="0.25"/>
    <row r="110" spans="1:33" ht="15.75" customHeight="1" x14ac:dyDescent="0.25">
      <c r="A110" s="100">
        <v>0</v>
      </c>
      <c r="B110" s="203" t="str">
        <f ca="1">IFERROR(__xludf.DUMMYFUNCTION("Importrange(""https://docs.google.com/spreadsheets/d/1HCIruMhnA39ywuZfLF-H4w1q13eiYGdzzc1TRkdRHNc/edit?gid=264125725#"",""Personnel Cost!A57:AE67"")"),"#REF!")</f>
        <v>#REF!</v>
      </c>
      <c r="C110" s="81"/>
      <c r="D110" s="81"/>
      <c r="E110" s="139"/>
      <c r="F110" s="139"/>
      <c r="G110" s="139"/>
      <c r="H110" s="35"/>
      <c r="I110" s="139"/>
      <c r="J110" s="81"/>
      <c r="K110" s="81"/>
      <c r="L110" s="81"/>
      <c r="M110" s="81"/>
      <c r="N110" s="81"/>
      <c r="O110" s="139"/>
      <c r="P110" s="81"/>
      <c r="Q110" s="81"/>
      <c r="R110" s="81"/>
      <c r="S110" s="81"/>
      <c r="T110" s="139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212"/>
      <c r="AG110" s="100"/>
    </row>
    <row r="111" spans="1:33" ht="15.75" customHeight="1" x14ac:dyDescent="0.25">
      <c r="A111" s="100">
        <v>0</v>
      </c>
      <c r="B111" s="81"/>
      <c r="C111" s="81"/>
      <c r="D111" s="81"/>
      <c r="E111" s="139"/>
      <c r="F111" s="139"/>
      <c r="G111" s="139"/>
      <c r="H111" s="35"/>
      <c r="I111" s="139"/>
      <c r="J111" s="81"/>
      <c r="K111" s="81"/>
      <c r="L111" s="81"/>
      <c r="M111" s="81"/>
      <c r="N111" s="81"/>
      <c r="O111" s="139"/>
      <c r="P111" s="81"/>
      <c r="Q111" s="81"/>
      <c r="R111" s="81"/>
      <c r="S111" s="81"/>
      <c r="T111" s="139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212"/>
      <c r="AG111" s="100"/>
    </row>
    <row r="112" spans="1:33" ht="15.75" customHeight="1" x14ac:dyDescent="0.25">
      <c r="A112" s="100">
        <v>0</v>
      </c>
      <c r="B112" s="81"/>
      <c r="C112" s="81"/>
      <c r="D112" s="81"/>
      <c r="E112" s="139"/>
      <c r="F112" s="139"/>
      <c r="G112" s="139"/>
      <c r="H112" s="35"/>
      <c r="I112" s="139"/>
      <c r="J112" s="81"/>
      <c r="K112" s="81"/>
      <c r="L112" s="81"/>
      <c r="M112" s="81"/>
      <c r="N112" s="81"/>
      <c r="O112" s="139"/>
      <c r="P112" s="81"/>
      <c r="Q112" s="81"/>
      <c r="R112" s="81"/>
      <c r="S112" s="81"/>
      <c r="T112" s="139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212"/>
      <c r="AG112" s="100"/>
    </row>
    <row r="113" spans="1:33" ht="15.75" customHeight="1" x14ac:dyDescent="0.25">
      <c r="A113" s="100">
        <v>0</v>
      </c>
      <c r="B113" s="81"/>
      <c r="C113" s="81"/>
      <c r="D113" s="81"/>
      <c r="E113" s="139"/>
      <c r="F113" s="139"/>
      <c r="G113" s="139"/>
      <c r="H113" s="35"/>
      <c r="I113" s="139"/>
      <c r="J113" s="81"/>
      <c r="K113" s="81"/>
      <c r="L113" s="81"/>
      <c r="M113" s="81"/>
      <c r="N113" s="81"/>
      <c r="O113" s="139"/>
      <c r="P113" s="81"/>
      <c r="Q113" s="81"/>
      <c r="R113" s="81"/>
      <c r="S113" s="81"/>
      <c r="T113" s="139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212"/>
      <c r="AG113" s="100"/>
    </row>
    <row r="114" spans="1:33" ht="15.75" customHeight="1" x14ac:dyDescent="0.25">
      <c r="A114" s="100">
        <v>0</v>
      </c>
      <c r="B114" s="81"/>
      <c r="C114" s="81"/>
      <c r="D114" s="81"/>
      <c r="E114" s="139"/>
      <c r="F114" s="139"/>
      <c r="G114" s="139"/>
      <c r="H114" s="35"/>
      <c r="I114" s="139"/>
      <c r="J114" s="81"/>
      <c r="K114" s="139"/>
      <c r="L114" s="81"/>
      <c r="M114" s="81"/>
      <c r="N114" s="81"/>
      <c r="O114" s="139"/>
      <c r="P114" s="81"/>
      <c r="Q114" s="81"/>
      <c r="R114" s="81"/>
      <c r="S114" s="81"/>
      <c r="T114" s="139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212"/>
      <c r="AG114" s="100"/>
    </row>
    <row r="115" spans="1:33" ht="15.75" customHeight="1" x14ac:dyDescent="0.25">
      <c r="A115" s="100">
        <v>0</v>
      </c>
      <c r="B115" s="81"/>
      <c r="C115" s="81"/>
      <c r="D115" s="81"/>
      <c r="E115" s="139"/>
      <c r="F115" s="139"/>
      <c r="G115" s="139"/>
      <c r="H115" s="35"/>
      <c r="I115" s="139"/>
      <c r="J115" s="81"/>
      <c r="K115" s="81"/>
      <c r="L115" s="81"/>
      <c r="M115" s="81"/>
      <c r="N115" s="81"/>
      <c r="O115" s="139"/>
      <c r="P115" s="81"/>
      <c r="Q115" s="81"/>
      <c r="R115" s="81"/>
      <c r="S115" s="81"/>
      <c r="T115" s="139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212"/>
      <c r="AG115" s="100"/>
    </row>
    <row r="116" spans="1:33" ht="15.75" customHeight="1" x14ac:dyDescent="0.25">
      <c r="A116" s="100">
        <v>0</v>
      </c>
      <c r="B116" s="81"/>
      <c r="C116" s="81"/>
      <c r="D116" s="81"/>
      <c r="E116" s="139"/>
      <c r="F116" s="139"/>
      <c r="G116" s="139"/>
      <c r="H116" s="35"/>
      <c r="I116" s="139"/>
      <c r="J116" s="81"/>
      <c r="K116" s="81"/>
      <c r="L116" s="81"/>
      <c r="M116" s="81"/>
      <c r="N116" s="81"/>
      <c r="O116" s="139"/>
      <c r="P116" s="81"/>
      <c r="Q116" s="81"/>
      <c r="R116" s="81"/>
      <c r="S116" s="81"/>
      <c r="T116" s="139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212"/>
      <c r="AG116" s="100"/>
    </row>
    <row r="117" spans="1:33" ht="15.75" customHeight="1" x14ac:dyDescent="0.25">
      <c r="A117" s="100">
        <v>0</v>
      </c>
      <c r="B117" s="81"/>
      <c r="C117" s="81"/>
      <c r="D117" s="81"/>
      <c r="E117" s="139"/>
      <c r="F117" s="139"/>
      <c r="G117" s="139"/>
      <c r="H117" s="35"/>
      <c r="I117" s="139"/>
      <c r="J117" s="81"/>
      <c r="K117" s="81"/>
      <c r="L117" s="81"/>
      <c r="M117" s="81"/>
      <c r="N117" s="81"/>
      <c r="O117" s="139"/>
      <c r="P117" s="81"/>
      <c r="Q117" s="81"/>
      <c r="R117" s="81"/>
      <c r="S117" s="81"/>
      <c r="T117" s="139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212"/>
      <c r="AG117" s="100"/>
    </row>
    <row r="118" spans="1:33" ht="15.75" customHeight="1" x14ac:dyDescent="0.25">
      <c r="A118" s="100">
        <v>0</v>
      </c>
      <c r="B118" s="81"/>
      <c r="C118" s="81"/>
      <c r="D118" s="81"/>
      <c r="E118" s="139"/>
      <c r="F118" s="139"/>
      <c r="G118" s="139"/>
      <c r="H118" s="35"/>
      <c r="I118" s="139"/>
      <c r="J118" s="81"/>
      <c r="K118" s="81"/>
      <c r="L118" s="81"/>
      <c r="M118" s="81"/>
      <c r="N118" s="81"/>
      <c r="O118" s="139"/>
      <c r="P118" s="81"/>
      <c r="Q118" s="81"/>
      <c r="R118" s="81"/>
      <c r="S118" s="81"/>
      <c r="T118" s="139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212"/>
      <c r="AG118" s="100"/>
    </row>
    <row r="119" spans="1:33" ht="15.75" customHeight="1" x14ac:dyDescent="0.25">
      <c r="A119" s="100">
        <v>0</v>
      </c>
      <c r="B119" s="81"/>
      <c r="C119" s="81"/>
      <c r="D119" s="81"/>
      <c r="E119" s="139"/>
      <c r="F119" s="139"/>
      <c r="G119" s="139"/>
      <c r="H119" s="35"/>
      <c r="I119" s="139"/>
      <c r="J119" s="81"/>
      <c r="K119" s="81"/>
      <c r="L119" s="81"/>
      <c r="M119" s="81"/>
      <c r="N119" s="81"/>
      <c r="O119" s="139"/>
      <c r="P119" s="81"/>
      <c r="Q119" s="81"/>
      <c r="R119" s="81"/>
      <c r="S119" s="81"/>
      <c r="T119" s="139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212"/>
      <c r="AG119" s="100"/>
    </row>
    <row r="120" spans="1:33" ht="15.75" customHeight="1" x14ac:dyDescent="0.3">
      <c r="B120" s="214"/>
      <c r="C120" s="214"/>
      <c r="D120" s="214"/>
      <c r="E120" s="216"/>
      <c r="F120" s="216"/>
      <c r="G120" s="216"/>
      <c r="H120" s="216"/>
      <c r="I120" s="216"/>
      <c r="J120" s="216"/>
      <c r="K120" s="214"/>
      <c r="L120" s="214"/>
      <c r="M120" s="214"/>
      <c r="N120" s="216"/>
      <c r="O120" s="216"/>
      <c r="P120" s="214"/>
      <c r="Q120" s="214"/>
      <c r="R120" s="214"/>
      <c r="S120" s="214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8"/>
      <c r="AG120" s="219"/>
    </row>
    <row r="121" spans="1:33" ht="15.75" customHeight="1" x14ac:dyDescent="0.25">
      <c r="I121" s="15"/>
      <c r="V121" s="15"/>
      <c r="W121" s="15"/>
      <c r="X121" s="15"/>
      <c r="Y121" s="15"/>
      <c r="Z121" s="15"/>
      <c r="AA121" s="15"/>
      <c r="AB121" s="15"/>
    </row>
    <row r="122" spans="1:33" ht="15.75" customHeight="1" x14ac:dyDescent="0.25">
      <c r="A122" s="100">
        <v>1</v>
      </c>
      <c r="B122" s="203" t="str">
        <f ca="1">IFERROR(__xludf.DUMMYFUNCTION("importrange(""https://docs.google.com/spreadsheets/d/1XeQ-B8N-Kip4L4EV1Yew1eabq-ryDiDqzAL_OC9Z084/edit?gid=1863215339#"",""Personnel Cost!A2:AE15"")"),"#REF!")</f>
        <v>#REF!</v>
      </c>
      <c r="C122" s="81"/>
      <c r="D122" s="81"/>
      <c r="E122" s="139"/>
      <c r="F122" s="139"/>
      <c r="G122" s="139"/>
      <c r="H122" s="35"/>
      <c r="I122" s="206"/>
      <c r="J122" s="139"/>
      <c r="K122" s="139"/>
      <c r="L122" s="139"/>
      <c r="M122" s="139"/>
      <c r="N122" s="139"/>
      <c r="O122" s="139"/>
      <c r="P122" s="139"/>
      <c r="Q122" s="189"/>
      <c r="R122" s="208"/>
      <c r="S122" s="139"/>
      <c r="T122" s="139"/>
      <c r="U122" s="139"/>
      <c r="V122" s="206"/>
      <c r="W122" s="206"/>
      <c r="X122" s="206"/>
      <c r="Y122" s="206"/>
      <c r="Z122" s="206"/>
      <c r="AA122" s="206"/>
      <c r="AB122" s="206"/>
      <c r="AC122" s="139"/>
      <c r="AD122" s="139"/>
      <c r="AE122" s="139"/>
      <c r="AF122" s="210"/>
      <c r="AG122" s="100"/>
    </row>
    <row r="123" spans="1:33" ht="15.75" customHeight="1" x14ac:dyDescent="0.25">
      <c r="A123" s="100">
        <v>1</v>
      </c>
      <c r="B123" s="81"/>
      <c r="C123" s="81"/>
      <c r="D123" s="81"/>
      <c r="E123" s="139"/>
      <c r="F123" s="139"/>
      <c r="G123" s="139"/>
      <c r="H123" s="35"/>
      <c r="I123" s="206"/>
      <c r="J123" s="139"/>
      <c r="K123" s="139"/>
      <c r="L123" s="139"/>
      <c r="M123" s="139"/>
      <c r="N123" s="139"/>
      <c r="O123" s="139"/>
      <c r="P123" s="81"/>
      <c r="Q123" s="81"/>
      <c r="R123" s="81"/>
      <c r="S123" s="81"/>
      <c r="T123" s="139"/>
      <c r="U123" s="139"/>
      <c r="V123" s="206"/>
      <c r="W123" s="239"/>
      <c r="X123" s="239"/>
      <c r="Y123" s="239"/>
      <c r="Z123" s="239"/>
      <c r="AA123" s="239"/>
      <c r="AB123" s="239"/>
      <c r="AC123" s="235"/>
      <c r="AD123" s="139"/>
      <c r="AE123" s="139"/>
      <c r="AF123" s="210"/>
      <c r="AG123" s="100"/>
    </row>
    <row r="124" spans="1:33" ht="15.75" customHeight="1" x14ac:dyDescent="0.25">
      <c r="A124" s="100">
        <v>0</v>
      </c>
      <c r="B124" s="81"/>
      <c r="C124" s="81"/>
      <c r="D124" s="81"/>
      <c r="E124" s="139"/>
      <c r="F124" s="139"/>
      <c r="G124" s="139"/>
      <c r="H124" s="35"/>
      <c r="I124" s="206"/>
      <c r="J124" s="81"/>
      <c r="K124" s="81"/>
      <c r="L124" s="81"/>
      <c r="M124" s="81"/>
      <c r="N124" s="81"/>
      <c r="O124" s="139"/>
      <c r="P124" s="81"/>
      <c r="Q124" s="81"/>
      <c r="R124" s="81"/>
      <c r="S124" s="81"/>
      <c r="T124" s="139"/>
      <c r="U124" s="81"/>
      <c r="V124" s="64"/>
      <c r="W124" s="64"/>
      <c r="X124" s="64"/>
      <c r="Y124" s="64"/>
      <c r="Z124" s="64"/>
      <c r="AA124" s="64"/>
      <c r="AB124" s="64"/>
      <c r="AC124" s="81"/>
      <c r="AD124" s="81"/>
      <c r="AE124" s="81"/>
      <c r="AF124" s="212"/>
      <c r="AG124" s="100"/>
    </row>
    <row r="125" spans="1:33" ht="15.75" customHeight="1" x14ac:dyDescent="0.25">
      <c r="A125" s="100">
        <v>0</v>
      </c>
      <c r="B125" s="81"/>
      <c r="C125" s="81"/>
      <c r="D125" s="81"/>
      <c r="E125" s="139"/>
      <c r="F125" s="139"/>
      <c r="G125" s="139"/>
      <c r="H125" s="35"/>
      <c r="I125" s="139"/>
      <c r="J125" s="81"/>
      <c r="K125" s="81"/>
      <c r="L125" s="81"/>
      <c r="M125" s="81"/>
      <c r="N125" s="81"/>
      <c r="O125" s="139"/>
      <c r="P125" s="81"/>
      <c r="Q125" s="81"/>
      <c r="R125" s="81"/>
      <c r="S125" s="81"/>
      <c r="T125" s="139"/>
      <c r="U125" s="81"/>
      <c r="V125" s="64"/>
      <c r="W125" s="64"/>
      <c r="X125" s="64"/>
      <c r="Y125" s="64"/>
      <c r="Z125" s="64"/>
      <c r="AA125" s="64"/>
      <c r="AB125" s="64"/>
      <c r="AC125" s="81"/>
      <c r="AD125" s="81"/>
      <c r="AE125" s="81"/>
      <c r="AF125" s="212"/>
      <c r="AG125" s="100"/>
    </row>
    <row r="126" spans="1:33" ht="15.75" customHeight="1" x14ac:dyDescent="0.25">
      <c r="A126" s="100">
        <v>0</v>
      </c>
      <c r="B126" s="81"/>
      <c r="C126" s="81"/>
      <c r="D126" s="81"/>
      <c r="E126" s="139"/>
      <c r="F126" s="139"/>
      <c r="G126" s="139"/>
      <c r="H126" s="35"/>
      <c r="I126" s="139"/>
      <c r="J126" s="81"/>
      <c r="K126" s="81"/>
      <c r="L126" s="81"/>
      <c r="M126" s="81"/>
      <c r="N126" s="81"/>
      <c r="O126" s="139"/>
      <c r="P126" s="81"/>
      <c r="Q126" s="81"/>
      <c r="R126" s="81"/>
      <c r="S126" s="81"/>
      <c r="T126" s="139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212"/>
      <c r="AG126" s="100"/>
    </row>
    <row r="127" spans="1:33" ht="15.75" customHeight="1" x14ac:dyDescent="0.25">
      <c r="A127" s="100">
        <v>0</v>
      </c>
      <c r="B127" s="81"/>
      <c r="C127" s="81"/>
      <c r="D127" s="81"/>
      <c r="E127" s="139"/>
      <c r="F127" s="139"/>
      <c r="G127" s="139"/>
      <c r="H127" s="35"/>
      <c r="I127" s="139"/>
      <c r="J127" s="81"/>
      <c r="K127" s="81"/>
      <c r="L127" s="81"/>
      <c r="M127" s="81"/>
      <c r="N127" s="81"/>
      <c r="O127" s="139"/>
      <c r="P127" s="81"/>
      <c r="Q127" s="81"/>
      <c r="R127" s="81"/>
      <c r="S127" s="81"/>
      <c r="T127" s="139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212"/>
      <c r="AG127" s="100"/>
    </row>
    <row r="128" spans="1:33" ht="15.75" customHeight="1" x14ac:dyDescent="0.25">
      <c r="A128" s="100">
        <v>0</v>
      </c>
      <c r="B128" s="81"/>
      <c r="C128" s="81"/>
      <c r="D128" s="81"/>
      <c r="E128" s="139"/>
      <c r="F128" s="139"/>
      <c r="G128" s="139"/>
      <c r="H128" s="35"/>
      <c r="I128" s="139"/>
      <c r="J128" s="81"/>
      <c r="K128" s="81"/>
      <c r="L128" s="81"/>
      <c r="M128" s="81"/>
      <c r="N128" s="81"/>
      <c r="O128" s="139"/>
      <c r="P128" s="81"/>
      <c r="Q128" s="81"/>
      <c r="R128" s="81"/>
      <c r="S128" s="81"/>
      <c r="T128" s="139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212"/>
      <c r="AG128" s="100"/>
    </row>
    <row r="129" spans="1:33" ht="15.75" customHeight="1" x14ac:dyDescent="0.25">
      <c r="A129" s="100">
        <v>0</v>
      </c>
      <c r="B129" s="81"/>
      <c r="C129" s="81"/>
      <c r="D129" s="81"/>
      <c r="E129" s="139"/>
      <c r="F129" s="139"/>
      <c r="G129" s="139"/>
      <c r="H129" s="35"/>
      <c r="I129" s="139"/>
      <c r="J129" s="139"/>
      <c r="K129" s="139"/>
      <c r="L129" s="139"/>
      <c r="M129" s="139"/>
      <c r="N129" s="139"/>
      <c r="O129" s="139"/>
      <c r="P129" s="81"/>
      <c r="Q129" s="81"/>
      <c r="R129" s="81"/>
      <c r="S129" s="81"/>
      <c r="T129" s="139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212"/>
      <c r="AG129" s="100"/>
    </row>
    <row r="130" spans="1:33" ht="15.75" customHeight="1" x14ac:dyDescent="0.25">
      <c r="A130" s="100">
        <v>0</v>
      </c>
      <c r="B130" s="81"/>
      <c r="C130" s="81"/>
      <c r="D130" s="81"/>
      <c r="E130" s="139"/>
      <c r="F130" s="139"/>
      <c r="G130" s="139"/>
      <c r="H130" s="35"/>
      <c r="I130" s="139"/>
      <c r="J130" s="81"/>
      <c r="K130" s="81"/>
      <c r="L130" s="81"/>
      <c r="M130" s="81"/>
      <c r="N130" s="81"/>
      <c r="O130" s="139"/>
      <c r="P130" s="81"/>
      <c r="Q130" s="81"/>
      <c r="R130" s="81"/>
      <c r="S130" s="81"/>
      <c r="T130" s="139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212"/>
      <c r="AG130" s="100"/>
    </row>
    <row r="131" spans="1:33" ht="15.75" customHeight="1" x14ac:dyDescent="0.25">
      <c r="A131" s="100">
        <v>0</v>
      </c>
      <c r="B131" s="81"/>
      <c r="C131" s="81"/>
      <c r="D131" s="81"/>
      <c r="E131" s="139"/>
      <c r="F131" s="139"/>
      <c r="G131" s="139"/>
      <c r="H131" s="35"/>
      <c r="I131" s="139"/>
      <c r="J131" s="81"/>
      <c r="K131" s="81"/>
      <c r="L131" s="81"/>
      <c r="M131" s="81"/>
      <c r="N131" s="81"/>
      <c r="O131" s="139"/>
      <c r="P131" s="81"/>
      <c r="Q131" s="81"/>
      <c r="R131" s="81"/>
      <c r="S131" s="81"/>
      <c r="T131" s="139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212"/>
      <c r="AG131" s="100"/>
    </row>
    <row r="132" spans="1:33" ht="15.75" customHeight="1" x14ac:dyDescent="0.25">
      <c r="A132" s="100">
        <v>0</v>
      </c>
      <c r="B132" s="81"/>
      <c r="C132" s="81"/>
      <c r="D132" s="81"/>
      <c r="E132" s="139"/>
      <c r="F132" s="139"/>
      <c r="G132" s="139"/>
      <c r="H132" s="35"/>
      <c r="I132" s="139"/>
      <c r="J132" s="81"/>
      <c r="K132" s="81"/>
      <c r="L132" s="81"/>
      <c r="M132" s="81"/>
      <c r="N132" s="81"/>
      <c r="O132" s="139"/>
      <c r="P132" s="81"/>
      <c r="Q132" s="81"/>
      <c r="R132" s="81"/>
      <c r="S132" s="81"/>
      <c r="T132" s="139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212"/>
      <c r="AG132" s="100"/>
    </row>
    <row r="133" spans="1:33" ht="15.75" customHeight="1" x14ac:dyDescent="0.25">
      <c r="A133" s="100">
        <v>0</v>
      </c>
      <c r="B133" s="81"/>
      <c r="C133" s="81"/>
      <c r="D133" s="81"/>
      <c r="E133" s="139"/>
      <c r="F133" s="139"/>
      <c r="G133" s="139"/>
      <c r="H133" s="35"/>
      <c r="I133" s="139"/>
      <c r="J133" s="81"/>
      <c r="K133" s="81"/>
      <c r="L133" s="81"/>
      <c r="M133" s="81"/>
      <c r="N133" s="81"/>
      <c r="O133" s="139"/>
      <c r="P133" s="81"/>
      <c r="Q133" s="81"/>
      <c r="R133" s="81"/>
      <c r="S133" s="81"/>
      <c r="T133" s="139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212"/>
      <c r="AG133" s="100"/>
    </row>
    <row r="134" spans="1:33" ht="15.75" customHeight="1" x14ac:dyDescent="0.25">
      <c r="A134" s="100">
        <v>0</v>
      </c>
      <c r="B134" s="81"/>
      <c r="C134" s="81"/>
      <c r="D134" s="81"/>
      <c r="E134" s="139"/>
      <c r="F134" s="139"/>
      <c r="G134" s="139"/>
      <c r="H134" s="35"/>
      <c r="I134" s="139"/>
      <c r="J134" s="81"/>
      <c r="K134" s="81"/>
      <c r="L134" s="81"/>
      <c r="M134" s="81"/>
      <c r="N134" s="81"/>
      <c r="O134" s="139"/>
      <c r="P134" s="81"/>
      <c r="Q134" s="81"/>
      <c r="R134" s="81"/>
      <c r="S134" s="81"/>
      <c r="T134" s="139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212"/>
      <c r="AG134" s="100"/>
    </row>
    <row r="135" spans="1:33" ht="15.75" customHeight="1" x14ac:dyDescent="0.3">
      <c r="B135" s="214"/>
      <c r="C135" s="214"/>
      <c r="D135" s="214"/>
      <c r="E135" s="216"/>
      <c r="F135" s="216"/>
      <c r="G135" s="216"/>
      <c r="H135" s="216"/>
      <c r="I135" s="216"/>
      <c r="J135" s="216"/>
      <c r="K135" s="214"/>
      <c r="L135" s="214"/>
      <c r="M135" s="214"/>
      <c r="N135" s="216"/>
      <c r="O135" s="216"/>
      <c r="P135" s="214"/>
      <c r="Q135" s="214"/>
      <c r="R135" s="214"/>
      <c r="S135" s="214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  <c r="AD135" s="216"/>
      <c r="AE135" s="216"/>
      <c r="AF135" s="218"/>
      <c r="AG135" s="219"/>
    </row>
    <row r="136" spans="1:33" ht="15.75" customHeight="1" x14ac:dyDescent="0.25"/>
    <row r="137" spans="1:33" ht="15.75" customHeight="1" x14ac:dyDescent="0.25">
      <c r="A137" s="100">
        <v>0</v>
      </c>
      <c r="B137" s="203" t="str">
        <f ca="1">IFERROR(__xludf.DUMMYFUNCTION("importrange(""https://docs.google.com/spreadsheets/d/1XeQ-B8N-Kip4L4EV1Yew1eabq-ryDiDqzAL_OC9Z084/edit?gid=1863215339#"",""Personnel Cost!A34:AE45"")"),"#REF!")</f>
        <v>#REF!</v>
      </c>
      <c r="C137" s="81"/>
      <c r="D137" s="81"/>
      <c r="E137" s="139"/>
      <c r="F137" s="139"/>
      <c r="G137" s="139"/>
      <c r="H137" s="35"/>
      <c r="I137" s="139"/>
      <c r="J137" s="81"/>
      <c r="K137" s="81"/>
      <c r="L137" s="81"/>
      <c r="M137" s="81"/>
      <c r="N137" s="81"/>
      <c r="O137" s="139"/>
      <c r="P137" s="81"/>
      <c r="Q137" s="81"/>
      <c r="R137" s="81"/>
      <c r="S137" s="81"/>
      <c r="T137" s="139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212"/>
      <c r="AG137" s="100"/>
    </row>
    <row r="138" spans="1:33" ht="15.75" customHeight="1" x14ac:dyDescent="0.25">
      <c r="A138" s="100">
        <v>0</v>
      </c>
      <c r="B138" s="81"/>
      <c r="C138" s="81"/>
      <c r="D138" s="81"/>
      <c r="E138" s="139"/>
      <c r="F138" s="139"/>
      <c r="G138" s="139"/>
      <c r="H138" s="35"/>
      <c r="I138" s="139"/>
      <c r="J138" s="81"/>
      <c r="K138" s="81"/>
      <c r="L138" s="81"/>
      <c r="M138" s="81"/>
      <c r="N138" s="81"/>
      <c r="O138" s="139"/>
      <c r="P138" s="81"/>
      <c r="Q138" s="81"/>
      <c r="R138" s="81"/>
      <c r="S138" s="81"/>
      <c r="T138" s="139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212"/>
      <c r="AG138" s="100"/>
    </row>
    <row r="139" spans="1:33" ht="15.75" customHeight="1" x14ac:dyDescent="0.25">
      <c r="A139" s="100">
        <v>0</v>
      </c>
      <c r="B139" s="81"/>
      <c r="C139" s="81"/>
      <c r="D139" s="81"/>
      <c r="E139" s="139"/>
      <c r="F139" s="139"/>
      <c r="G139" s="139"/>
      <c r="H139" s="35"/>
      <c r="I139" s="139"/>
      <c r="J139" s="81"/>
      <c r="K139" s="81"/>
      <c r="L139" s="81"/>
      <c r="M139" s="81"/>
      <c r="N139" s="81"/>
      <c r="O139" s="139"/>
      <c r="P139" s="81"/>
      <c r="Q139" s="81"/>
      <c r="R139" s="81"/>
      <c r="S139" s="81"/>
      <c r="T139" s="139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212"/>
      <c r="AG139" s="100"/>
    </row>
    <row r="140" spans="1:33" ht="15.75" customHeight="1" x14ac:dyDescent="0.25">
      <c r="A140" s="100">
        <v>0</v>
      </c>
      <c r="B140" s="81"/>
      <c r="C140" s="81"/>
      <c r="D140" s="81"/>
      <c r="E140" s="139"/>
      <c r="F140" s="139"/>
      <c r="G140" s="139"/>
      <c r="H140" s="35"/>
      <c r="I140" s="139"/>
      <c r="J140" s="81"/>
      <c r="K140" s="81"/>
      <c r="L140" s="81"/>
      <c r="M140" s="81"/>
      <c r="N140" s="81"/>
      <c r="O140" s="139"/>
      <c r="P140" s="81"/>
      <c r="Q140" s="81"/>
      <c r="R140" s="81"/>
      <c r="S140" s="81"/>
      <c r="T140" s="139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212"/>
      <c r="AG140" s="100"/>
    </row>
    <row r="141" spans="1:33" ht="15.75" customHeight="1" x14ac:dyDescent="0.25">
      <c r="A141" s="100">
        <v>0</v>
      </c>
      <c r="B141" s="81"/>
      <c r="C141" s="81"/>
      <c r="D141" s="81"/>
      <c r="E141" s="139"/>
      <c r="F141" s="139"/>
      <c r="G141" s="139"/>
      <c r="H141" s="35"/>
      <c r="I141" s="139"/>
      <c r="J141" s="81"/>
      <c r="K141" s="81"/>
      <c r="L141" s="81"/>
      <c r="M141" s="81"/>
      <c r="N141" s="81"/>
      <c r="O141" s="139"/>
      <c r="P141" s="81"/>
      <c r="Q141" s="81"/>
      <c r="R141" s="81"/>
      <c r="S141" s="81"/>
      <c r="T141" s="139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212"/>
      <c r="AG141" s="100"/>
    </row>
    <row r="142" spans="1:33" ht="15.75" customHeight="1" x14ac:dyDescent="0.25">
      <c r="A142" s="100">
        <v>0</v>
      </c>
      <c r="B142" s="81"/>
      <c r="C142" s="81"/>
      <c r="D142" s="81"/>
      <c r="E142" s="139"/>
      <c r="F142" s="139"/>
      <c r="G142" s="139"/>
      <c r="H142" s="35"/>
      <c r="I142" s="139"/>
      <c r="J142" s="81"/>
      <c r="K142" s="81"/>
      <c r="L142" s="81"/>
      <c r="M142" s="81"/>
      <c r="N142" s="81"/>
      <c r="O142" s="139"/>
      <c r="P142" s="81"/>
      <c r="Q142" s="81"/>
      <c r="R142" s="81"/>
      <c r="S142" s="81"/>
      <c r="T142" s="139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212"/>
      <c r="AG142" s="100"/>
    </row>
    <row r="143" spans="1:33" ht="15.75" customHeight="1" x14ac:dyDescent="0.25">
      <c r="A143" s="100">
        <v>0</v>
      </c>
      <c r="B143" s="81"/>
      <c r="C143" s="81"/>
      <c r="D143" s="81"/>
      <c r="E143" s="139"/>
      <c r="F143" s="139"/>
      <c r="G143" s="139"/>
      <c r="H143" s="35"/>
      <c r="I143" s="139"/>
      <c r="J143" s="139"/>
      <c r="K143" s="139"/>
      <c r="L143" s="139"/>
      <c r="M143" s="81"/>
      <c r="N143" s="139"/>
      <c r="O143" s="139"/>
      <c r="P143" s="81"/>
      <c r="Q143" s="81"/>
      <c r="R143" s="81"/>
      <c r="S143" s="81"/>
      <c r="T143" s="139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212"/>
      <c r="AG143" s="100"/>
    </row>
    <row r="144" spans="1:33" ht="15.75" customHeight="1" x14ac:dyDescent="0.25">
      <c r="A144" s="100">
        <v>0</v>
      </c>
      <c r="B144" s="81"/>
      <c r="C144" s="81"/>
      <c r="D144" s="81"/>
      <c r="E144" s="139"/>
      <c r="F144" s="139"/>
      <c r="G144" s="139"/>
      <c r="H144" s="35"/>
      <c r="I144" s="139"/>
      <c r="J144" s="81"/>
      <c r="K144" s="81"/>
      <c r="L144" s="81"/>
      <c r="M144" s="81"/>
      <c r="N144" s="81"/>
      <c r="O144" s="139"/>
      <c r="P144" s="81"/>
      <c r="Q144" s="81"/>
      <c r="R144" s="81"/>
      <c r="S144" s="81"/>
      <c r="T144" s="139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212"/>
      <c r="AG144" s="100"/>
    </row>
    <row r="145" spans="1:33" ht="15.75" customHeight="1" x14ac:dyDescent="0.25">
      <c r="A145" s="100">
        <v>0</v>
      </c>
      <c r="B145" s="81"/>
      <c r="C145" s="81"/>
      <c r="D145" s="81"/>
      <c r="E145" s="139"/>
      <c r="F145" s="139"/>
      <c r="G145" s="139"/>
      <c r="H145" s="35"/>
      <c r="I145" s="139"/>
      <c r="J145" s="81"/>
      <c r="K145" s="81"/>
      <c r="L145" s="81"/>
      <c r="M145" s="81"/>
      <c r="N145" s="81"/>
      <c r="O145" s="139"/>
      <c r="P145" s="81"/>
      <c r="Q145" s="81"/>
      <c r="R145" s="81"/>
      <c r="S145" s="81"/>
      <c r="T145" s="139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212"/>
      <c r="AG145" s="100"/>
    </row>
    <row r="146" spans="1:33" ht="15.75" customHeight="1" x14ac:dyDescent="0.25">
      <c r="A146" s="100">
        <v>0</v>
      </c>
      <c r="B146" s="81"/>
      <c r="C146" s="81"/>
      <c r="D146" s="81"/>
      <c r="E146" s="139"/>
      <c r="F146" s="139"/>
      <c r="G146" s="139"/>
      <c r="H146" s="35"/>
      <c r="I146" s="139"/>
      <c r="J146" s="81"/>
      <c r="K146" s="81"/>
      <c r="L146" s="81"/>
      <c r="M146" s="81"/>
      <c r="N146" s="81"/>
      <c r="O146" s="139"/>
      <c r="P146" s="81"/>
      <c r="Q146" s="81"/>
      <c r="R146" s="81"/>
      <c r="S146" s="81"/>
      <c r="T146" s="139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212"/>
      <c r="AG146" s="100"/>
    </row>
    <row r="147" spans="1:33" ht="15.75" customHeight="1" x14ac:dyDescent="0.25">
      <c r="A147" s="100">
        <v>0</v>
      </c>
      <c r="B147" s="81"/>
      <c r="C147" s="81"/>
      <c r="D147" s="81"/>
      <c r="E147" s="139"/>
      <c r="F147" s="139"/>
      <c r="G147" s="139"/>
      <c r="H147" s="35"/>
      <c r="I147" s="139"/>
      <c r="J147" s="81"/>
      <c r="K147" s="81"/>
      <c r="L147" s="81"/>
      <c r="M147" s="81"/>
      <c r="N147" s="81"/>
      <c r="O147" s="139"/>
      <c r="P147" s="81"/>
      <c r="Q147" s="81"/>
      <c r="R147" s="81"/>
      <c r="S147" s="81"/>
      <c r="T147" s="139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212"/>
      <c r="AG147" s="100"/>
    </row>
    <row r="148" spans="1:33" ht="15.75" customHeight="1" x14ac:dyDescent="0.3">
      <c r="B148" s="214"/>
      <c r="C148" s="214"/>
      <c r="D148" s="214"/>
      <c r="E148" s="216"/>
      <c r="F148" s="216"/>
      <c r="G148" s="216"/>
      <c r="H148" s="216"/>
      <c r="I148" s="216"/>
      <c r="J148" s="216"/>
      <c r="K148" s="214"/>
      <c r="L148" s="214"/>
      <c r="M148" s="214"/>
      <c r="N148" s="216"/>
      <c r="O148" s="216"/>
      <c r="P148" s="214"/>
      <c r="Q148" s="214"/>
      <c r="R148" s="214"/>
      <c r="S148" s="214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  <c r="AE148" s="216"/>
      <c r="AF148" s="218"/>
      <c r="AG148" s="219"/>
    </row>
    <row r="149" spans="1:33" ht="15.75" customHeight="1" x14ac:dyDescent="0.25"/>
    <row r="150" spans="1:33" ht="15.75" customHeight="1" x14ac:dyDescent="0.25">
      <c r="A150" s="100">
        <v>0</v>
      </c>
      <c r="B150" s="203" t="str">
        <f ca="1">IFERROR(__xludf.DUMMYFUNCTION("importrange(""https://docs.google.com/spreadsheets/d/1XeQ-B8N-Kip4L4EV1Yew1eabq-ryDiDqzAL_OC9Z084/edit?gid=1863215339#"",""Personnel Cost!A58:AE68"")"),"#REF!")</f>
        <v>#REF!</v>
      </c>
      <c r="C150" s="81"/>
      <c r="D150" s="81"/>
      <c r="E150" s="139"/>
      <c r="F150" s="139"/>
      <c r="G150" s="139"/>
      <c r="H150" s="35"/>
      <c r="I150" s="139"/>
      <c r="J150" s="81"/>
      <c r="K150" s="81"/>
      <c r="L150" s="81"/>
      <c r="M150" s="81"/>
      <c r="N150" s="81"/>
      <c r="O150" s="139"/>
      <c r="P150" s="81"/>
      <c r="Q150" s="81"/>
      <c r="R150" s="81"/>
      <c r="S150" s="81"/>
      <c r="T150" s="139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212"/>
      <c r="AG150" s="100"/>
    </row>
    <row r="151" spans="1:33" ht="15.75" customHeight="1" x14ac:dyDescent="0.25">
      <c r="A151" s="100">
        <v>0</v>
      </c>
      <c r="B151" s="81"/>
      <c r="C151" s="81"/>
      <c r="D151" s="81"/>
      <c r="E151" s="139"/>
      <c r="F151" s="139"/>
      <c r="G151" s="139"/>
      <c r="H151" s="35"/>
      <c r="I151" s="139"/>
      <c r="J151" s="81"/>
      <c r="K151" s="81"/>
      <c r="L151" s="81"/>
      <c r="M151" s="81"/>
      <c r="N151" s="81"/>
      <c r="O151" s="139"/>
      <c r="P151" s="81"/>
      <c r="Q151" s="81"/>
      <c r="R151" s="81"/>
      <c r="S151" s="81"/>
      <c r="T151" s="139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212"/>
      <c r="AG151" s="100"/>
    </row>
    <row r="152" spans="1:33" ht="15.75" customHeight="1" x14ac:dyDescent="0.25">
      <c r="A152" s="100">
        <v>0</v>
      </c>
      <c r="B152" s="81"/>
      <c r="C152" s="81"/>
      <c r="D152" s="81"/>
      <c r="E152" s="139"/>
      <c r="F152" s="139"/>
      <c r="G152" s="139"/>
      <c r="H152" s="35"/>
      <c r="I152" s="139"/>
      <c r="J152" s="81"/>
      <c r="K152" s="81"/>
      <c r="L152" s="81"/>
      <c r="M152" s="81"/>
      <c r="N152" s="81"/>
      <c r="O152" s="139"/>
      <c r="P152" s="81"/>
      <c r="Q152" s="81"/>
      <c r="R152" s="81"/>
      <c r="S152" s="81"/>
      <c r="T152" s="139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212"/>
      <c r="AG152" s="100"/>
    </row>
    <row r="153" spans="1:33" ht="15.75" customHeight="1" x14ac:dyDescent="0.25">
      <c r="A153" s="100">
        <v>0</v>
      </c>
      <c r="B153" s="81"/>
      <c r="C153" s="81"/>
      <c r="D153" s="81"/>
      <c r="E153" s="139"/>
      <c r="F153" s="139"/>
      <c r="G153" s="139"/>
      <c r="H153" s="35"/>
      <c r="I153" s="139"/>
      <c r="J153" s="81"/>
      <c r="K153" s="81"/>
      <c r="L153" s="81"/>
      <c r="M153" s="81"/>
      <c r="N153" s="81"/>
      <c r="O153" s="139"/>
      <c r="P153" s="81"/>
      <c r="Q153" s="81"/>
      <c r="R153" s="81"/>
      <c r="S153" s="81"/>
      <c r="T153" s="139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212"/>
      <c r="AG153" s="100"/>
    </row>
    <row r="154" spans="1:33" ht="15.75" customHeight="1" x14ac:dyDescent="0.25">
      <c r="A154" s="100">
        <v>0</v>
      </c>
      <c r="B154" s="81"/>
      <c r="C154" s="81"/>
      <c r="D154" s="81"/>
      <c r="E154" s="139"/>
      <c r="F154" s="139"/>
      <c r="G154" s="139"/>
      <c r="H154" s="35"/>
      <c r="I154" s="139"/>
      <c r="J154" s="81"/>
      <c r="K154" s="139"/>
      <c r="L154" s="81"/>
      <c r="M154" s="81"/>
      <c r="N154" s="81"/>
      <c r="O154" s="139"/>
      <c r="P154" s="81"/>
      <c r="Q154" s="81"/>
      <c r="R154" s="81"/>
      <c r="S154" s="81"/>
      <c r="T154" s="139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212"/>
      <c r="AG154" s="100"/>
    </row>
    <row r="155" spans="1:33" ht="15.75" customHeight="1" x14ac:dyDescent="0.25">
      <c r="A155" s="100">
        <v>0</v>
      </c>
      <c r="B155" s="81"/>
      <c r="C155" s="81"/>
      <c r="D155" s="81"/>
      <c r="E155" s="139"/>
      <c r="F155" s="139"/>
      <c r="G155" s="139"/>
      <c r="H155" s="35"/>
      <c r="I155" s="139"/>
      <c r="J155" s="81"/>
      <c r="K155" s="81"/>
      <c r="L155" s="81"/>
      <c r="M155" s="81"/>
      <c r="N155" s="81"/>
      <c r="O155" s="139"/>
      <c r="P155" s="81"/>
      <c r="Q155" s="81"/>
      <c r="R155" s="81"/>
      <c r="S155" s="81"/>
      <c r="T155" s="139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212"/>
      <c r="AG155" s="100"/>
    </row>
    <row r="156" spans="1:33" ht="15.75" customHeight="1" x14ac:dyDescent="0.25">
      <c r="A156" s="100">
        <v>0</v>
      </c>
      <c r="B156" s="81"/>
      <c r="C156" s="81"/>
      <c r="D156" s="81"/>
      <c r="E156" s="139"/>
      <c r="F156" s="139"/>
      <c r="G156" s="139"/>
      <c r="H156" s="35"/>
      <c r="I156" s="139"/>
      <c r="J156" s="81"/>
      <c r="K156" s="81"/>
      <c r="L156" s="81"/>
      <c r="M156" s="81"/>
      <c r="N156" s="81"/>
      <c r="O156" s="139"/>
      <c r="P156" s="81"/>
      <c r="Q156" s="81"/>
      <c r="R156" s="81"/>
      <c r="S156" s="81"/>
      <c r="T156" s="139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212"/>
      <c r="AG156" s="100"/>
    </row>
    <row r="157" spans="1:33" ht="15.75" customHeight="1" x14ac:dyDescent="0.25">
      <c r="A157" s="100">
        <v>0</v>
      </c>
      <c r="B157" s="81"/>
      <c r="C157" s="81"/>
      <c r="D157" s="81"/>
      <c r="E157" s="139"/>
      <c r="F157" s="139"/>
      <c r="G157" s="139"/>
      <c r="H157" s="35"/>
      <c r="I157" s="139"/>
      <c r="J157" s="81"/>
      <c r="K157" s="81"/>
      <c r="L157" s="81"/>
      <c r="M157" s="81"/>
      <c r="N157" s="81"/>
      <c r="O157" s="139"/>
      <c r="P157" s="81"/>
      <c r="Q157" s="81"/>
      <c r="R157" s="81"/>
      <c r="S157" s="81"/>
      <c r="T157" s="139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212"/>
      <c r="AG157" s="100"/>
    </row>
    <row r="158" spans="1:33" ht="15.75" customHeight="1" x14ac:dyDescent="0.25">
      <c r="A158" s="100">
        <v>0</v>
      </c>
      <c r="B158" s="81"/>
      <c r="C158" s="81"/>
      <c r="D158" s="81"/>
      <c r="E158" s="139"/>
      <c r="F158" s="139"/>
      <c r="G158" s="139"/>
      <c r="H158" s="35"/>
      <c r="I158" s="139"/>
      <c r="J158" s="81"/>
      <c r="K158" s="81"/>
      <c r="L158" s="81"/>
      <c r="M158" s="81"/>
      <c r="N158" s="81"/>
      <c r="O158" s="139"/>
      <c r="P158" s="81"/>
      <c r="Q158" s="81"/>
      <c r="R158" s="81"/>
      <c r="S158" s="81"/>
      <c r="T158" s="139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212"/>
      <c r="AG158" s="100"/>
    </row>
    <row r="159" spans="1:33" ht="15.75" customHeight="1" x14ac:dyDescent="0.25">
      <c r="A159" s="100">
        <v>0</v>
      </c>
      <c r="B159" s="81"/>
      <c r="C159" s="81"/>
      <c r="D159" s="81"/>
      <c r="E159" s="139"/>
      <c r="F159" s="139"/>
      <c r="G159" s="139"/>
      <c r="H159" s="35"/>
      <c r="I159" s="139"/>
      <c r="J159" s="81"/>
      <c r="K159" s="81"/>
      <c r="L159" s="81"/>
      <c r="M159" s="81"/>
      <c r="N159" s="81"/>
      <c r="O159" s="139"/>
      <c r="P159" s="81"/>
      <c r="Q159" s="81"/>
      <c r="R159" s="81"/>
      <c r="S159" s="81"/>
      <c r="T159" s="139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212"/>
      <c r="AG159" s="100"/>
    </row>
    <row r="160" spans="1:33" ht="15.75" customHeight="1" x14ac:dyDescent="0.3">
      <c r="B160" s="214"/>
      <c r="C160" s="214"/>
      <c r="D160" s="214"/>
      <c r="E160" s="216"/>
      <c r="F160" s="216"/>
      <c r="G160" s="216"/>
      <c r="H160" s="216"/>
      <c r="I160" s="216"/>
      <c r="J160" s="216"/>
      <c r="K160" s="214"/>
      <c r="L160" s="214"/>
      <c r="M160" s="214"/>
      <c r="N160" s="216"/>
      <c r="O160" s="216"/>
      <c r="P160" s="214"/>
      <c r="Q160" s="214"/>
      <c r="R160" s="214"/>
      <c r="S160" s="214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  <c r="AD160" s="216"/>
      <c r="AE160" s="216"/>
      <c r="AF160" s="218"/>
      <c r="AG160" s="219"/>
    </row>
    <row r="161" spans="1:33" ht="15.75" customHeight="1" x14ac:dyDescent="0.25"/>
    <row r="162" spans="1:33" ht="15.75" customHeight="1" x14ac:dyDescent="0.25">
      <c r="A162" s="100">
        <v>0</v>
      </c>
      <c r="B162" s="203" t="str">
        <f ca="1">IFERROR(__xludf.DUMMYFUNCTION("Importrange(""https://docs.google.com/spreadsheets/d/1REAL0hllI7xusaL94GlYhGmI3hen_ZcSId68JnXRpLk/edit?gid=154458445#"",""Personnel Cost!A2:AE15"")"),"#REF!")</f>
        <v>#REF!</v>
      </c>
      <c r="C162" s="81"/>
      <c r="D162" s="81"/>
      <c r="E162" s="139"/>
      <c r="F162" s="139"/>
      <c r="G162" s="139"/>
      <c r="H162" s="35"/>
      <c r="I162" s="139"/>
      <c r="J162" s="81"/>
      <c r="K162" s="81"/>
      <c r="L162" s="81"/>
      <c r="M162" s="81"/>
      <c r="N162" s="81"/>
      <c r="O162" s="139"/>
      <c r="P162" s="81"/>
      <c r="Q162" s="81"/>
      <c r="R162" s="81"/>
      <c r="S162" s="81"/>
      <c r="T162" s="139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212"/>
      <c r="AG162" s="100"/>
    </row>
    <row r="163" spans="1:33" ht="15.75" customHeight="1" x14ac:dyDescent="0.25">
      <c r="A163" s="100">
        <v>0</v>
      </c>
      <c r="B163" s="81"/>
      <c r="C163" s="81"/>
      <c r="D163" s="81"/>
      <c r="E163" s="139"/>
      <c r="F163" s="139"/>
      <c r="G163" s="139"/>
      <c r="H163" s="35"/>
      <c r="I163" s="139"/>
      <c r="J163" s="81"/>
      <c r="K163" s="81"/>
      <c r="L163" s="81"/>
      <c r="M163" s="81"/>
      <c r="N163" s="81"/>
      <c r="O163" s="139"/>
      <c r="P163" s="81"/>
      <c r="Q163" s="81"/>
      <c r="R163" s="81"/>
      <c r="S163" s="81"/>
      <c r="T163" s="139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212"/>
      <c r="AG163" s="100"/>
    </row>
    <row r="164" spans="1:33" ht="15.75" customHeight="1" x14ac:dyDescent="0.25">
      <c r="A164" s="100">
        <v>0</v>
      </c>
      <c r="B164" s="81"/>
      <c r="C164" s="81"/>
      <c r="D164" s="81"/>
      <c r="E164" s="139"/>
      <c r="F164" s="139"/>
      <c r="G164" s="139"/>
      <c r="H164" s="35"/>
      <c r="I164" s="139"/>
      <c r="J164" s="81"/>
      <c r="K164" s="81"/>
      <c r="L164" s="81"/>
      <c r="M164" s="81"/>
      <c r="N164" s="81"/>
      <c r="O164" s="139"/>
      <c r="P164" s="81"/>
      <c r="Q164" s="81"/>
      <c r="R164" s="81"/>
      <c r="S164" s="81"/>
      <c r="T164" s="139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212"/>
      <c r="AG164" s="100"/>
    </row>
    <row r="165" spans="1:33" ht="15.75" customHeight="1" x14ac:dyDescent="0.25">
      <c r="A165" s="100">
        <v>0</v>
      </c>
      <c r="B165" s="81"/>
      <c r="C165" s="81"/>
      <c r="D165" s="81"/>
      <c r="E165" s="139"/>
      <c r="F165" s="139"/>
      <c r="G165" s="139"/>
      <c r="H165" s="35"/>
      <c r="I165" s="139"/>
      <c r="J165" s="81"/>
      <c r="K165" s="81"/>
      <c r="L165" s="81"/>
      <c r="M165" s="81"/>
      <c r="N165" s="81"/>
      <c r="O165" s="139"/>
      <c r="P165" s="81"/>
      <c r="Q165" s="81"/>
      <c r="R165" s="81"/>
      <c r="S165" s="81"/>
      <c r="T165" s="139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212"/>
      <c r="AG165" s="100"/>
    </row>
    <row r="166" spans="1:33" ht="15.75" customHeight="1" x14ac:dyDescent="0.25">
      <c r="A166" s="100">
        <v>0</v>
      </c>
      <c r="B166" s="81"/>
      <c r="C166" s="81"/>
      <c r="D166" s="81"/>
      <c r="E166" s="139"/>
      <c r="F166" s="139"/>
      <c r="G166" s="139"/>
      <c r="H166" s="35"/>
      <c r="I166" s="139"/>
      <c r="J166" s="81"/>
      <c r="K166" s="81"/>
      <c r="L166" s="81"/>
      <c r="M166" s="81"/>
      <c r="N166" s="81"/>
      <c r="O166" s="139"/>
      <c r="P166" s="81"/>
      <c r="Q166" s="81"/>
      <c r="R166" s="81"/>
      <c r="S166" s="81"/>
      <c r="T166" s="139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212"/>
      <c r="AG166" s="100"/>
    </row>
    <row r="167" spans="1:33" ht="15.75" customHeight="1" x14ac:dyDescent="0.25">
      <c r="A167" s="100">
        <v>0</v>
      </c>
      <c r="B167" s="81"/>
      <c r="C167" s="81"/>
      <c r="D167" s="81"/>
      <c r="E167" s="139"/>
      <c r="F167" s="139"/>
      <c r="G167" s="139"/>
      <c r="H167" s="35"/>
      <c r="I167" s="139"/>
      <c r="J167" s="81"/>
      <c r="K167" s="81"/>
      <c r="L167" s="81"/>
      <c r="M167" s="81"/>
      <c r="N167" s="81"/>
      <c r="O167" s="139"/>
      <c r="P167" s="81"/>
      <c r="Q167" s="81"/>
      <c r="R167" s="81"/>
      <c r="S167" s="81"/>
      <c r="T167" s="139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212"/>
      <c r="AG167" s="100"/>
    </row>
    <row r="168" spans="1:33" ht="15.75" customHeight="1" x14ac:dyDescent="0.25">
      <c r="A168" s="100">
        <v>0</v>
      </c>
      <c r="B168" s="81"/>
      <c r="C168" s="81"/>
      <c r="D168" s="81"/>
      <c r="E168" s="139"/>
      <c r="F168" s="139"/>
      <c r="G168" s="139"/>
      <c r="H168" s="35"/>
      <c r="I168" s="139"/>
      <c r="J168" s="81"/>
      <c r="K168" s="81"/>
      <c r="L168" s="81"/>
      <c r="M168" s="81"/>
      <c r="N168" s="81"/>
      <c r="O168" s="139"/>
      <c r="P168" s="81"/>
      <c r="Q168" s="81"/>
      <c r="R168" s="81"/>
      <c r="S168" s="81"/>
      <c r="T168" s="139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212"/>
      <c r="AG168" s="100"/>
    </row>
    <row r="169" spans="1:33" ht="15.75" customHeight="1" x14ac:dyDescent="0.25">
      <c r="A169" s="100">
        <v>0</v>
      </c>
      <c r="B169" s="81"/>
      <c r="C169" s="81"/>
      <c r="D169" s="81"/>
      <c r="E169" s="139"/>
      <c r="F169" s="139"/>
      <c r="G169" s="139"/>
      <c r="H169" s="35"/>
      <c r="I169" s="139"/>
      <c r="J169" s="81"/>
      <c r="K169" s="81"/>
      <c r="L169" s="81"/>
      <c r="M169" s="81"/>
      <c r="N169" s="81"/>
      <c r="O169" s="139"/>
      <c r="P169" s="81"/>
      <c r="Q169" s="81"/>
      <c r="R169" s="81"/>
      <c r="S169" s="81"/>
      <c r="T169" s="139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212"/>
      <c r="AG169" s="100"/>
    </row>
    <row r="170" spans="1:33" ht="15.75" customHeight="1" x14ac:dyDescent="0.25">
      <c r="A170" s="100">
        <v>0</v>
      </c>
      <c r="B170" s="81"/>
      <c r="C170" s="81"/>
      <c r="D170" s="81"/>
      <c r="E170" s="139"/>
      <c r="F170" s="139"/>
      <c r="G170" s="139"/>
      <c r="H170" s="35"/>
      <c r="I170" s="139"/>
      <c r="J170" s="81"/>
      <c r="K170" s="81"/>
      <c r="L170" s="81"/>
      <c r="M170" s="81"/>
      <c r="N170" s="81"/>
      <c r="O170" s="139"/>
      <c r="P170" s="81"/>
      <c r="Q170" s="81"/>
      <c r="R170" s="81"/>
      <c r="S170" s="81"/>
      <c r="T170" s="139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212"/>
      <c r="AG170" s="100"/>
    </row>
    <row r="171" spans="1:33" ht="15.75" customHeight="1" x14ac:dyDescent="0.25">
      <c r="A171" s="100">
        <v>0</v>
      </c>
      <c r="B171" s="81"/>
      <c r="C171" s="81"/>
      <c r="D171" s="81"/>
      <c r="E171" s="139"/>
      <c r="F171" s="139"/>
      <c r="G171" s="139"/>
      <c r="H171" s="35"/>
      <c r="I171" s="139"/>
      <c r="J171" s="81"/>
      <c r="K171" s="81"/>
      <c r="L171" s="81"/>
      <c r="M171" s="81"/>
      <c r="N171" s="81"/>
      <c r="O171" s="139"/>
      <c r="P171" s="81"/>
      <c r="Q171" s="81"/>
      <c r="R171" s="81"/>
      <c r="S171" s="81"/>
      <c r="T171" s="139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212"/>
      <c r="AG171" s="100"/>
    </row>
    <row r="172" spans="1:33" ht="15.75" customHeight="1" x14ac:dyDescent="0.25">
      <c r="A172" s="100">
        <v>0</v>
      </c>
      <c r="B172" s="81"/>
      <c r="C172" s="81"/>
      <c r="D172" s="81"/>
      <c r="E172" s="139"/>
      <c r="F172" s="139"/>
      <c r="G172" s="139"/>
      <c r="H172" s="35"/>
      <c r="I172" s="139"/>
      <c r="J172" s="81"/>
      <c r="K172" s="81"/>
      <c r="L172" s="81"/>
      <c r="M172" s="81"/>
      <c r="N172" s="81"/>
      <c r="O172" s="139"/>
      <c r="P172" s="81"/>
      <c r="Q172" s="81"/>
      <c r="R172" s="81"/>
      <c r="S172" s="81"/>
      <c r="T172" s="139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212"/>
      <c r="AG172" s="100"/>
    </row>
    <row r="173" spans="1:33" ht="15.75" customHeight="1" x14ac:dyDescent="0.25">
      <c r="A173" s="100">
        <v>0</v>
      </c>
      <c r="B173" s="81"/>
      <c r="C173" s="81"/>
      <c r="D173" s="81"/>
      <c r="E173" s="139"/>
      <c r="F173" s="139"/>
      <c r="G173" s="139"/>
      <c r="H173" s="35"/>
      <c r="I173" s="139"/>
      <c r="J173" s="81"/>
      <c r="K173" s="81"/>
      <c r="L173" s="81"/>
      <c r="M173" s="81"/>
      <c r="N173" s="81"/>
      <c r="O173" s="139"/>
      <c r="P173" s="81"/>
      <c r="Q173" s="81"/>
      <c r="R173" s="81"/>
      <c r="S173" s="81"/>
      <c r="T173" s="139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212"/>
      <c r="AG173" s="100"/>
    </row>
    <row r="174" spans="1:33" ht="15.75" customHeight="1" x14ac:dyDescent="0.25">
      <c r="A174" s="100">
        <v>0</v>
      </c>
      <c r="B174" s="81"/>
      <c r="C174" s="81"/>
      <c r="D174" s="81"/>
      <c r="E174" s="139"/>
      <c r="F174" s="139"/>
      <c r="G174" s="139"/>
      <c r="H174" s="35"/>
      <c r="I174" s="139"/>
      <c r="J174" s="81"/>
      <c r="K174" s="81"/>
      <c r="L174" s="81"/>
      <c r="M174" s="81"/>
      <c r="N174" s="81"/>
      <c r="O174" s="139"/>
      <c r="P174" s="81"/>
      <c r="Q174" s="81"/>
      <c r="R174" s="81"/>
      <c r="S174" s="81"/>
      <c r="T174" s="139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212"/>
      <c r="AG174" s="100"/>
    </row>
    <row r="175" spans="1:33" ht="15.75" customHeight="1" x14ac:dyDescent="0.3">
      <c r="B175" s="214"/>
      <c r="C175" s="214"/>
      <c r="D175" s="214"/>
      <c r="E175" s="216"/>
      <c r="F175" s="216"/>
      <c r="G175" s="216"/>
      <c r="H175" s="216"/>
      <c r="I175" s="216"/>
      <c r="J175" s="216"/>
      <c r="K175" s="214"/>
      <c r="L175" s="214"/>
      <c r="M175" s="214"/>
      <c r="N175" s="216"/>
      <c r="O175" s="216"/>
      <c r="P175" s="214"/>
      <c r="Q175" s="214"/>
      <c r="R175" s="214"/>
      <c r="S175" s="214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  <c r="AE175" s="216"/>
      <c r="AF175" s="218"/>
      <c r="AG175" s="219"/>
    </row>
    <row r="176" spans="1:33" ht="15.75" customHeight="1" x14ac:dyDescent="0.25"/>
    <row r="177" spans="1:33" ht="15.75" customHeight="1" x14ac:dyDescent="0.25">
      <c r="A177" s="100">
        <v>0</v>
      </c>
      <c r="B177" s="203" t="str">
        <f ca="1">IFERROR(__xludf.DUMMYFUNCTION("Importrange(""https://docs.google.com/spreadsheets/d/1REAL0hllI7xusaL94GlYhGmI3hen_ZcSId68JnXRpLk/edit?gid=154458445#"",""Personnel Cost!A34:AE44"")"),"#REF!")</f>
        <v>#REF!</v>
      </c>
      <c r="C177" s="81"/>
      <c r="D177" s="81"/>
      <c r="E177" s="139"/>
      <c r="F177" s="139"/>
      <c r="G177" s="139"/>
      <c r="H177" s="35"/>
      <c r="I177" s="139"/>
      <c r="J177" s="81"/>
      <c r="K177" s="81"/>
      <c r="L177" s="81"/>
      <c r="M177" s="81"/>
      <c r="N177" s="81"/>
      <c r="O177" s="139"/>
      <c r="P177" s="81"/>
      <c r="Q177" s="81"/>
      <c r="R177" s="81"/>
      <c r="S177" s="81"/>
      <c r="T177" s="139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212"/>
      <c r="AG177" s="100"/>
    </row>
    <row r="178" spans="1:33" ht="15.75" customHeight="1" x14ac:dyDescent="0.25">
      <c r="A178" s="100">
        <v>0</v>
      </c>
      <c r="B178" s="81"/>
      <c r="C178" s="81"/>
      <c r="D178" s="81"/>
      <c r="E178" s="139"/>
      <c r="F178" s="139"/>
      <c r="G178" s="139"/>
      <c r="H178" s="35"/>
      <c r="I178" s="139"/>
      <c r="J178" s="81"/>
      <c r="K178" s="81"/>
      <c r="L178" s="81"/>
      <c r="M178" s="81"/>
      <c r="N178" s="81"/>
      <c r="O178" s="139"/>
      <c r="P178" s="81"/>
      <c r="Q178" s="81"/>
      <c r="R178" s="81"/>
      <c r="S178" s="81"/>
      <c r="T178" s="139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212"/>
      <c r="AG178" s="100"/>
    </row>
    <row r="179" spans="1:33" ht="15.75" customHeight="1" x14ac:dyDescent="0.25">
      <c r="A179" s="100">
        <v>0</v>
      </c>
      <c r="B179" s="81"/>
      <c r="C179" s="81"/>
      <c r="D179" s="81"/>
      <c r="E179" s="139"/>
      <c r="F179" s="139"/>
      <c r="G179" s="139"/>
      <c r="H179" s="35"/>
      <c r="I179" s="139"/>
      <c r="J179" s="81"/>
      <c r="K179" s="81"/>
      <c r="L179" s="81"/>
      <c r="M179" s="81"/>
      <c r="N179" s="81"/>
      <c r="O179" s="139"/>
      <c r="P179" s="81"/>
      <c r="Q179" s="81"/>
      <c r="R179" s="81"/>
      <c r="S179" s="81"/>
      <c r="T179" s="139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212"/>
      <c r="AG179" s="100"/>
    </row>
    <row r="180" spans="1:33" ht="15.75" customHeight="1" x14ac:dyDescent="0.25">
      <c r="A180" s="100">
        <v>0</v>
      </c>
      <c r="B180" s="81"/>
      <c r="C180" s="81"/>
      <c r="D180" s="81"/>
      <c r="E180" s="139"/>
      <c r="F180" s="139"/>
      <c r="G180" s="139"/>
      <c r="H180" s="35"/>
      <c r="I180" s="139"/>
      <c r="J180" s="81"/>
      <c r="K180" s="81"/>
      <c r="L180" s="81"/>
      <c r="M180" s="81"/>
      <c r="N180" s="81"/>
      <c r="O180" s="139"/>
      <c r="P180" s="81"/>
      <c r="Q180" s="81"/>
      <c r="R180" s="81"/>
      <c r="S180" s="81"/>
      <c r="T180" s="139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212"/>
      <c r="AG180" s="100"/>
    </row>
    <row r="181" spans="1:33" ht="15.75" customHeight="1" x14ac:dyDescent="0.25">
      <c r="A181" s="100">
        <v>0</v>
      </c>
      <c r="B181" s="81"/>
      <c r="C181" s="81"/>
      <c r="D181" s="81"/>
      <c r="E181" s="139"/>
      <c r="F181" s="139"/>
      <c r="G181" s="139"/>
      <c r="H181" s="35"/>
      <c r="I181" s="139"/>
      <c r="J181" s="81"/>
      <c r="K181" s="139"/>
      <c r="L181" s="81"/>
      <c r="M181" s="81"/>
      <c r="N181" s="81"/>
      <c r="O181" s="139"/>
      <c r="P181" s="81"/>
      <c r="Q181" s="81"/>
      <c r="R181" s="81"/>
      <c r="S181" s="81"/>
      <c r="T181" s="139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212"/>
      <c r="AG181" s="100"/>
    </row>
    <row r="182" spans="1:33" ht="15.75" customHeight="1" x14ac:dyDescent="0.25">
      <c r="A182" s="100">
        <v>0</v>
      </c>
      <c r="B182" s="81"/>
      <c r="C182" s="81"/>
      <c r="D182" s="81"/>
      <c r="E182" s="139"/>
      <c r="F182" s="139"/>
      <c r="G182" s="139"/>
      <c r="H182" s="35"/>
      <c r="I182" s="139"/>
      <c r="J182" s="81"/>
      <c r="K182" s="81"/>
      <c r="L182" s="81"/>
      <c r="M182" s="81"/>
      <c r="N182" s="81"/>
      <c r="O182" s="139"/>
      <c r="P182" s="81"/>
      <c r="Q182" s="81"/>
      <c r="R182" s="81"/>
      <c r="S182" s="81"/>
      <c r="T182" s="139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212"/>
      <c r="AG182" s="100"/>
    </row>
    <row r="183" spans="1:33" ht="15.75" customHeight="1" x14ac:dyDescent="0.25">
      <c r="A183" s="100">
        <v>0</v>
      </c>
      <c r="B183" s="81"/>
      <c r="C183" s="81"/>
      <c r="D183" s="81"/>
      <c r="E183" s="139"/>
      <c r="F183" s="139"/>
      <c r="G183" s="139"/>
      <c r="H183" s="35"/>
      <c r="I183" s="139"/>
      <c r="J183" s="81"/>
      <c r="K183" s="81"/>
      <c r="L183" s="81"/>
      <c r="M183" s="81"/>
      <c r="N183" s="81"/>
      <c r="O183" s="139"/>
      <c r="P183" s="81"/>
      <c r="Q183" s="81"/>
      <c r="R183" s="81"/>
      <c r="S183" s="81"/>
      <c r="T183" s="139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212"/>
      <c r="AG183" s="100"/>
    </row>
    <row r="184" spans="1:33" ht="15.75" customHeight="1" x14ac:dyDescent="0.25">
      <c r="A184" s="100">
        <v>0</v>
      </c>
      <c r="B184" s="81"/>
      <c r="C184" s="81"/>
      <c r="D184" s="81"/>
      <c r="E184" s="139"/>
      <c r="F184" s="139"/>
      <c r="G184" s="139"/>
      <c r="H184" s="35"/>
      <c r="I184" s="139"/>
      <c r="J184" s="81"/>
      <c r="K184" s="81"/>
      <c r="L184" s="81"/>
      <c r="M184" s="81"/>
      <c r="N184" s="81"/>
      <c r="O184" s="139"/>
      <c r="P184" s="81"/>
      <c r="Q184" s="81"/>
      <c r="R184" s="81"/>
      <c r="S184" s="81"/>
      <c r="T184" s="139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212"/>
      <c r="AG184" s="100"/>
    </row>
    <row r="185" spans="1:33" ht="15.75" customHeight="1" x14ac:dyDescent="0.25">
      <c r="A185" s="100">
        <v>0</v>
      </c>
      <c r="B185" s="81"/>
      <c r="C185" s="81"/>
      <c r="D185" s="81"/>
      <c r="E185" s="139"/>
      <c r="F185" s="139"/>
      <c r="G185" s="139"/>
      <c r="H185" s="35"/>
      <c r="I185" s="139"/>
      <c r="J185" s="81"/>
      <c r="K185" s="81"/>
      <c r="L185" s="81"/>
      <c r="M185" s="81"/>
      <c r="N185" s="81"/>
      <c r="O185" s="139"/>
      <c r="P185" s="81"/>
      <c r="Q185" s="81"/>
      <c r="R185" s="81"/>
      <c r="S185" s="81"/>
      <c r="T185" s="139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212"/>
      <c r="AG185" s="100"/>
    </row>
    <row r="186" spans="1:33" ht="15.75" customHeight="1" x14ac:dyDescent="0.25">
      <c r="A186" s="100">
        <v>0</v>
      </c>
      <c r="B186" s="81"/>
      <c r="C186" s="81"/>
      <c r="D186" s="81"/>
      <c r="E186" s="139"/>
      <c r="F186" s="139"/>
      <c r="G186" s="139"/>
      <c r="H186" s="35"/>
      <c r="I186" s="139"/>
      <c r="J186" s="81"/>
      <c r="K186" s="81"/>
      <c r="L186" s="81"/>
      <c r="M186" s="81"/>
      <c r="N186" s="81"/>
      <c r="O186" s="139"/>
      <c r="P186" s="81"/>
      <c r="Q186" s="81"/>
      <c r="R186" s="81"/>
      <c r="S186" s="81"/>
      <c r="T186" s="139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212"/>
      <c r="AG186" s="100"/>
    </row>
    <row r="187" spans="1:33" ht="15.75" customHeight="1" x14ac:dyDescent="0.3">
      <c r="B187" s="214"/>
      <c r="C187" s="214"/>
      <c r="D187" s="214"/>
      <c r="E187" s="216"/>
      <c r="F187" s="216"/>
      <c r="G187" s="216"/>
      <c r="H187" s="216"/>
      <c r="I187" s="216"/>
      <c r="J187" s="216"/>
      <c r="K187" s="214"/>
      <c r="L187" s="214"/>
      <c r="M187" s="214"/>
      <c r="N187" s="216"/>
      <c r="O187" s="216"/>
      <c r="P187" s="214"/>
      <c r="Q187" s="214"/>
      <c r="R187" s="214"/>
      <c r="S187" s="214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  <c r="AE187" s="216"/>
      <c r="AF187" s="218"/>
      <c r="AG187" s="219"/>
    </row>
    <row r="188" spans="1:33" ht="15.75" customHeight="1" x14ac:dyDescent="0.25"/>
    <row r="189" spans="1:33" ht="15.75" customHeight="1" x14ac:dyDescent="0.25">
      <c r="A189" s="100">
        <v>0</v>
      </c>
      <c r="B189" s="203" t="str">
        <f ca="1">IFERROR(__xludf.DUMMYFUNCTION("Importrange(""https://docs.google.com/spreadsheets/d/1REAL0hllI7xusaL94GlYhGmI3hen_ZcSId68JnXRpLk/edit?gid=154458445#"",""Personnel Cost!A57:AE67"")"),"#REF!")</f>
        <v>#REF!</v>
      </c>
      <c r="C189" s="81"/>
      <c r="D189" s="81"/>
      <c r="E189" s="139"/>
      <c r="F189" s="139"/>
      <c r="G189" s="139"/>
      <c r="H189" s="35"/>
      <c r="I189" s="139"/>
      <c r="J189" s="81"/>
      <c r="K189" s="81"/>
      <c r="L189" s="81"/>
      <c r="M189" s="81"/>
      <c r="N189" s="81"/>
      <c r="O189" s="139"/>
      <c r="P189" s="81"/>
      <c r="Q189" s="81"/>
      <c r="R189" s="81"/>
      <c r="S189" s="81"/>
      <c r="T189" s="139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212"/>
      <c r="AG189" s="100"/>
    </row>
    <row r="190" spans="1:33" ht="15.75" customHeight="1" x14ac:dyDescent="0.25">
      <c r="A190" s="100">
        <v>0</v>
      </c>
      <c r="B190" s="81"/>
      <c r="C190" s="81"/>
      <c r="D190" s="81"/>
      <c r="E190" s="139"/>
      <c r="F190" s="139"/>
      <c r="G190" s="139"/>
      <c r="H190" s="35"/>
      <c r="I190" s="139"/>
      <c r="J190" s="81"/>
      <c r="K190" s="81"/>
      <c r="L190" s="81"/>
      <c r="M190" s="81"/>
      <c r="N190" s="81"/>
      <c r="O190" s="139"/>
      <c r="P190" s="81"/>
      <c r="Q190" s="81"/>
      <c r="R190" s="81"/>
      <c r="S190" s="81"/>
      <c r="T190" s="139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212"/>
      <c r="AG190" s="100"/>
    </row>
    <row r="191" spans="1:33" ht="15.75" customHeight="1" x14ac:dyDescent="0.25">
      <c r="A191" s="100">
        <v>0</v>
      </c>
      <c r="B191" s="81"/>
      <c r="C191" s="81"/>
      <c r="D191" s="81"/>
      <c r="E191" s="139"/>
      <c r="F191" s="139"/>
      <c r="G191" s="139"/>
      <c r="H191" s="35"/>
      <c r="I191" s="139"/>
      <c r="J191" s="81"/>
      <c r="K191" s="81"/>
      <c r="L191" s="81"/>
      <c r="M191" s="81"/>
      <c r="N191" s="81"/>
      <c r="O191" s="139"/>
      <c r="P191" s="81"/>
      <c r="Q191" s="81"/>
      <c r="R191" s="81"/>
      <c r="S191" s="81"/>
      <c r="T191" s="139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212"/>
      <c r="AG191" s="100"/>
    </row>
    <row r="192" spans="1:33" ht="15.75" customHeight="1" x14ac:dyDescent="0.25">
      <c r="A192" s="100">
        <v>0</v>
      </c>
      <c r="B192" s="81"/>
      <c r="C192" s="81"/>
      <c r="D192" s="81"/>
      <c r="E192" s="139"/>
      <c r="F192" s="139"/>
      <c r="G192" s="139"/>
      <c r="H192" s="35"/>
      <c r="I192" s="139"/>
      <c r="J192" s="81"/>
      <c r="K192" s="81"/>
      <c r="L192" s="81"/>
      <c r="M192" s="81"/>
      <c r="N192" s="81"/>
      <c r="O192" s="139"/>
      <c r="P192" s="81"/>
      <c r="Q192" s="81"/>
      <c r="R192" s="81"/>
      <c r="S192" s="81"/>
      <c r="T192" s="139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212"/>
      <c r="AG192" s="100"/>
    </row>
    <row r="193" spans="1:33" ht="15.75" customHeight="1" x14ac:dyDescent="0.25">
      <c r="A193" s="100">
        <v>0</v>
      </c>
      <c r="B193" s="81"/>
      <c r="C193" s="81"/>
      <c r="D193" s="81"/>
      <c r="E193" s="139"/>
      <c r="F193" s="139"/>
      <c r="G193" s="139"/>
      <c r="H193" s="35"/>
      <c r="I193" s="139"/>
      <c r="J193" s="81"/>
      <c r="K193" s="139"/>
      <c r="L193" s="81"/>
      <c r="M193" s="81"/>
      <c r="N193" s="81"/>
      <c r="O193" s="139"/>
      <c r="P193" s="81"/>
      <c r="Q193" s="81"/>
      <c r="R193" s="81"/>
      <c r="S193" s="81"/>
      <c r="T193" s="139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212"/>
      <c r="AG193" s="100"/>
    </row>
    <row r="194" spans="1:33" ht="15.75" customHeight="1" x14ac:dyDescent="0.25">
      <c r="A194" s="100">
        <v>0</v>
      </c>
      <c r="B194" s="81"/>
      <c r="C194" s="81"/>
      <c r="D194" s="81"/>
      <c r="E194" s="139"/>
      <c r="F194" s="139"/>
      <c r="G194" s="139"/>
      <c r="H194" s="35"/>
      <c r="I194" s="139"/>
      <c r="J194" s="81"/>
      <c r="K194" s="81"/>
      <c r="L194" s="81"/>
      <c r="M194" s="81"/>
      <c r="N194" s="81"/>
      <c r="O194" s="139"/>
      <c r="P194" s="81"/>
      <c r="Q194" s="81"/>
      <c r="R194" s="81"/>
      <c r="S194" s="81"/>
      <c r="T194" s="139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212"/>
      <c r="AG194" s="100"/>
    </row>
    <row r="195" spans="1:33" ht="15.75" customHeight="1" x14ac:dyDescent="0.25">
      <c r="A195" s="100">
        <v>0</v>
      </c>
      <c r="B195" s="81"/>
      <c r="C195" s="81"/>
      <c r="D195" s="81"/>
      <c r="E195" s="139"/>
      <c r="F195" s="139"/>
      <c r="G195" s="139"/>
      <c r="H195" s="35"/>
      <c r="I195" s="139"/>
      <c r="J195" s="81"/>
      <c r="K195" s="81"/>
      <c r="L195" s="81"/>
      <c r="M195" s="81"/>
      <c r="N195" s="81"/>
      <c r="O195" s="139"/>
      <c r="P195" s="81"/>
      <c r="Q195" s="81"/>
      <c r="R195" s="81"/>
      <c r="S195" s="81"/>
      <c r="T195" s="139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212"/>
      <c r="AG195" s="100"/>
    </row>
    <row r="196" spans="1:33" ht="15.75" customHeight="1" x14ac:dyDescent="0.25">
      <c r="A196" s="100">
        <v>0</v>
      </c>
      <c r="B196" s="81"/>
      <c r="C196" s="81"/>
      <c r="D196" s="81"/>
      <c r="E196" s="139"/>
      <c r="F196" s="139"/>
      <c r="G196" s="139"/>
      <c r="H196" s="35"/>
      <c r="I196" s="139"/>
      <c r="J196" s="81"/>
      <c r="K196" s="81"/>
      <c r="L196" s="81"/>
      <c r="M196" s="81"/>
      <c r="N196" s="81"/>
      <c r="O196" s="139"/>
      <c r="P196" s="81"/>
      <c r="Q196" s="81"/>
      <c r="R196" s="81"/>
      <c r="S196" s="81"/>
      <c r="T196" s="139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212"/>
      <c r="AG196" s="100"/>
    </row>
    <row r="197" spans="1:33" ht="15.75" customHeight="1" x14ac:dyDescent="0.25">
      <c r="A197" s="100">
        <v>0</v>
      </c>
      <c r="B197" s="81"/>
      <c r="C197" s="81"/>
      <c r="D197" s="81"/>
      <c r="E197" s="139"/>
      <c r="F197" s="139"/>
      <c r="G197" s="139"/>
      <c r="H197" s="35"/>
      <c r="I197" s="139"/>
      <c r="J197" s="81"/>
      <c r="K197" s="81"/>
      <c r="L197" s="81"/>
      <c r="M197" s="81"/>
      <c r="N197" s="81"/>
      <c r="O197" s="139"/>
      <c r="P197" s="81"/>
      <c r="Q197" s="81"/>
      <c r="R197" s="81"/>
      <c r="S197" s="81"/>
      <c r="T197" s="139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212"/>
      <c r="AG197" s="100"/>
    </row>
    <row r="198" spans="1:33" ht="15.75" customHeight="1" x14ac:dyDescent="0.25">
      <c r="A198" s="100">
        <v>0</v>
      </c>
      <c r="B198" s="81"/>
      <c r="C198" s="81"/>
      <c r="D198" s="81"/>
      <c r="E198" s="139"/>
      <c r="F198" s="139"/>
      <c r="G198" s="139"/>
      <c r="H198" s="35"/>
      <c r="I198" s="139"/>
      <c r="J198" s="81"/>
      <c r="K198" s="81"/>
      <c r="L198" s="81"/>
      <c r="M198" s="81"/>
      <c r="N198" s="81"/>
      <c r="O198" s="139"/>
      <c r="P198" s="81"/>
      <c r="Q198" s="81"/>
      <c r="R198" s="81"/>
      <c r="S198" s="81"/>
      <c r="T198" s="139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212"/>
      <c r="AG198" s="100"/>
    </row>
    <row r="199" spans="1:33" ht="15.75" customHeight="1" x14ac:dyDescent="0.3">
      <c r="B199" s="214"/>
      <c r="C199" s="214"/>
      <c r="D199" s="214"/>
      <c r="E199" s="216"/>
      <c r="F199" s="216"/>
      <c r="G199" s="216"/>
      <c r="H199" s="216"/>
      <c r="I199" s="216"/>
      <c r="J199" s="216"/>
      <c r="K199" s="214"/>
      <c r="L199" s="214"/>
      <c r="M199" s="214"/>
      <c r="N199" s="216"/>
      <c r="O199" s="216"/>
      <c r="P199" s="214"/>
      <c r="Q199" s="214"/>
      <c r="R199" s="214"/>
      <c r="S199" s="214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  <c r="AE199" s="216"/>
      <c r="AF199" s="218"/>
      <c r="AG199" s="219"/>
    </row>
    <row r="200" spans="1:33" ht="15.75" customHeight="1" x14ac:dyDescent="0.25"/>
    <row r="201" spans="1:33" ht="15.75" customHeight="1" x14ac:dyDescent="0.25">
      <c r="A201" s="100">
        <v>0</v>
      </c>
      <c r="B201" s="203" t="str">
        <f ca="1">IFERROR(__xludf.DUMMYFUNCTION("Importrange(""https://docs.google.com/spreadsheets/d/1YYL2joRgxfYjpBxARbgX-HIedEX_uk77-EhfLZQf1vQ/edit?gid=840487837#"",""Personnel Cost!A2:AE14"")"),"#REF!")</f>
        <v>#REF!</v>
      </c>
      <c r="C201" s="81"/>
      <c r="D201" s="81"/>
      <c r="E201" s="139"/>
      <c r="F201" s="139"/>
      <c r="G201" s="139"/>
      <c r="H201" s="35"/>
      <c r="I201" s="139"/>
      <c r="J201" s="139"/>
      <c r="K201" s="139"/>
      <c r="L201" s="139"/>
      <c r="M201" s="241"/>
      <c r="N201" s="139"/>
      <c r="O201" s="139"/>
      <c r="P201" s="139"/>
      <c r="Q201" s="207"/>
      <c r="R201" s="81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210"/>
      <c r="AG201" s="100"/>
    </row>
    <row r="202" spans="1:33" ht="15.75" customHeight="1" x14ac:dyDescent="0.25">
      <c r="A202" s="100">
        <v>1</v>
      </c>
      <c r="B202" s="81"/>
      <c r="C202" s="81"/>
      <c r="D202" s="81"/>
      <c r="E202" s="139"/>
      <c r="F202" s="139"/>
      <c r="G202" s="139"/>
      <c r="H202" s="35"/>
      <c r="I202" s="139"/>
      <c r="J202" s="139"/>
      <c r="K202" s="139"/>
      <c r="L202" s="139"/>
      <c r="M202" s="241"/>
      <c r="N202" s="139"/>
      <c r="O202" s="139"/>
      <c r="P202" s="139"/>
      <c r="Q202" s="207"/>
      <c r="R202" s="208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210"/>
      <c r="AG202" s="100"/>
    </row>
    <row r="203" spans="1:33" ht="15.75" customHeight="1" x14ac:dyDescent="0.25">
      <c r="A203" s="100">
        <v>1</v>
      </c>
      <c r="B203" s="81"/>
      <c r="C203" s="81"/>
      <c r="D203" s="81"/>
      <c r="E203" s="139"/>
      <c r="F203" s="139"/>
      <c r="G203" s="139"/>
      <c r="H203" s="35"/>
      <c r="I203" s="139"/>
      <c r="J203" s="139"/>
      <c r="K203" s="139"/>
      <c r="L203" s="139"/>
      <c r="M203" s="241"/>
      <c r="N203" s="139"/>
      <c r="O203" s="139"/>
      <c r="P203" s="139"/>
      <c r="Q203" s="207"/>
      <c r="R203" s="208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210"/>
      <c r="AG203" s="100"/>
    </row>
    <row r="204" spans="1:33" ht="15.75" customHeight="1" x14ac:dyDescent="0.25">
      <c r="A204" s="100">
        <v>1</v>
      </c>
      <c r="B204" s="81"/>
      <c r="C204" s="81"/>
      <c r="D204" s="81"/>
      <c r="E204" s="139"/>
      <c r="F204" s="139"/>
      <c r="G204" s="139"/>
      <c r="H204" s="35"/>
      <c r="I204" s="139"/>
      <c r="J204" s="139"/>
      <c r="K204" s="139"/>
      <c r="L204" s="139"/>
      <c r="M204" s="241"/>
      <c r="N204" s="139"/>
      <c r="O204" s="139"/>
      <c r="P204" s="139"/>
      <c r="Q204" s="207"/>
      <c r="R204" s="190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210"/>
      <c r="AG204" s="100"/>
    </row>
    <row r="205" spans="1:33" ht="15.75" customHeight="1" x14ac:dyDescent="0.25">
      <c r="A205" s="100">
        <v>1</v>
      </c>
      <c r="B205" s="81"/>
      <c r="C205" s="81"/>
      <c r="D205" s="81"/>
      <c r="E205" s="139"/>
      <c r="F205" s="139"/>
      <c r="G205" s="139"/>
      <c r="H205" s="35"/>
      <c r="I205" s="139"/>
      <c r="J205" s="139"/>
      <c r="K205" s="139"/>
      <c r="L205" s="139"/>
      <c r="M205" s="241"/>
      <c r="N205" s="139"/>
      <c r="O205" s="139"/>
      <c r="P205" s="139"/>
      <c r="Q205" s="207"/>
      <c r="R205" s="208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210"/>
      <c r="AG205" s="100"/>
    </row>
    <row r="206" spans="1:33" ht="15.75" customHeight="1" x14ac:dyDescent="0.25">
      <c r="A206" s="100">
        <v>1</v>
      </c>
      <c r="B206" s="81"/>
      <c r="C206" s="81"/>
      <c r="D206" s="81"/>
      <c r="E206" s="139"/>
      <c r="F206" s="139"/>
      <c r="G206" s="139"/>
      <c r="H206" s="35"/>
      <c r="I206" s="139"/>
      <c r="J206" s="139"/>
      <c r="K206" s="139"/>
      <c r="L206" s="139"/>
      <c r="M206" s="242"/>
      <c r="N206" s="139"/>
      <c r="O206" s="139"/>
      <c r="P206" s="139"/>
      <c r="Q206" s="207"/>
      <c r="R206" s="81"/>
      <c r="S206" s="139"/>
      <c r="T206" s="139"/>
      <c r="U206" s="81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210"/>
      <c r="AG206" s="100"/>
    </row>
    <row r="207" spans="1:33" ht="15.75" customHeight="1" x14ac:dyDescent="0.25">
      <c r="A207" s="100">
        <v>1</v>
      </c>
      <c r="B207" s="81"/>
      <c r="C207" s="81"/>
      <c r="D207" s="81"/>
      <c r="E207" s="139"/>
      <c r="F207" s="139"/>
      <c r="G207" s="139"/>
      <c r="H207" s="35"/>
      <c r="I207" s="139"/>
      <c r="J207" s="139"/>
      <c r="K207" s="139"/>
      <c r="L207" s="139"/>
      <c r="M207" s="243"/>
      <c r="N207" s="81"/>
      <c r="O207" s="139"/>
      <c r="P207" s="81"/>
      <c r="Q207" s="81"/>
      <c r="R207" s="81"/>
      <c r="S207" s="81"/>
      <c r="T207" s="139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212"/>
      <c r="AG207" s="100"/>
    </row>
    <row r="208" spans="1:33" ht="15.75" customHeight="1" x14ac:dyDescent="0.25">
      <c r="A208" s="15">
        <v>0</v>
      </c>
      <c r="B208" s="81"/>
      <c r="C208" s="81"/>
      <c r="D208" s="81"/>
      <c r="E208" s="139"/>
      <c r="F208" s="139"/>
      <c r="G208" s="139"/>
      <c r="H208" s="35"/>
      <c r="I208" s="139"/>
      <c r="J208" s="81"/>
      <c r="K208" s="81"/>
      <c r="L208" s="81"/>
      <c r="M208" s="81"/>
      <c r="N208" s="81"/>
      <c r="O208" s="139"/>
      <c r="P208" s="81"/>
      <c r="Q208" s="81"/>
      <c r="R208" s="81"/>
      <c r="S208" s="81"/>
      <c r="T208" s="139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212"/>
      <c r="AG208" s="100"/>
    </row>
    <row r="209" spans="1:33" ht="15.75" customHeight="1" x14ac:dyDescent="0.25">
      <c r="A209" s="100">
        <v>0</v>
      </c>
      <c r="B209" s="81"/>
      <c r="C209" s="81"/>
      <c r="D209" s="81"/>
      <c r="E209" s="139"/>
      <c r="F209" s="139"/>
      <c r="G209" s="139"/>
      <c r="H209" s="35"/>
      <c r="I209" s="139"/>
      <c r="J209" s="81"/>
      <c r="K209" s="81"/>
      <c r="L209" s="81"/>
      <c r="M209" s="81"/>
      <c r="N209" s="81"/>
      <c r="O209" s="139"/>
      <c r="P209" s="81"/>
      <c r="Q209" s="81"/>
      <c r="R209" s="81"/>
      <c r="S209" s="81"/>
      <c r="T209" s="139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212"/>
      <c r="AG209" s="100"/>
    </row>
    <row r="210" spans="1:33" ht="15.75" customHeight="1" x14ac:dyDescent="0.25">
      <c r="A210" s="100">
        <v>0</v>
      </c>
      <c r="B210" s="81"/>
      <c r="C210" s="81"/>
      <c r="D210" s="81"/>
      <c r="E210" s="139"/>
      <c r="F210" s="139"/>
      <c r="G210" s="139"/>
      <c r="H210" s="35"/>
      <c r="I210" s="139"/>
      <c r="J210" s="81"/>
      <c r="K210" s="81"/>
      <c r="L210" s="81"/>
      <c r="M210" s="81"/>
      <c r="N210" s="81"/>
      <c r="O210" s="139"/>
      <c r="P210" s="81"/>
      <c r="Q210" s="81"/>
      <c r="R210" s="81"/>
      <c r="S210" s="81"/>
      <c r="T210" s="139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212"/>
      <c r="AG210" s="100"/>
    </row>
    <row r="211" spans="1:33" ht="15.75" customHeight="1" x14ac:dyDescent="0.25">
      <c r="A211" s="100">
        <v>0</v>
      </c>
      <c r="B211" s="81"/>
      <c r="C211" s="81"/>
      <c r="D211" s="81"/>
      <c r="E211" s="139"/>
      <c r="F211" s="139"/>
      <c r="G211" s="139"/>
      <c r="H211" s="35"/>
      <c r="I211" s="139"/>
      <c r="J211" s="81"/>
      <c r="K211" s="81"/>
      <c r="L211" s="81"/>
      <c r="M211" s="81"/>
      <c r="N211" s="81"/>
      <c r="O211" s="139"/>
      <c r="P211" s="81"/>
      <c r="Q211" s="81"/>
      <c r="R211" s="81"/>
      <c r="S211" s="81"/>
      <c r="T211" s="139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212"/>
      <c r="AG211" s="100"/>
    </row>
    <row r="212" spans="1:33" ht="15.75" customHeight="1" x14ac:dyDescent="0.25">
      <c r="A212" s="100">
        <v>0</v>
      </c>
      <c r="B212" s="81"/>
      <c r="C212" s="81"/>
      <c r="D212" s="81"/>
      <c r="E212" s="139"/>
      <c r="F212" s="139"/>
      <c r="G212" s="139"/>
      <c r="H212" s="35"/>
      <c r="I212" s="139"/>
      <c r="J212" s="81"/>
      <c r="K212" s="81"/>
      <c r="L212" s="81"/>
      <c r="M212" s="81"/>
      <c r="N212" s="81"/>
      <c r="O212" s="139"/>
      <c r="P212" s="81"/>
      <c r="Q212" s="81"/>
      <c r="R212" s="81"/>
      <c r="S212" s="81"/>
      <c r="T212" s="139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212"/>
      <c r="AG212" s="100"/>
    </row>
    <row r="213" spans="1:33" ht="15.75" customHeight="1" x14ac:dyDescent="0.3">
      <c r="B213" s="214"/>
      <c r="C213" s="214"/>
      <c r="D213" s="214"/>
      <c r="E213" s="216"/>
      <c r="F213" s="216"/>
      <c r="G213" s="216"/>
      <c r="H213" s="216"/>
      <c r="I213" s="216"/>
      <c r="J213" s="216"/>
      <c r="K213" s="214"/>
      <c r="L213" s="214"/>
      <c r="M213" s="214"/>
      <c r="N213" s="216"/>
      <c r="O213" s="216"/>
      <c r="P213" s="214"/>
      <c r="Q213" s="214"/>
      <c r="R213" s="214"/>
      <c r="S213" s="214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  <c r="AD213" s="216"/>
      <c r="AE213" s="216"/>
      <c r="AF213" s="218"/>
      <c r="AG213" s="219"/>
    </row>
    <row r="214" spans="1:33" ht="15.75" customHeight="1" x14ac:dyDescent="0.25"/>
    <row r="215" spans="1:33" ht="15.75" customHeight="1" x14ac:dyDescent="0.25">
      <c r="A215" s="100">
        <v>0</v>
      </c>
      <c r="B215" s="203" t="str">
        <f ca="1">IFERROR(__xludf.DUMMYFUNCTION("Importrange(""https://docs.google.com/spreadsheets/d/1YYL2joRgxfYjpBxARbgX-HIedEX_uk77-EhfLZQf1vQ/edit?gid=840487837#"",""Personnel Cost!A33:AE43"")"),"#REF!")</f>
        <v>#REF!</v>
      </c>
      <c r="C215" s="81"/>
      <c r="D215" s="81"/>
      <c r="E215" s="139"/>
      <c r="F215" s="139"/>
      <c r="G215" s="139"/>
      <c r="H215" s="35"/>
      <c r="I215" s="139"/>
      <c r="J215" s="81"/>
      <c r="K215" s="81"/>
      <c r="L215" s="81"/>
      <c r="M215" s="81"/>
      <c r="N215" s="81"/>
      <c r="O215" s="139"/>
      <c r="P215" s="81"/>
      <c r="Q215" s="81"/>
      <c r="R215" s="81"/>
      <c r="S215" s="81"/>
      <c r="T215" s="139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212"/>
      <c r="AG215" s="100"/>
    </row>
    <row r="216" spans="1:33" ht="15.75" customHeight="1" x14ac:dyDescent="0.25">
      <c r="A216" s="100">
        <v>0</v>
      </c>
      <c r="B216" s="81"/>
      <c r="C216" s="81"/>
      <c r="D216" s="81"/>
      <c r="E216" s="139"/>
      <c r="F216" s="139"/>
      <c r="G216" s="139"/>
      <c r="H216" s="35"/>
      <c r="I216" s="139"/>
      <c r="J216" s="81"/>
      <c r="K216" s="81"/>
      <c r="L216" s="81"/>
      <c r="M216" s="81"/>
      <c r="N216" s="81"/>
      <c r="O216" s="139"/>
      <c r="P216" s="81"/>
      <c r="Q216" s="81"/>
      <c r="R216" s="81"/>
      <c r="S216" s="81"/>
      <c r="T216" s="139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212"/>
      <c r="AG216" s="100"/>
    </row>
    <row r="217" spans="1:33" ht="15.75" customHeight="1" x14ac:dyDescent="0.25">
      <c r="A217" s="100">
        <v>0</v>
      </c>
      <c r="B217" s="81"/>
      <c r="C217" s="81"/>
      <c r="D217" s="81"/>
      <c r="E217" s="139"/>
      <c r="F217" s="139"/>
      <c r="G217" s="139"/>
      <c r="H217" s="35"/>
      <c r="I217" s="139"/>
      <c r="J217" s="81"/>
      <c r="K217" s="81"/>
      <c r="L217" s="81"/>
      <c r="M217" s="81"/>
      <c r="N217" s="81"/>
      <c r="O217" s="139"/>
      <c r="P217" s="81"/>
      <c r="Q217" s="81"/>
      <c r="R217" s="81"/>
      <c r="S217" s="81"/>
      <c r="T217" s="139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212"/>
      <c r="AG217" s="100"/>
    </row>
    <row r="218" spans="1:33" ht="15.75" customHeight="1" x14ac:dyDescent="0.25">
      <c r="A218" s="100">
        <v>0</v>
      </c>
      <c r="B218" s="81"/>
      <c r="C218" s="81"/>
      <c r="D218" s="81"/>
      <c r="E218" s="139"/>
      <c r="F218" s="139"/>
      <c r="G218" s="139"/>
      <c r="H218" s="35"/>
      <c r="I218" s="139"/>
      <c r="J218" s="81"/>
      <c r="K218" s="81"/>
      <c r="L218" s="81"/>
      <c r="M218" s="81"/>
      <c r="N218" s="81"/>
      <c r="O218" s="139"/>
      <c r="P218" s="81"/>
      <c r="Q218" s="81"/>
      <c r="R218" s="81"/>
      <c r="S218" s="81"/>
      <c r="T218" s="139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212"/>
      <c r="AG218" s="100"/>
    </row>
    <row r="219" spans="1:33" ht="15.75" customHeight="1" x14ac:dyDescent="0.25">
      <c r="A219" s="100">
        <v>0</v>
      </c>
      <c r="B219" s="81"/>
      <c r="C219" s="81"/>
      <c r="D219" s="81"/>
      <c r="E219" s="139"/>
      <c r="F219" s="139"/>
      <c r="G219" s="139"/>
      <c r="H219" s="35"/>
      <c r="I219" s="139"/>
      <c r="J219" s="81"/>
      <c r="K219" s="139"/>
      <c r="L219" s="81"/>
      <c r="M219" s="81"/>
      <c r="N219" s="81"/>
      <c r="O219" s="139"/>
      <c r="P219" s="81"/>
      <c r="Q219" s="81"/>
      <c r="R219" s="81"/>
      <c r="S219" s="81"/>
      <c r="T219" s="139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212"/>
      <c r="AG219" s="100"/>
    </row>
    <row r="220" spans="1:33" ht="15.75" customHeight="1" x14ac:dyDescent="0.25">
      <c r="A220" s="100">
        <v>0</v>
      </c>
      <c r="B220" s="81"/>
      <c r="C220" s="81"/>
      <c r="D220" s="81"/>
      <c r="E220" s="139"/>
      <c r="F220" s="139"/>
      <c r="G220" s="139"/>
      <c r="H220" s="35"/>
      <c r="I220" s="139"/>
      <c r="J220" s="81"/>
      <c r="K220" s="81"/>
      <c r="L220" s="81"/>
      <c r="M220" s="81"/>
      <c r="N220" s="81"/>
      <c r="O220" s="139"/>
      <c r="P220" s="81"/>
      <c r="Q220" s="81"/>
      <c r="R220" s="81"/>
      <c r="S220" s="81"/>
      <c r="T220" s="139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212"/>
      <c r="AG220" s="100"/>
    </row>
    <row r="221" spans="1:33" ht="15.75" customHeight="1" x14ac:dyDescent="0.25">
      <c r="A221" s="100">
        <v>0</v>
      </c>
      <c r="B221" s="81"/>
      <c r="C221" s="81"/>
      <c r="D221" s="81"/>
      <c r="E221" s="139"/>
      <c r="F221" s="139"/>
      <c r="G221" s="139"/>
      <c r="H221" s="35"/>
      <c r="I221" s="139"/>
      <c r="J221" s="81"/>
      <c r="K221" s="81"/>
      <c r="L221" s="81"/>
      <c r="M221" s="81"/>
      <c r="N221" s="81"/>
      <c r="O221" s="139"/>
      <c r="P221" s="81"/>
      <c r="Q221" s="81"/>
      <c r="R221" s="81"/>
      <c r="S221" s="81"/>
      <c r="T221" s="139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212"/>
      <c r="AG221" s="100"/>
    </row>
    <row r="222" spans="1:33" ht="15.75" customHeight="1" x14ac:dyDescent="0.25">
      <c r="A222" s="100">
        <v>0</v>
      </c>
      <c r="B222" s="81"/>
      <c r="C222" s="81"/>
      <c r="D222" s="81"/>
      <c r="E222" s="139"/>
      <c r="F222" s="139"/>
      <c r="G222" s="139"/>
      <c r="H222" s="35"/>
      <c r="I222" s="139"/>
      <c r="J222" s="81"/>
      <c r="K222" s="81"/>
      <c r="L222" s="81"/>
      <c r="M222" s="81"/>
      <c r="N222" s="81"/>
      <c r="O222" s="139"/>
      <c r="P222" s="81"/>
      <c r="Q222" s="81"/>
      <c r="R222" s="81"/>
      <c r="S222" s="81"/>
      <c r="T222" s="139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212"/>
      <c r="AG222" s="100"/>
    </row>
    <row r="223" spans="1:33" ht="15.75" customHeight="1" x14ac:dyDescent="0.25">
      <c r="A223" s="100">
        <v>0</v>
      </c>
      <c r="B223" s="81"/>
      <c r="C223" s="81"/>
      <c r="D223" s="81"/>
      <c r="E223" s="139"/>
      <c r="F223" s="139"/>
      <c r="G223" s="139"/>
      <c r="H223" s="35"/>
      <c r="I223" s="139"/>
      <c r="J223" s="81"/>
      <c r="K223" s="81"/>
      <c r="L223" s="81"/>
      <c r="M223" s="81"/>
      <c r="N223" s="81"/>
      <c r="O223" s="139"/>
      <c r="P223" s="81"/>
      <c r="Q223" s="81"/>
      <c r="R223" s="81"/>
      <c r="S223" s="81"/>
      <c r="T223" s="139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212"/>
      <c r="AG223" s="100"/>
    </row>
    <row r="224" spans="1:33" ht="15.75" customHeight="1" x14ac:dyDescent="0.25">
      <c r="A224" s="100">
        <v>0</v>
      </c>
      <c r="B224" s="81"/>
      <c r="C224" s="81"/>
      <c r="D224" s="81"/>
      <c r="E224" s="139"/>
      <c r="F224" s="139"/>
      <c r="G224" s="139"/>
      <c r="H224" s="35"/>
      <c r="I224" s="139"/>
      <c r="J224" s="81"/>
      <c r="K224" s="81"/>
      <c r="L224" s="81"/>
      <c r="M224" s="81"/>
      <c r="N224" s="81"/>
      <c r="O224" s="139"/>
      <c r="P224" s="81"/>
      <c r="Q224" s="81"/>
      <c r="R224" s="81"/>
      <c r="S224" s="81"/>
      <c r="T224" s="139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212"/>
      <c r="AG224" s="100"/>
    </row>
    <row r="225" spans="1:33" ht="15.75" customHeight="1" x14ac:dyDescent="0.3">
      <c r="B225" s="214"/>
      <c r="C225" s="214"/>
      <c r="D225" s="214"/>
      <c r="E225" s="216"/>
      <c r="F225" s="216"/>
      <c r="G225" s="216"/>
      <c r="H225" s="216"/>
      <c r="I225" s="216"/>
      <c r="J225" s="216"/>
      <c r="K225" s="214"/>
      <c r="L225" s="214"/>
      <c r="M225" s="214"/>
      <c r="N225" s="216"/>
      <c r="O225" s="216"/>
      <c r="P225" s="214"/>
      <c r="Q225" s="214"/>
      <c r="R225" s="214"/>
      <c r="S225" s="214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  <c r="AE225" s="216"/>
      <c r="AF225" s="218"/>
      <c r="AG225" s="219"/>
    </row>
    <row r="226" spans="1:33" ht="15.75" customHeight="1" x14ac:dyDescent="0.25"/>
    <row r="227" spans="1:33" ht="15.75" customHeight="1" x14ac:dyDescent="0.25">
      <c r="A227" s="100">
        <v>0</v>
      </c>
      <c r="B227" s="81" t="str">
        <f ca="1">IFERROR(__xludf.DUMMYFUNCTION("Importrange(""https://docs.google.com/spreadsheets/d/1YYL2joRgxfYjpBxARbgX-HIedEX_uk77-EhfLZQf1vQ/edit?gid=840487837#"",""Personnel Cost!A56:AE66"")"),"#REF!")</f>
        <v>#REF!</v>
      </c>
      <c r="C227" s="81"/>
      <c r="D227" s="81"/>
      <c r="E227" s="139"/>
      <c r="F227" s="139"/>
      <c r="G227" s="139"/>
      <c r="H227" s="35"/>
      <c r="I227" s="139"/>
      <c r="J227" s="81"/>
      <c r="K227" s="81"/>
      <c r="L227" s="81"/>
      <c r="M227" s="81"/>
      <c r="N227" s="81"/>
      <c r="O227" s="139"/>
      <c r="P227" s="81"/>
      <c r="Q227" s="81"/>
      <c r="R227" s="81"/>
      <c r="S227" s="81"/>
      <c r="T227" s="139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212"/>
      <c r="AG227" s="100"/>
    </row>
    <row r="228" spans="1:33" ht="15.75" customHeight="1" x14ac:dyDescent="0.25">
      <c r="A228" s="100">
        <v>0</v>
      </c>
      <c r="B228" s="81"/>
      <c r="C228" s="81"/>
      <c r="D228" s="81"/>
      <c r="E228" s="139"/>
      <c r="F228" s="139"/>
      <c r="G228" s="139"/>
      <c r="H228" s="35"/>
      <c r="I228" s="139"/>
      <c r="J228" s="81"/>
      <c r="K228" s="81"/>
      <c r="L228" s="81"/>
      <c r="M228" s="81"/>
      <c r="N228" s="81"/>
      <c r="O228" s="139"/>
      <c r="P228" s="81"/>
      <c r="Q228" s="81"/>
      <c r="R228" s="81"/>
      <c r="S228" s="81"/>
      <c r="T228" s="139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212"/>
      <c r="AG228" s="100"/>
    </row>
    <row r="229" spans="1:33" ht="15.75" customHeight="1" x14ac:dyDescent="0.25">
      <c r="A229" s="100">
        <v>0</v>
      </c>
      <c r="B229" s="81"/>
      <c r="C229" s="81"/>
      <c r="D229" s="81"/>
      <c r="E229" s="139"/>
      <c r="F229" s="139"/>
      <c r="G229" s="139"/>
      <c r="H229" s="35"/>
      <c r="I229" s="139"/>
      <c r="J229" s="81"/>
      <c r="K229" s="81"/>
      <c r="L229" s="81"/>
      <c r="M229" s="81"/>
      <c r="N229" s="81"/>
      <c r="O229" s="139"/>
      <c r="P229" s="81"/>
      <c r="Q229" s="81"/>
      <c r="R229" s="81"/>
      <c r="S229" s="81"/>
      <c r="T229" s="139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212"/>
      <c r="AG229" s="100"/>
    </row>
    <row r="230" spans="1:33" ht="15.75" customHeight="1" x14ac:dyDescent="0.25">
      <c r="A230" s="100">
        <v>0</v>
      </c>
      <c r="B230" s="81"/>
      <c r="C230" s="81"/>
      <c r="D230" s="81"/>
      <c r="E230" s="139"/>
      <c r="F230" s="139"/>
      <c r="G230" s="139"/>
      <c r="H230" s="35"/>
      <c r="I230" s="139"/>
      <c r="J230" s="81"/>
      <c r="K230" s="81"/>
      <c r="L230" s="81"/>
      <c r="M230" s="81"/>
      <c r="N230" s="81"/>
      <c r="O230" s="139"/>
      <c r="P230" s="81"/>
      <c r="Q230" s="81"/>
      <c r="R230" s="81"/>
      <c r="S230" s="81"/>
      <c r="T230" s="139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212"/>
      <c r="AG230" s="100"/>
    </row>
    <row r="231" spans="1:33" ht="15.75" customHeight="1" x14ac:dyDescent="0.25">
      <c r="A231" s="100">
        <v>0</v>
      </c>
      <c r="B231" s="81"/>
      <c r="C231" s="81"/>
      <c r="D231" s="81"/>
      <c r="E231" s="139"/>
      <c r="F231" s="139"/>
      <c r="G231" s="139"/>
      <c r="H231" s="35"/>
      <c r="I231" s="139"/>
      <c r="J231" s="81"/>
      <c r="K231" s="139"/>
      <c r="L231" s="81"/>
      <c r="M231" s="81"/>
      <c r="N231" s="81"/>
      <c r="O231" s="139"/>
      <c r="P231" s="81"/>
      <c r="Q231" s="81"/>
      <c r="R231" s="81"/>
      <c r="S231" s="81"/>
      <c r="T231" s="139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212"/>
      <c r="AG231" s="100"/>
    </row>
    <row r="232" spans="1:33" ht="15.75" customHeight="1" x14ac:dyDescent="0.25">
      <c r="A232" s="100">
        <v>0</v>
      </c>
      <c r="B232" s="81"/>
      <c r="C232" s="81"/>
      <c r="D232" s="81"/>
      <c r="E232" s="139"/>
      <c r="F232" s="139"/>
      <c r="G232" s="139"/>
      <c r="H232" s="35"/>
      <c r="I232" s="139"/>
      <c r="J232" s="81"/>
      <c r="K232" s="81"/>
      <c r="L232" s="81"/>
      <c r="M232" s="81"/>
      <c r="N232" s="81"/>
      <c r="O232" s="139"/>
      <c r="P232" s="81"/>
      <c r="Q232" s="81"/>
      <c r="R232" s="81"/>
      <c r="S232" s="81"/>
      <c r="T232" s="139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212"/>
      <c r="AG232" s="100"/>
    </row>
    <row r="233" spans="1:33" ht="15.75" customHeight="1" x14ac:dyDescent="0.25">
      <c r="A233" s="100">
        <v>0</v>
      </c>
      <c r="B233" s="81"/>
      <c r="C233" s="81"/>
      <c r="D233" s="81"/>
      <c r="E233" s="139"/>
      <c r="F233" s="139"/>
      <c r="G233" s="139"/>
      <c r="H233" s="35"/>
      <c r="I233" s="139"/>
      <c r="J233" s="81"/>
      <c r="K233" s="81"/>
      <c r="L233" s="81"/>
      <c r="M233" s="81"/>
      <c r="N233" s="81"/>
      <c r="O233" s="139"/>
      <c r="P233" s="81"/>
      <c r="Q233" s="81"/>
      <c r="R233" s="81"/>
      <c r="S233" s="81"/>
      <c r="T233" s="139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212"/>
      <c r="AG233" s="100"/>
    </row>
    <row r="234" spans="1:33" ht="15.75" customHeight="1" x14ac:dyDescent="0.25">
      <c r="A234" s="100">
        <v>0</v>
      </c>
      <c r="B234" s="81"/>
      <c r="C234" s="81"/>
      <c r="D234" s="81"/>
      <c r="E234" s="139"/>
      <c r="F234" s="139"/>
      <c r="G234" s="139"/>
      <c r="H234" s="35"/>
      <c r="I234" s="139"/>
      <c r="J234" s="81"/>
      <c r="K234" s="81"/>
      <c r="L234" s="81"/>
      <c r="M234" s="81"/>
      <c r="N234" s="81"/>
      <c r="O234" s="139"/>
      <c r="P234" s="81"/>
      <c r="Q234" s="81"/>
      <c r="R234" s="81"/>
      <c r="S234" s="81"/>
      <c r="T234" s="139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212"/>
      <c r="AG234" s="100"/>
    </row>
    <row r="235" spans="1:33" ht="15.75" customHeight="1" x14ac:dyDescent="0.25">
      <c r="A235" s="100">
        <v>0</v>
      </c>
      <c r="B235" s="81"/>
      <c r="C235" s="81"/>
      <c r="D235" s="81"/>
      <c r="E235" s="139"/>
      <c r="F235" s="139"/>
      <c r="G235" s="139"/>
      <c r="H235" s="35"/>
      <c r="I235" s="139"/>
      <c r="J235" s="81"/>
      <c r="K235" s="81"/>
      <c r="L235" s="81"/>
      <c r="M235" s="81"/>
      <c r="N235" s="81"/>
      <c r="O235" s="139"/>
      <c r="P235" s="81"/>
      <c r="Q235" s="81"/>
      <c r="R235" s="81"/>
      <c r="S235" s="81"/>
      <c r="T235" s="139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212"/>
      <c r="AG235" s="100"/>
    </row>
    <row r="236" spans="1:33" ht="15.75" customHeight="1" x14ac:dyDescent="0.25">
      <c r="A236" s="100">
        <v>0</v>
      </c>
      <c r="B236" s="81"/>
      <c r="C236" s="81"/>
      <c r="D236" s="81"/>
      <c r="E236" s="139"/>
      <c r="F236" s="139"/>
      <c r="G236" s="139"/>
      <c r="H236" s="35"/>
      <c r="I236" s="139"/>
      <c r="J236" s="81"/>
      <c r="K236" s="81"/>
      <c r="L236" s="81"/>
      <c r="M236" s="81"/>
      <c r="N236" s="81"/>
      <c r="O236" s="139"/>
      <c r="P236" s="81"/>
      <c r="Q236" s="81"/>
      <c r="R236" s="81"/>
      <c r="S236" s="81"/>
      <c r="T236" s="139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212"/>
      <c r="AG236" s="100"/>
    </row>
    <row r="237" spans="1:33" ht="15.75" customHeight="1" x14ac:dyDescent="0.3">
      <c r="B237" s="214"/>
      <c r="C237" s="214"/>
      <c r="D237" s="214"/>
      <c r="E237" s="216"/>
      <c r="F237" s="216"/>
      <c r="G237" s="216"/>
      <c r="H237" s="216"/>
      <c r="I237" s="216"/>
      <c r="J237" s="216"/>
      <c r="K237" s="214"/>
      <c r="L237" s="214"/>
      <c r="M237" s="214"/>
      <c r="N237" s="216"/>
      <c r="O237" s="216"/>
      <c r="P237" s="214"/>
      <c r="Q237" s="214"/>
      <c r="R237" s="214"/>
      <c r="S237" s="214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  <c r="AD237" s="216"/>
      <c r="AE237" s="216"/>
      <c r="AF237" s="218"/>
      <c r="AG237" s="219"/>
    </row>
    <row r="238" spans="1:33" ht="15.75" customHeight="1" x14ac:dyDescent="0.25"/>
    <row r="239" spans="1:33" ht="15.75" customHeight="1" x14ac:dyDescent="0.25">
      <c r="A239" s="100">
        <v>1</v>
      </c>
      <c r="B239" s="203" t="str">
        <f ca="1">IFERROR(__xludf.DUMMYFUNCTION("Importrange(""https://docs.google.com/spreadsheets/d/1SdqmffQbgF6jvjJyEWI5feMWhXxS9F16cX0gE7Oc9tY/edit?gid=411398559#"",""Personnel Cost!A2:AE16"")"),"#REF!")</f>
        <v>#REF!</v>
      </c>
      <c r="C239" s="81"/>
      <c r="D239" s="81"/>
      <c r="E239" s="139"/>
      <c r="F239" s="139"/>
      <c r="G239" s="139"/>
      <c r="H239" s="35"/>
      <c r="I239" s="139"/>
      <c r="J239" s="139"/>
      <c r="K239" s="139"/>
      <c r="L239" s="139"/>
      <c r="M239" s="241"/>
      <c r="N239" s="139"/>
      <c r="O239" s="139"/>
      <c r="P239" s="139"/>
      <c r="Q239" s="207"/>
      <c r="R239" s="208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210"/>
      <c r="AG239" s="100"/>
    </row>
    <row r="240" spans="1:33" ht="15.75" customHeight="1" x14ac:dyDescent="0.25">
      <c r="A240" s="100">
        <v>0</v>
      </c>
      <c r="B240" s="81"/>
      <c r="C240" s="81"/>
      <c r="D240" s="81"/>
      <c r="E240" s="139"/>
      <c r="F240" s="139"/>
      <c r="G240" s="139"/>
      <c r="H240" s="35"/>
      <c r="I240" s="139"/>
      <c r="J240" s="139"/>
      <c r="K240" s="139"/>
      <c r="L240" s="139"/>
      <c r="M240" s="241"/>
      <c r="N240" s="139"/>
      <c r="O240" s="139"/>
      <c r="P240" s="139"/>
      <c r="Q240" s="207"/>
      <c r="R240" s="81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210"/>
      <c r="AG240" s="100"/>
    </row>
    <row r="241" spans="1:33" ht="15.75" customHeight="1" x14ac:dyDescent="0.25">
      <c r="A241" s="100">
        <v>0</v>
      </c>
      <c r="B241" s="81"/>
      <c r="C241" s="81"/>
      <c r="D241" s="81"/>
      <c r="E241" s="139"/>
      <c r="F241" s="139"/>
      <c r="G241" s="139"/>
      <c r="H241" s="35"/>
      <c r="I241" s="139"/>
      <c r="J241" s="81"/>
      <c r="K241" s="81"/>
      <c r="L241" s="81"/>
      <c r="M241" s="81"/>
      <c r="N241" s="81"/>
      <c r="O241" s="139"/>
      <c r="P241" s="81"/>
      <c r="Q241" s="81"/>
      <c r="R241" s="81"/>
      <c r="S241" s="81"/>
      <c r="T241" s="139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212"/>
      <c r="AG241" s="100"/>
    </row>
    <row r="242" spans="1:33" ht="15.75" customHeight="1" x14ac:dyDescent="0.25">
      <c r="A242" s="100">
        <v>0</v>
      </c>
      <c r="B242" s="81"/>
      <c r="C242" s="81"/>
      <c r="D242" s="81"/>
      <c r="E242" s="139"/>
      <c r="F242" s="139"/>
      <c r="G242" s="139"/>
      <c r="H242" s="35"/>
      <c r="I242" s="139"/>
      <c r="J242" s="81"/>
      <c r="K242" s="81"/>
      <c r="L242" s="81"/>
      <c r="M242" s="81"/>
      <c r="N242" s="81"/>
      <c r="O242" s="139"/>
      <c r="P242" s="81"/>
      <c r="Q242" s="81"/>
      <c r="R242" s="81"/>
      <c r="S242" s="81"/>
      <c r="T242" s="139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212"/>
      <c r="AG242" s="100"/>
    </row>
    <row r="243" spans="1:33" ht="15.75" customHeight="1" x14ac:dyDescent="0.25">
      <c r="A243" s="100">
        <v>0</v>
      </c>
      <c r="B243" s="81"/>
      <c r="C243" s="81"/>
      <c r="D243" s="81"/>
      <c r="E243" s="139"/>
      <c r="F243" s="139"/>
      <c r="G243" s="139"/>
      <c r="H243" s="35"/>
      <c r="I243" s="139"/>
      <c r="J243" s="81"/>
      <c r="K243" s="81"/>
      <c r="L243" s="81"/>
      <c r="M243" s="81"/>
      <c r="N243" s="81"/>
      <c r="O243" s="139"/>
      <c r="P243" s="81"/>
      <c r="Q243" s="81"/>
      <c r="R243" s="81"/>
      <c r="S243" s="81"/>
      <c r="T243" s="139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212"/>
      <c r="AG243" s="100"/>
    </row>
    <row r="244" spans="1:33" ht="15.75" customHeight="1" x14ac:dyDescent="0.25">
      <c r="A244" s="100">
        <v>0</v>
      </c>
      <c r="B244" s="81"/>
      <c r="C244" s="81"/>
      <c r="D244" s="81"/>
      <c r="E244" s="139"/>
      <c r="F244" s="139"/>
      <c r="G244" s="139"/>
      <c r="H244" s="35"/>
      <c r="I244" s="139"/>
      <c r="J244" s="81"/>
      <c r="K244" s="81"/>
      <c r="L244" s="81"/>
      <c r="M244" s="81"/>
      <c r="N244" s="81"/>
      <c r="O244" s="139"/>
      <c r="P244" s="81"/>
      <c r="Q244" s="81"/>
      <c r="R244" s="81"/>
      <c r="S244" s="81"/>
      <c r="T244" s="139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212"/>
      <c r="AG244" s="100"/>
    </row>
    <row r="245" spans="1:33" ht="15.75" customHeight="1" x14ac:dyDescent="0.25">
      <c r="A245" s="100">
        <v>0</v>
      </c>
      <c r="B245" s="81"/>
      <c r="C245" s="81"/>
      <c r="D245" s="81"/>
      <c r="E245" s="139"/>
      <c r="F245" s="139"/>
      <c r="G245" s="139"/>
      <c r="H245" s="35"/>
      <c r="I245" s="139"/>
      <c r="J245" s="81"/>
      <c r="K245" s="81"/>
      <c r="L245" s="81"/>
      <c r="M245" s="81"/>
      <c r="N245" s="81"/>
      <c r="O245" s="139"/>
      <c r="P245" s="81"/>
      <c r="Q245" s="81"/>
      <c r="R245" s="81"/>
      <c r="S245" s="81"/>
      <c r="T245" s="139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212"/>
      <c r="AG245" s="100"/>
    </row>
    <row r="246" spans="1:33" ht="15.75" customHeight="1" x14ac:dyDescent="0.25">
      <c r="A246" s="100">
        <v>0</v>
      </c>
      <c r="B246" s="81"/>
      <c r="C246" s="81"/>
      <c r="D246" s="81"/>
      <c r="E246" s="139"/>
      <c r="F246" s="139"/>
      <c r="G246" s="139"/>
      <c r="H246" s="35"/>
      <c r="I246" s="139"/>
      <c r="J246" s="81"/>
      <c r="K246" s="81"/>
      <c r="L246" s="81"/>
      <c r="M246" s="81"/>
      <c r="N246" s="81"/>
      <c r="O246" s="139"/>
      <c r="P246" s="81"/>
      <c r="Q246" s="81"/>
      <c r="R246" s="81"/>
      <c r="S246" s="81"/>
      <c r="T246" s="139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212"/>
      <c r="AG246" s="100"/>
    </row>
    <row r="247" spans="1:33" ht="15.75" customHeight="1" x14ac:dyDescent="0.25">
      <c r="A247" s="100">
        <v>0</v>
      </c>
      <c r="B247" s="81"/>
      <c r="C247" s="81"/>
      <c r="D247" s="81"/>
      <c r="E247" s="139"/>
      <c r="F247" s="139"/>
      <c r="G247" s="139"/>
      <c r="H247" s="35"/>
      <c r="I247" s="139"/>
      <c r="J247" s="81"/>
      <c r="K247" s="81"/>
      <c r="L247" s="81"/>
      <c r="M247" s="81"/>
      <c r="N247" s="81"/>
      <c r="O247" s="139"/>
      <c r="P247" s="81"/>
      <c r="Q247" s="81"/>
      <c r="R247" s="81"/>
      <c r="S247" s="81"/>
      <c r="T247" s="139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212"/>
      <c r="AG247" s="100"/>
    </row>
    <row r="248" spans="1:33" ht="15.75" customHeight="1" x14ac:dyDescent="0.25">
      <c r="A248" s="100">
        <v>0</v>
      </c>
      <c r="B248" s="81"/>
      <c r="C248" s="81"/>
      <c r="D248" s="81"/>
      <c r="E248" s="139"/>
      <c r="F248" s="139"/>
      <c r="G248" s="139"/>
      <c r="H248" s="35"/>
      <c r="I248" s="139"/>
      <c r="J248" s="81"/>
      <c r="K248" s="81"/>
      <c r="L248" s="81"/>
      <c r="M248" s="81"/>
      <c r="N248" s="81"/>
      <c r="O248" s="139"/>
      <c r="P248" s="81"/>
      <c r="Q248" s="81"/>
      <c r="R248" s="81"/>
      <c r="S248" s="81"/>
      <c r="T248" s="139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212"/>
      <c r="AG248" s="100"/>
    </row>
    <row r="249" spans="1:33" ht="15.75" customHeight="1" x14ac:dyDescent="0.25">
      <c r="A249" s="100">
        <v>0</v>
      </c>
      <c r="B249" s="81"/>
      <c r="C249" s="81"/>
      <c r="D249" s="81"/>
      <c r="E249" s="139"/>
      <c r="F249" s="139"/>
      <c r="G249" s="139"/>
      <c r="H249" s="35"/>
      <c r="I249" s="139"/>
      <c r="J249" s="81"/>
      <c r="K249" s="81"/>
      <c r="L249" s="81"/>
      <c r="M249" s="81"/>
      <c r="N249" s="81"/>
      <c r="O249" s="139"/>
      <c r="P249" s="81"/>
      <c r="Q249" s="81"/>
      <c r="R249" s="81"/>
      <c r="S249" s="81"/>
      <c r="T249" s="139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212"/>
      <c r="AG249" s="100"/>
    </row>
    <row r="250" spans="1:33" ht="15.75" customHeight="1" x14ac:dyDescent="0.25">
      <c r="A250" s="100">
        <v>0</v>
      </c>
      <c r="B250" s="81"/>
      <c r="C250" s="81"/>
      <c r="D250" s="81"/>
      <c r="E250" s="139"/>
      <c r="F250" s="139"/>
      <c r="G250" s="139"/>
      <c r="H250" s="35"/>
      <c r="I250" s="139"/>
      <c r="J250" s="81"/>
      <c r="K250" s="81"/>
      <c r="L250" s="81"/>
      <c r="M250" s="81"/>
      <c r="N250" s="81"/>
      <c r="O250" s="139"/>
      <c r="P250" s="81"/>
      <c r="Q250" s="81"/>
      <c r="R250" s="81"/>
      <c r="S250" s="81"/>
      <c r="T250" s="139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212"/>
      <c r="AG250" s="100"/>
    </row>
    <row r="251" spans="1:33" ht="15.75" customHeight="1" x14ac:dyDescent="0.25">
      <c r="A251" s="100">
        <v>0</v>
      </c>
      <c r="B251" s="81"/>
      <c r="C251" s="81"/>
      <c r="D251" s="81"/>
      <c r="E251" s="139"/>
      <c r="F251" s="139"/>
      <c r="G251" s="139"/>
      <c r="H251" s="35"/>
      <c r="I251" s="139"/>
      <c r="J251" s="81"/>
      <c r="K251" s="81"/>
      <c r="L251" s="81"/>
      <c r="M251" s="81"/>
      <c r="N251" s="81"/>
      <c r="O251" s="139"/>
      <c r="P251" s="81"/>
      <c r="Q251" s="81"/>
      <c r="R251" s="81"/>
      <c r="S251" s="81"/>
      <c r="T251" s="139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212"/>
      <c r="AG251" s="100"/>
    </row>
    <row r="252" spans="1:33" ht="15.75" customHeight="1" x14ac:dyDescent="0.25">
      <c r="A252" s="100">
        <v>0</v>
      </c>
      <c r="B252" s="81"/>
      <c r="C252" s="81"/>
      <c r="D252" s="81"/>
      <c r="E252" s="139"/>
      <c r="F252" s="139"/>
      <c r="G252" s="139"/>
      <c r="H252" s="35"/>
      <c r="I252" s="139"/>
      <c r="J252" s="81"/>
      <c r="K252" s="81"/>
      <c r="L252" s="81"/>
      <c r="M252" s="81"/>
      <c r="N252" s="81"/>
      <c r="O252" s="139"/>
      <c r="P252" s="81"/>
      <c r="Q252" s="81"/>
      <c r="R252" s="81"/>
      <c r="S252" s="81"/>
      <c r="T252" s="139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212"/>
      <c r="AG252" s="100"/>
    </row>
    <row r="253" spans="1:33" ht="15.75" customHeight="1" x14ac:dyDescent="0.3">
      <c r="B253" s="214"/>
      <c r="C253" s="214"/>
      <c r="D253" s="214"/>
      <c r="E253" s="216"/>
      <c r="F253" s="216"/>
      <c r="G253" s="216"/>
      <c r="H253" s="216"/>
      <c r="I253" s="216"/>
      <c r="J253" s="216"/>
      <c r="K253" s="214"/>
      <c r="L253" s="214"/>
      <c r="M253" s="214"/>
      <c r="N253" s="216"/>
      <c r="O253" s="216"/>
      <c r="P253" s="214"/>
      <c r="Q253" s="214"/>
      <c r="R253" s="214"/>
      <c r="S253" s="214"/>
      <c r="T253" s="216"/>
      <c r="U253" s="216"/>
      <c r="V253" s="216"/>
      <c r="W253" s="216"/>
      <c r="X253" s="216"/>
      <c r="Y253" s="216"/>
      <c r="Z253" s="216"/>
      <c r="AA253" s="216"/>
      <c r="AB253" s="216"/>
      <c r="AC253" s="216"/>
      <c r="AD253" s="216"/>
      <c r="AE253" s="216"/>
      <c r="AF253" s="218"/>
      <c r="AG253" s="219"/>
    </row>
    <row r="254" spans="1:33" ht="15.75" customHeight="1" x14ac:dyDescent="0.25"/>
    <row r="255" spans="1:33" ht="15.75" customHeight="1" x14ac:dyDescent="0.25">
      <c r="A255" s="100">
        <v>0</v>
      </c>
      <c r="B255" s="203" t="str">
        <f ca="1">IFERROR(__xludf.DUMMYFUNCTION("Importrange(""https://docs.google.com/spreadsheets/d/1SdqmffQbgF6jvjJyEWI5feMWhXxS9F16cX0gE7Oc9tY/edit?gid=411398559#"",""Personnel Cost!A35:AE45"")"),"#REF!")</f>
        <v>#REF!</v>
      </c>
      <c r="C255" s="81"/>
      <c r="D255" s="81"/>
      <c r="E255" s="139"/>
      <c r="F255" s="139"/>
      <c r="G255" s="139"/>
      <c r="H255" s="35"/>
      <c r="I255" s="139"/>
      <c r="J255" s="81"/>
      <c r="K255" s="81"/>
      <c r="L255" s="81"/>
      <c r="M255" s="81"/>
      <c r="N255" s="81"/>
      <c r="O255" s="139"/>
      <c r="P255" s="81"/>
      <c r="Q255" s="81"/>
      <c r="R255" s="81"/>
      <c r="S255" s="81"/>
      <c r="T255" s="139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212"/>
      <c r="AG255" s="100"/>
    </row>
    <row r="256" spans="1:33" ht="15.75" customHeight="1" x14ac:dyDescent="0.25">
      <c r="A256" s="100">
        <v>0</v>
      </c>
      <c r="B256" s="81"/>
      <c r="C256" s="81"/>
      <c r="D256" s="81"/>
      <c r="E256" s="139"/>
      <c r="F256" s="139"/>
      <c r="G256" s="139"/>
      <c r="H256" s="35"/>
      <c r="I256" s="139"/>
      <c r="J256" s="81"/>
      <c r="K256" s="81"/>
      <c r="L256" s="81"/>
      <c r="M256" s="81"/>
      <c r="N256" s="81"/>
      <c r="O256" s="139"/>
      <c r="P256" s="81"/>
      <c r="Q256" s="81"/>
      <c r="R256" s="81"/>
      <c r="S256" s="81"/>
      <c r="T256" s="139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212"/>
      <c r="AG256" s="100"/>
    </row>
    <row r="257" spans="1:33" ht="15.75" customHeight="1" x14ac:dyDescent="0.25">
      <c r="A257" s="100">
        <v>0</v>
      </c>
      <c r="B257" s="81"/>
      <c r="C257" s="81"/>
      <c r="D257" s="81"/>
      <c r="E257" s="139"/>
      <c r="F257" s="139"/>
      <c r="G257" s="139"/>
      <c r="H257" s="35"/>
      <c r="I257" s="139"/>
      <c r="J257" s="81"/>
      <c r="K257" s="81"/>
      <c r="L257" s="81"/>
      <c r="M257" s="81"/>
      <c r="N257" s="81"/>
      <c r="O257" s="139"/>
      <c r="P257" s="81"/>
      <c r="Q257" s="81"/>
      <c r="R257" s="81"/>
      <c r="S257" s="81"/>
      <c r="T257" s="139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212"/>
      <c r="AG257" s="100"/>
    </row>
    <row r="258" spans="1:33" ht="15.75" customHeight="1" x14ac:dyDescent="0.25">
      <c r="A258" s="100">
        <v>0</v>
      </c>
      <c r="B258" s="81"/>
      <c r="C258" s="81"/>
      <c r="D258" s="81"/>
      <c r="E258" s="139"/>
      <c r="F258" s="139"/>
      <c r="G258" s="139"/>
      <c r="H258" s="35"/>
      <c r="I258" s="139"/>
      <c r="J258" s="81"/>
      <c r="K258" s="81"/>
      <c r="L258" s="81"/>
      <c r="M258" s="81"/>
      <c r="N258" s="81"/>
      <c r="O258" s="139"/>
      <c r="P258" s="81"/>
      <c r="Q258" s="81"/>
      <c r="R258" s="81"/>
      <c r="S258" s="81"/>
      <c r="T258" s="139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212"/>
      <c r="AG258" s="100"/>
    </row>
    <row r="259" spans="1:33" ht="15.75" customHeight="1" x14ac:dyDescent="0.25">
      <c r="A259" s="100">
        <v>0</v>
      </c>
      <c r="B259" s="81"/>
      <c r="C259" s="81"/>
      <c r="D259" s="81"/>
      <c r="E259" s="139"/>
      <c r="F259" s="139"/>
      <c r="G259" s="139"/>
      <c r="H259" s="35"/>
      <c r="I259" s="139"/>
      <c r="J259" s="81"/>
      <c r="K259" s="139"/>
      <c r="L259" s="81"/>
      <c r="M259" s="81"/>
      <c r="N259" s="81"/>
      <c r="O259" s="139"/>
      <c r="P259" s="81"/>
      <c r="Q259" s="81"/>
      <c r="R259" s="81"/>
      <c r="S259" s="81"/>
      <c r="T259" s="139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212"/>
      <c r="AG259" s="100"/>
    </row>
    <row r="260" spans="1:33" ht="15.75" customHeight="1" x14ac:dyDescent="0.25">
      <c r="A260" s="100">
        <v>0</v>
      </c>
      <c r="B260" s="81"/>
      <c r="C260" s="81"/>
      <c r="D260" s="81"/>
      <c r="E260" s="139"/>
      <c r="F260" s="139"/>
      <c r="G260" s="139"/>
      <c r="H260" s="35"/>
      <c r="I260" s="139"/>
      <c r="J260" s="81"/>
      <c r="K260" s="81"/>
      <c r="L260" s="81"/>
      <c r="M260" s="81"/>
      <c r="N260" s="81"/>
      <c r="O260" s="139"/>
      <c r="P260" s="81"/>
      <c r="Q260" s="81"/>
      <c r="R260" s="81"/>
      <c r="S260" s="81"/>
      <c r="T260" s="139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212"/>
      <c r="AG260" s="100"/>
    </row>
    <row r="261" spans="1:33" ht="15.75" customHeight="1" x14ac:dyDescent="0.25">
      <c r="A261" s="100">
        <v>0</v>
      </c>
      <c r="B261" s="81"/>
      <c r="C261" s="81"/>
      <c r="D261" s="81"/>
      <c r="E261" s="139"/>
      <c r="F261" s="139"/>
      <c r="G261" s="139"/>
      <c r="H261" s="35"/>
      <c r="I261" s="139"/>
      <c r="J261" s="81"/>
      <c r="K261" s="81"/>
      <c r="L261" s="81"/>
      <c r="M261" s="81"/>
      <c r="N261" s="81"/>
      <c r="O261" s="139"/>
      <c r="P261" s="81"/>
      <c r="Q261" s="81"/>
      <c r="R261" s="81"/>
      <c r="S261" s="81"/>
      <c r="T261" s="139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212"/>
      <c r="AG261" s="100"/>
    </row>
    <row r="262" spans="1:33" ht="15.75" customHeight="1" x14ac:dyDescent="0.25">
      <c r="A262" s="100">
        <v>0</v>
      </c>
      <c r="B262" s="81"/>
      <c r="C262" s="81"/>
      <c r="D262" s="81"/>
      <c r="E262" s="139"/>
      <c r="F262" s="139"/>
      <c r="G262" s="139"/>
      <c r="H262" s="35"/>
      <c r="I262" s="139"/>
      <c r="J262" s="81"/>
      <c r="K262" s="81"/>
      <c r="L262" s="81"/>
      <c r="M262" s="81"/>
      <c r="N262" s="81"/>
      <c r="O262" s="139"/>
      <c r="P262" s="81"/>
      <c r="Q262" s="81"/>
      <c r="R262" s="81"/>
      <c r="S262" s="81"/>
      <c r="T262" s="139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212"/>
      <c r="AG262" s="100"/>
    </row>
    <row r="263" spans="1:33" ht="15.75" customHeight="1" x14ac:dyDescent="0.25">
      <c r="A263" s="100">
        <v>0</v>
      </c>
      <c r="B263" s="81"/>
      <c r="C263" s="81"/>
      <c r="D263" s="81"/>
      <c r="E263" s="139"/>
      <c r="F263" s="139"/>
      <c r="G263" s="139"/>
      <c r="H263" s="35"/>
      <c r="I263" s="139"/>
      <c r="J263" s="81"/>
      <c r="K263" s="81"/>
      <c r="L263" s="81"/>
      <c r="M263" s="81"/>
      <c r="N263" s="81"/>
      <c r="O263" s="139"/>
      <c r="P263" s="81"/>
      <c r="Q263" s="81"/>
      <c r="R263" s="81"/>
      <c r="S263" s="81"/>
      <c r="T263" s="139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212"/>
      <c r="AG263" s="100"/>
    </row>
    <row r="264" spans="1:33" ht="15.75" customHeight="1" x14ac:dyDescent="0.25">
      <c r="A264" s="100">
        <v>0</v>
      </c>
      <c r="B264" s="81"/>
      <c r="C264" s="81"/>
      <c r="D264" s="81"/>
      <c r="E264" s="139"/>
      <c r="F264" s="139"/>
      <c r="G264" s="139"/>
      <c r="H264" s="35"/>
      <c r="I264" s="139"/>
      <c r="J264" s="81"/>
      <c r="K264" s="81"/>
      <c r="L264" s="81"/>
      <c r="M264" s="81"/>
      <c r="N264" s="81"/>
      <c r="O264" s="139"/>
      <c r="P264" s="81"/>
      <c r="Q264" s="81"/>
      <c r="R264" s="81"/>
      <c r="S264" s="81"/>
      <c r="T264" s="139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212"/>
      <c r="AG264" s="100"/>
    </row>
    <row r="265" spans="1:33" ht="15.75" customHeight="1" x14ac:dyDescent="0.3">
      <c r="B265" s="214"/>
      <c r="C265" s="214"/>
      <c r="D265" s="214"/>
      <c r="E265" s="216"/>
      <c r="F265" s="216"/>
      <c r="G265" s="216"/>
      <c r="H265" s="216"/>
      <c r="I265" s="216"/>
      <c r="J265" s="216"/>
      <c r="K265" s="214"/>
      <c r="L265" s="214"/>
      <c r="M265" s="214"/>
      <c r="N265" s="216"/>
      <c r="O265" s="216"/>
      <c r="P265" s="214"/>
      <c r="Q265" s="214"/>
      <c r="R265" s="214"/>
      <c r="S265" s="214"/>
      <c r="T265" s="216"/>
      <c r="U265" s="216"/>
      <c r="V265" s="216"/>
      <c r="W265" s="216"/>
      <c r="X265" s="216"/>
      <c r="Y265" s="216"/>
      <c r="Z265" s="216"/>
      <c r="AA265" s="216"/>
      <c r="AB265" s="216"/>
      <c r="AC265" s="216"/>
      <c r="AD265" s="216"/>
      <c r="AE265" s="216"/>
      <c r="AF265" s="218"/>
      <c r="AG265" s="219"/>
    </row>
    <row r="266" spans="1:33" ht="15.75" customHeight="1" x14ac:dyDescent="0.25"/>
    <row r="267" spans="1:33" ht="15.75" customHeight="1" x14ac:dyDescent="0.25">
      <c r="A267" s="100">
        <v>0</v>
      </c>
      <c r="B267" s="203" t="str">
        <f ca="1">IFERROR(__xludf.DUMMYFUNCTION("Importrange(""https://docs.google.com/spreadsheets/d/1SdqmffQbgF6jvjJyEWI5feMWhXxS9F16cX0gE7Oc9tY/edit?gid=411398559#"",""Personnel Cost!A58:AE68"")"),"#REF!")</f>
        <v>#REF!</v>
      </c>
      <c r="C267" s="81"/>
      <c r="D267" s="81"/>
      <c r="E267" s="139"/>
      <c r="F267" s="139"/>
      <c r="G267" s="139"/>
      <c r="H267" s="35"/>
      <c r="I267" s="139"/>
      <c r="J267" s="81"/>
      <c r="K267" s="139"/>
      <c r="L267" s="81"/>
      <c r="M267" s="81"/>
      <c r="N267" s="81"/>
      <c r="O267" s="139"/>
      <c r="P267" s="81"/>
      <c r="Q267" s="81"/>
      <c r="R267" s="81"/>
      <c r="S267" s="81"/>
      <c r="T267" s="139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212"/>
      <c r="AG267" s="100"/>
    </row>
    <row r="268" spans="1:33" ht="15.75" customHeight="1" x14ac:dyDescent="0.25">
      <c r="A268" s="100">
        <v>0</v>
      </c>
      <c r="B268" s="81"/>
      <c r="C268" s="81"/>
      <c r="D268" s="81"/>
      <c r="E268" s="139"/>
      <c r="F268" s="139"/>
      <c r="G268" s="139"/>
      <c r="H268" s="35"/>
      <c r="I268" s="139"/>
      <c r="J268" s="81"/>
      <c r="K268" s="139"/>
      <c r="L268" s="81"/>
      <c r="M268" s="81"/>
      <c r="N268" s="81"/>
      <c r="O268" s="139"/>
      <c r="P268" s="81"/>
      <c r="Q268" s="81"/>
      <c r="R268" s="81"/>
      <c r="S268" s="81"/>
      <c r="T268" s="139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212"/>
      <c r="AG268" s="100"/>
    </row>
    <row r="269" spans="1:33" ht="15.75" customHeight="1" x14ac:dyDescent="0.25">
      <c r="A269" s="100">
        <v>0</v>
      </c>
      <c r="B269" s="81"/>
      <c r="C269" s="81"/>
      <c r="D269" s="81"/>
      <c r="E269" s="139"/>
      <c r="F269" s="139"/>
      <c r="G269" s="139"/>
      <c r="H269" s="35"/>
      <c r="I269" s="139"/>
      <c r="J269" s="81"/>
      <c r="K269" s="139"/>
      <c r="L269" s="81"/>
      <c r="M269" s="81"/>
      <c r="N269" s="81"/>
      <c r="O269" s="139"/>
      <c r="P269" s="81"/>
      <c r="Q269" s="81"/>
      <c r="R269" s="81"/>
      <c r="S269" s="81"/>
      <c r="T269" s="139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212"/>
      <c r="AG269" s="100"/>
    </row>
    <row r="270" spans="1:33" ht="15.75" customHeight="1" x14ac:dyDescent="0.25">
      <c r="A270" s="100">
        <v>0</v>
      </c>
      <c r="B270" s="81"/>
      <c r="C270" s="81"/>
      <c r="D270" s="81"/>
      <c r="E270" s="139"/>
      <c r="F270" s="139"/>
      <c r="G270" s="139"/>
      <c r="H270" s="35"/>
      <c r="I270" s="139"/>
      <c r="J270" s="81"/>
      <c r="K270" s="139"/>
      <c r="L270" s="81"/>
      <c r="M270" s="81"/>
      <c r="N270" s="81"/>
      <c r="O270" s="139"/>
      <c r="P270" s="81"/>
      <c r="Q270" s="81"/>
      <c r="R270" s="81"/>
      <c r="S270" s="81"/>
      <c r="T270" s="139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212"/>
      <c r="AG270" s="100"/>
    </row>
    <row r="271" spans="1:33" ht="15.75" customHeight="1" x14ac:dyDescent="0.25">
      <c r="A271" s="100">
        <v>0</v>
      </c>
      <c r="B271" s="81"/>
      <c r="C271" s="81"/>
      <c r="D271" s="81"/>
      <c r="E271" s="139"/>
      <c r="F271" s="139"/>
      <c r="G271" s="139"/>
      <c r="H271" s="35"/>
      <c r="I271" s="139"/>
      <c r="J271" s="81"/>
      <c r="K271" s="139"/>
      <c r="L271" s="81"/>
      <c r="M271" s="81"/>
      <c r="N271" s="81"/>
      <c r="O271" s="139"/>
      <c r="P271" s="81"/>
      <c r="Q271" s="81"/>
      <c r="R271" s="81"/>
      <c r="S271" s="81"/>
      <c r="T271" s="139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212"/>
      <c r="AG271" s="100"/>
    </row>
    <row r="272" spans="1:33" ht="15.75" customHeight="1" x14ac:dyDescent="0.25">
      <c r="A272" s="100">
        <v>0</v>
      </c>
      <c r="B272" s="81"/>
      <c r="C272" s="81"/>
      <c r="D272" s="81"/>
      <c r="E272" s="139"/>
      <c r="F272" s="139"/>
      <c r="G272" s="139"/>
      <c r="H272" s="35"/>
      <c r="I272" s="139"/>
      <c r="J272" s="81"/>
      <c r="K272" s="139"/>
      <c r="L272" s="81"/>
      <c r="M272" s="81"/>
      <c r="N272" s="81"/>
      <c r="O272" s="139"/>
      <c r="P272" s="81"/>
      <c r="Q272" s="81"/>
      <c r="R272" s="81"/>
      <c r="S272" s="81"/>
      <c r="T272" s="139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212"/>
      <c r="AG272" s="100"/>
    </row>
    <row r="273" spans="1:33" ht="15.75" customHeight="1" x14ac:dyDescent="0.25">
      <c r="A273" s="100">
        <v>0</v>
      </c>
      <c r="B273" s="81"/>
      <c r="C273" s="81"/>
      <c r="D273" s="81"/>
      <c r="E273" s="139"/>
      <c r="F273" s="139"/>
      <c r="G273" s="139"/>
      <c r="H273" s="35"/>
      <c r="I273" s="139"/>
      <c r="J273" s="81"/>
      <c r="K273" s="139"/>
      <c r="L273" s="81"/>
      <c r="M273" s="81"/>
      <c r="N273" s="81"/>
      <c r="O273" s="139"/>
      <c r="P273" s="81"/>
      <c r="Q273" s="81"/>
      <c r="R273" s="81"/>
      <c r="S273" s="81"/>
      <c r="T273" s="139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212"/>
      <c r="AG273" s="100"/>
    </row>
    <row r="274" spans="1:33" ht="15.75" customHeight="1" x14ac:dyDescent="0.25">
      <c r="A274" s="100">
        <v>0</v>
      </c>
      <c r="B274" s="81"/>
      <c r="C274" s="81"/>
      <c r="D274" s="81"/>
      <c r="E274" s="139"/>
      <c r="F274" s="139"/>
      <c r="G274" s="139"/>
      <c r="H274" s="35"/>
      <c r="I274" s="139"/>
      <c r="J274" s="81"/>
      <c r="K274" s="139"/>
      <c r="L274" s="81"/>
      <c r="M274" s="81"/>
      <c r="N274" s="81"/>
      <c r="O274" s="139"/>
      <c r="P274" s="81"/>
      <c r="Q274" s="81"/>
      <c r="R274" s="81"/>
      <c r="S274" s="81"/>
      <c r="T274" s="139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212"/>
      <c r="AG274" s="100"/>
    </row>
    <row r="275" spans="1:33" ht="15.75" customHeight="1" x14ac:dyDescent="0.25">
      <c r="A275" s="100">
        <v>0</v>
      </c>
      <c r="B275" s="81"/>
      <c r="C275" s="81"/>
      <c r="D275" s="81"/>
      <c r="E275" s="139"/>
      <c r="F275" s="139"/>
      <c r="G275" s="139"/>
      <c r="H275" s="35"/>
      <c r="I275" s="139"/>
      <c r="J275" s="81"/>
      <c r="K275" s="139"/>
      <c r="L275" s="81"/>
      <c r="M275" s="81"/>
      <c r="N275" s="81"/>
      <c r="O275" s="139"/>
      <c r="P275" s="81"/>
      <c r="Q275" s="81"/>
      <c r="R275" s="81"/>
      <c r="S275" s="81"/>
      <c r="T275" s="139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212"/>
      <c r="AG275" s="100"/>
    </row>
    <row r="276" spans="1:33" ht="15.75" customHeight="1" x14ac:dyDescent="0.25">
      <c r="A276" s="100">
        <v>0</v>
      </c>
      <c r="B276" s="81"/>
      <c r="C276" s="81"/>
      <c r="D276" s="81"/>
      <c r="E276" s="139"/>
      <c r="F276" s="139"/>
      <c r="G276" s="139"/>
      <c r="H276" s="35"/>
      <c r="I276" s="139"/>
      <c r="J276" s="81"/>
      <c r="K276" s="139"/>
      <c r="L276" s="81"/>
      <c r="M276" s="81"/>
      <c r="N276" s="81"/>
      <c r="O276" s="139"/>
      <c r="P276" s="81"/>
      <c r="Q276" s="81"/>
      <c r="R276" s="81"/>
      <c r="S276" s="81"/>
      <c r="T276" s="139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212"/>
      <c r="AG276" s="100"/>
    </row>
    <row r="277" spans="1:33" ht="15.75" customHeight="1" x14ac:dyDescent="0.3">
      <c r="B277" s="214"/>
      <c r="C277" s="214"/>
      <c r="D277" s="214"/>
      <c r="E277" s="216"/>
      <c r="F277" s="216"/>
      <c r="G277" s="216"/>
      <c r="H277" s="216"/>
      <c r="I277" s="216"/>
      <c r="J277" s="216"/>
      <c r="K277" s="214"/>
      <c r="L277" s="214"/>
      <c r="M277" s="214"/>
      <c r="N277" s="216"/>
      <c r="O277" s="216"/>
      <c r="P277" s="214"/>
      <c r="Q277" s="214"/>
      <c r="R277" s="214"/>
      <c r="S277" s="214"/>
      <c r="T277" s="216"/>
      <c r="U277" s="216"/>
      <c r="V277" s="216"/>
      <c r="W277" s="216"/>
      <c r="X277" s="216"/>
      <c r="Y277" s="216"/>
      <c r="Z277" s="216"/>
      <c r="AA277" s="216"/>
      <c r="AB277" s="216"/>
      <c r="AC277" s="216"/>
      <c r="AD277" s="216"/>
      <c r="AE277" s="216"/>
      <c r="AF277" s="218"/>
      <c r="AG277" s="219"/>
    </row>
    <row r="278" spans="1:33" ht="15.75" customHeight="1" x14ac:dyDescent="0.25"/>
    <row r="279" spans="1:33" ht="15.75" customHeight="1" x14ac:dyDescent="0.25">
      <c r="A279" s="100">
        <v>0</v>
      </c>
      <c r="B279" s="203" t="str">
        <f ca="1">IFERROR(__xludf.DUMMYFUNCTION("Importrange(""https://docs.google.com/spreadsheets/d/1qhY98vCt-eQdrTharXEV4ntgOmAajcjKdzTA9nNJSNY/edit?gid=1132925994#"",""Personnel Cost!A2:AE15"")"),"#REF!")</f>
        <v>#REF!</v>
      </c>
      <c r="C279" s="81"/>
      <c r="D279" s="81"/>
      <c r="E279" s="139"/>
      <c r="F279" s="139"/>
      <c r="G279" s="139"/>
      <c r="H279" s="35"/>
      <c r="I279" s="206"/>
      <c r="J279" s="139"/>
      <c r="K279" s="139"/>
      <c r="L279" s="139"/>
      <c r="M279" s="139"/>
      <c r="N279" s="139"/>
      <c r="O279" s="139"/>
      <c r="P279" s="81"/>
      <c r="Q279" s="81"/>
      <c r="R279" s="81"/>
      <c r="S279" s="81"/>
      <c r="T279" s="139"/>
      <c r="U279" s="81"/>
      <c r="V279" s="81"/>
      <c r="W279" s="64"/>
      <c r="X279" s="231"/>
      <c r="Y279" s="231"/>
      <c r="Z279" s="231"/>
      <c r="AA279" s="206"/>
      <c r="AB279" s="139"/>
      <c r="AC279" s="139"/>
      <c r="AD279" s="139"/>
      <c r="AE279" s="139"/>
      <c r="AF279" s="210"/>
      <c r="AG279" s="100"/>
    </row>
    <row r="280" spans="1:33" ht="15.75" customHeight="1" x14ac:dyDescent="0.25">
      <c r="A280" s="100">
        <v>0</v>
      </c>
      <c r="B280" s="81"/>
      <c r="C280" s="81"/>
      <c r="D280" s="81"/>
      <c r="E280" s="139"/>
      <c r="F280" s="139"/>
      <c r="G280" s="139"/>
      <c r="H280" s="35"/>
      <c r="I280" s="139"/>
      <c r="J280" s="81"/>
      <c r="K280" s="139"/>
      <c r="L280" s="81"/>
      <c r="M280" s="81"/>
      <c r="N280" s="81"/>
      <c r="O280" s="139"/>
      <c r="P280" s="81"/>
      <c r="Q280" s="81"/>
      <c r="R280" s="81"/>
      <c r="S280" s="81"/>
      <c r="T280" s="139"/>
      <c r="U280" s="81"/>
      <c r="V280" s="81"/>
      <c r="W280" s="64"/>
      <c r="X280" s="64"/>
      <c r="Y280" s="64"/>
      <c r="Z280" s="64"/>
      <c r="AA280" s="64"/>
      <c r="AB280" s="81"/>
      <c r="AC280" s="81"/>
      <c r="AD280" s="81"/>
      <c r="AE280" s="81"/>
      <c r="AF280" s="212"/>
      <c r="AG280" s="100"/>
    </row>
    <row r="281" spans="1:33" ht="15.75" customHeight="1" x14ac:dyDescent="0.25">
      <c r="A281" s="100">
        <v>0</v>
      </c>
      <c r="B281" s="81"/>
      <c r="C281" s="81"/>
      <c r="D281" s="81"/>
      <c r="E281" s="139"/>
      <c r="F281" s="139"/>
      <c r="G281" s="139"/>
      <c r="H281" s="35"/>
      <c r="I281" s="139"/>
      <c r="J281" s="81"/>
      <c r="K281" s="139"/>
      <c r="L281" s="81"/>
      <c r="M281" s="81"/>
      <c r="N281" s="81"/>
      <c r="O281" s="139"/>
      <c r="P281" s="81"/>
      <c r="Q281" s="81"/>
      <c r="R281" s="81"/>
      <c r="S281" s="81"/>
      <c r="T281" s="139"/>
      <c r="U281" s="81"/>
      <c r="V281" s="81"/>
      <c r="W281" s="64"/>
      <c r="X281" s="64"/>
      <c r="Y281" s="64"/>
      <c r="Z281" s="64"/>
      <c r="AA281" s="64"/>
      <c r="AB281" s="81"/>
      <c r="AC281" s="81"/>
      <c r="AD281" s="81"/>
      <c r="AE281" s="81"/>
      <c r="AF281" s="212"/>
      <c r="AG281" s="100"/>
    </row>
    <row r="282" spans="1:33" ht="15.75" customHeight="1" x14ac:dyDescent="0.25">
      <c r="A282" s="100">
        <v>0</v>
      </c>
      <c r="B282" s="81"/>
      <c r="C282" s="81"/>
      <c r="D282" s="81"/>
      <c r="E282" s="139"/>
      <c r="F282" s="139"/>
      <c r="G282" s="139"/>
      <c r="H282" s="35"/>
      <c r="I282" s="139"/>
      <c r="J282" s="81"/>
      <c r="K282" s="139"/>
      <c r="L282" s="81"/>
      <c r="M282" s="81"/>
      <c r="N282" s="81"/>
      <c r="O282" s="139"/>
      <c r="P282" s="81"/>
      <c r="Q282" s="81"/>
      <c r="R282" s="81"/>
      <c r="S282" s="81"/>
      <c r="T282" s="139"/>
      <c r="U282" s="81"/>
      <c r="V282" s="81"/>
      <c r="W282" s="64"/>
      <c r="X282" s="64"/>
      <c r="Y282" s="64"/>
      <c r="Z282" s="64"/>
      <c r="AA282" s="64"/>
      <c r="AB282" s="81"/>
      <c r="AC282" s="81"/>
      <c r="AD282" s="81"/>
      <c r="AE282" s="81"/>
      <c r="AF282" s="212"/>
      <c r="AG282" s="100"/>
    </row>
    <row r="283" spans="1:33" ht="15.75" customHeight="1" x14ac:dyDescent="0.25">
      <c r="A283" s="100">
        <v>0</v>
      </c>
      <c r="B283" s="81"/>
      <c r="C283" s="81"/>
      <c r="D283" s="81"/>
      <c r="E283" s="139"/>
      <c r="F283" s="139"/>
      <c r="G283" s="139"/>
      <c r="H283" s="35"/>
      <c r="I283" s="139"/>
      <c r="J283" s="81"/>
      <c r="K283" s="139"/>
      <c r="L283" s="81"/>
      <c r="M283" s="81"/>
      <c r="N283" s="81"/>
      <c r="O283" s="139"/>
      <c r="P283" s="81"/>
      <c r="Q283" s="81"/>
      <c r="R283" s="81"/>
      <c r="S283" s="81"/>
      <c r="T283" s="139"/>
      <c r="U283" s="81"/>
      <c r="V283" s="81"/>
      <c r="W283" s="64"/>
      <c r="X283" s="64"/>
      <c r="Y283" s="64"/>
      <c r="Z283" s="64"/>
      <c r="AA283" s="64"/>
      <c r="AB283" s="81"/>
      <c r="AC283" s="81"/>
      <c r="AD283" s="81"/>
      <c r="AE283" s="81"/>
      <c r="AF283" s="212"/>
      <c r="AG283" s="100"/>
    </row>
    <row r="284" spans="1:33" ht="15.75" customHeight="1" x14ac:dyDescent="0.25">
      <c r="A284" s="100">
        <v>0</v>
      </c>
      <c r="B284" s="81"/>
      <c r="C284" s="81"/>
      <c r="D284" s="81"/>
      <c r="E284" s="139"/>
      <c r="F284" s="139"/>
      <c r="G284" s="139"/>
      <c r="H284" s="35"/>
      <c r="I284" s="139"/>
      <c r="J284" s="81"/>
      <c r="K284" s="139"/>
      <c r="L284" s="81"/>
      <c r="M284" s="81"/>
      <c r="N284" s="81"/>
      <c r="O284" s="139"/>
      <c r="P284" s="81"/>
      <c r="Q284" s="81"/>
      <c r="R284" s="81"/>
      <c r="S284" s="81"/>
      <c r="T284" s="139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212"/>
      <c r="AG284" s="100"/>
    </row>
    <row r="285" spans="1:33" ht="15.75" customHeight="1" x14ac:dyDescent="0.25">
      <c r="A285" s="100">
        <v>0</v>
      </c>
      <c r="B285" s="81"/>
      <c r="C285" s="81"/>
      <c r="D285" s="81"/>
      <c r="E285" s="139"/>
      <c r="F285" s="139"/>
      <c r="G285" s="139"/>
      <c r="H285" s="35"/>
      <c r="I285" s="139"/>
      <c r="J285" s="81"/>
      <c r="K285" s="139"/>
      <c r="L285" s="81"/>
      <c r="M285" s="81"/>
      <c r="N285" s="81"/>
      <c r="O285" s="139"/>
      <c r="P285" s="81"/>
      <c r="Q285" s="81"/>
      <c r="R285" s="81"/>
      <c r="S285" s="81"/>
      <c r="T285" s="139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212"/>
      <c r="AG285" s="100"/>
    </row>
    <row r="286" spans="1:33" ht="15.75" customHeight="1" x14ac:dyDescent="0.25">
      <c r="A286" s="100">
        <v>0</v>
      </c>
      <c r="B286" s="81"/>
      <c r="C286" s="81"/>
      <c r="D286" s="81"/>
      <c r="E286" s="139"/>
      <c r="F286" s="139"/>
      <c r="G286" s="139"/>
      <c r="H286" s="35"/>
      <c r="I286" s="139"/>
      <c r="J286" s="81"/>
      <c r="K286" s="139"/>
      <c r="L286" s="81"/>
      <c r="M286" s="81"/>
      <c r="N286" s="81"/>
      <c r="O286" s="139"/>
      <c r="P286" s="81"/>
      <c r="Q286" s="81"/>
      <c r="R286" s="81"/>
      <c r="S286" s="81"/>
      <c r="T286" s="139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212"/>
      <c r="AG286" s="100"/>
    </row>
    <row r="287" spans="1:33" ht="15.75" customHeight="1" x14ac:dyDescent="0.25">
      <c r="A287" s="100">
        <v>0</v>
      </c>
      <c r="B287" s="81"/>
      <c r="C287" s="81"/>
      <c r="D287" s="81"/>
      <c r="E287" s="139"/>
      <c r="F287" s="139"/>
      <c r="G287" s="139"/>
      <c r="H287" s="35"/>
      <c r="I287" s="139"/>
      <c r="J287" s="81"/>
      <c r="K287" s="139"/>
      <c r="L287" s="81"/>
      <c r="M287" s="81"/>
      <c r="N287" s="81"/>
      <c r="O287" s="139"/>
      <c r="P287" s="81"/>
      <c r="Q287" s="81"/>
      <c r="R287" s="81"/>
      <c r="S287" s="81"/>
      <c r="T287" s="139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212"/>
      <c r="AG287" s="100"/>
    </row>
    <row r="288" spans="1:33" ht="15.75" customHeight="1" x14ac:dyDescent="0.25">
      <c r="A288" s="100">
        <v>0</v>
      </c>
      <c r="B288" s="81"/>
      <c r="C288" s="81"/>
      <c r="D288" s="81"/>
      <c r="E288" s="139"/>
      <c r="F288" s="139"/>
      <c r="G288" s="139"/>
      <c r="H288" s="35"/>
      <c r="I288" s="139"/>
      <c r="J288" s="81"/>
      <c r="K288" s="139"/>
      <c r="L288" s="81"/>
      <c r="M288" s="81"/>
      <c r="N288" s="81"/>
      <c r="O288" s="139"/>
      <c r="P288" s="81"/>
      <c r="Q288" s="81"/>
      <c r="R288" s="81"/>
      <c r="S288" s="81"/>
      <c r="T288" s="139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212"/>
      <c r="AG288" s="100"/>
    </row>
    <row r="289" spans="1:33" ht="15.75" customHeight="1" x14ac:dyDescent="0.25">
      <c r="A289" s="100">
        <v>0</v>
      </c>
      <c r="B289" s="81"/>
      <c r="C289" s="81"/>
      <c r="D289" s="81"/>
      <c r="E289" s="139"/>
      <c r="F289" s="139"/>
      <c r="G289" s="139"/>
      <c r="H289" s="35"/>
      <c r="I289" s="139"/>
      <c r="J289" s="81"/>
      <c r="K289" s="139"/>
      <c r="L289" s="81"/>
      <c r="M289" s="81"/>
      <c r="N289" s="81"/>
      <c r="O289" s="139"/>
      <c r="P289" s="81"/>
      <c r="Q289" s="81"/>
      <c r="R289" s="81"/>
      <c r="S289" s="81"/>
      <c r="T289" s="139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212"/>
      <c r="AG289" s="100"/>
    </row>
    <row r="290" spans="1:33" ht="15.75" customHeight="1" x14ac:dyDescent="0.25">
      <c r="A290" s="100">
        <v>0</v>
      </c>
      <c r="B290" s="81"/>
      <c r="C290" s="81"/>
      <c r="D290" s="81"/>
      <c r="E290" s="139"/>
      <c r="F290" s="139"/>
      <c r="G290" s="139"/>
      <c r="H290" s="35"/>
      <c r="I290" s="139"/>
      <c r="J290" s="81"/>
      <c r="K290" s="139"/>
      <c r="L290" s="81"/>
      <c r="M290" s="81"/>
      <c r="N290" s="81"/>
      <c r="O290" s="139"/>
      <c r="P290" s="81"/>
      <c r="Q290" s="81"/>
      <c r="R290" s="81"/>
      <c r="S290" s="81"/>
      <c r="T290" s="139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212"/>
      <c r="AG290" s="100"/>
    </row>
    <row r="291" spans="1:33" ht="15.75" customHeight="1" x14ac:dyDescent="0.25">
      <c r="A291" s="100">
        <v>0</v>
      </c>
      <c r="B291" s="81"/>
      <c r="C291" s="81"/>
      <c r="D291" s="81"/>
      <c r="E291" s="139"/>
      <c r="F291" s="139"/>
      <c r="G291" s="139"/>
      <c r="H291" s="35"/>
      <c r="I291" s="139"/>
      <c r="J291" s="81"/>
      <c r="K291" s="139"/>
      <c r="L291" s="81"/>
      <c r="M291" s="81"/>
      <c r="N291" s="81"/>
      <c r="O291" s="139"/>
      <c r="P291" s="81"/>
      <c r="Q291" s="81"/>
      <c r="R291" s="81"/>
      <c r="S291" s="81"/>
      <c r="T291" s="139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212"/>
      <c r="AG291" s="100"/>
    </row>
    <row r="292" spans="1:33" ht="15.75" customHeight="1" x14ac:dyDescent="0.3">
      <c r="B292" s="214"/>
      <c r="C292" s="214"/>
      <c r="D292" s="214"/>
      <c r="E292" s="216"/>
      <c r="F292" s="216"/>
      <c r="G292" s="216"/>
      <c r="H292" s="216"/>
      <c r="I292" s="216"/>
      <c r="J292" s="216"/>
      <c r="K292" s="214"/>
      <c r="L292" s="214"/>
      <c r="M292" s="214"/>
      <c r="N292" s="216"/>
      <c r="O292" s="216"/>
      <c r="P292" s="214"/>
      <c r="Q292" s="214"/>
      <c r="R292" s="214"/>
      <c r="S292" s="214"/>
      <c r="T292" s="216"/>
      <c r="U292" s="216"/>
      <c r="V292" s="216"/>
      <c r="W292" s="216"/>
      <c r="X292" s="216"/>
      <c r="Y292" s="216"/>
      <c r="Z292" s="216"/>
      <c r="AA292" s="216"/>
      <c r="AB292" s="216"/>
      <c r="AC292" s="216"/>
      <c r="AD292" s="216"/>
      <c r="AE292" s="216"/>
      <c r="AF292" s="218"/>
      <c r="AG292" s="219"/>
    </row>
    <row r="293" spans="1:33" ht="15.75" customHeight="1" x14ac:dyDescent="0.25"/>
    <row r="294" spans="1:33" ht="15.75" customHeight="1" x14ac:dyDescent="0.25">
      <c r="A294" s="100">
        <v>1</v>
      </c>
      <c r="B294" s="203" t="str">
        <f ca="1">IFERROR(__xludf.DUMMYFUNCTION("Importrange(""https://docs.google.com/spreadsheets/d/1qhY98vCt-eQdrTharXEV4ntgOmAajcjKdzTA9nNJSNY/edit?gid=1132925994#"",""Personnel Cost!A34:AE44"")"),"#REF!")</f>
        <v>#REF!</v>
      </c>
      <c r="C294" s="81"/>
      <c r="D294" s="81"/>
      <c r="E294" s="139"/>
      <c r="F294" s="139"/>
      <c r="G294" s="139"/>
      <c r="H294" s="35"/>
      <c r="I294" s="139"/>
      <c r="J294" s="139"/>
      <c r="K294" s="139"/>
      <c r="L294" s="139"/>
      <c r="M294" s="189"/>
      <c r="N294" s="81"/>
      <c r="O294" s="139"/>
      <c r="P294" s="81"/>
      <c r="Q294" s="81"/>
      <c r="R294" s="81"/>
      <c r="S294" s="81"/>
      <c r="T294" s="139"/>
      <c r="U294" s="81"/>
      <c r="V294" s="81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210"/>
      <c r="AG294" s="100"/>
    </row>
    <row r="295" spans="1:33" ht="15.75" customHeight="1" x14ac:dyDescent="0.25">
      <c r="A295" s="100">
        <v>0</v>
      </c>
      <c r="B295" s="81"/>
      <c r="C295" s="81"/>
      <c r="D295" s="81"/>
      <c r="E295" s="139"/>
      <c r="F295" s="139"/>
      <c r="G295" s="139"/>
      <c r="H295" s="35"/>
      <c r="I295" s="139"/>
      <c r="J295" s="81"/>
      <c r="K295" s="139"/>
      <c r="L295" s="81"/>
      <c r="M295" s="81"/>
      <c r="N295" s="81"/>
      <c r="O295" s="139"/>
      <c r="P295" s="81"/>
      <c r="Q295" s="81"/>
      <c r="R295" s="81"/>
      <c r="S295" s="81"/>
      <c r="T295" s="139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212"/>
      <c r="AG295" s="100"/>
    </row>
    <row r="296" spans="1:33" ht="15.75" customHeight="1" x14ac:dyDescent="0.25">
      <c r="A296" s="100">
        <v>0</v>
      </c>
      <c r="B296" s="81"/>
      <c r="C296" s="81"/>
      <c r="D296" s="81"/>
      <c r="E296" s="139"/>
      <c r="F296" s="139"/>
      <c r="G296" s="139"/>
      <c r="H296" s="35"/>
      <c r="I296" s="139"/>
      <c r="J296" s="81"/>
      <c r="K296" s="139"/>
      <c r="L296" s="81"/>
      <c r="M296" s="81"/>
      <c r="N296" s="81"/>
      <c r="O296" s="139"/>
      <c r="P296" s="81"/>
      <c r="Q296" s="81"/>
      <c r="R296" s="81"/>
      <c r="S296" s="81"/>
      <c r="T296" s="139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212"/>
      <c r="AG296" s="100"/>
    </row>
    <row r="297" spans="1:33" ht="15.75" customHeight="1" x14ac:dyDescent="0.25">
      <c r="A297" s="100">
        <v>0</v>
      </c>
      <c r="B297" s="81"/>
      <c r="C297" s="81"/>
      <c r="D297" s="81"/>
      <c r="E297" s="139"/>
      <c r="F297" s="139"/>
      <c r="G297" s="139"/>
      <c r="H297" s="35"/>
      <c r="I297" s="139"/>
      <c r="J297" s="81"/>
      <c r="K297" s="139"/>
      <c r="L297" s="81"/>
      <c r="M297" s="81"/>
      <c r="N297" s="81"/>
      <c r="O297" s="139"/>
      <c r="P297" s="81"/>
      <c r="Q297" s="81"/>
      <c r="R297" s="81"/>
      <c r="S297" s="81"/>
      <c r="T297" s="139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212"/>
      <c r="AG297" s="100"/>
    </row>
    <row r="298" spans="1:33" ht="15.75" customHeight="1" x14ac:dyDescent="0.25">
      <c r="A298" s="100">
        <v>0</v>
      </c>
      <c r="B298" s="81"/>
      <c r="C298" s="81"/>
      <c r="D298" s="81"/>
      <c r="E298" s="139"/>
      <c r="F298" s="139"/>
      <c r="G298" s="139"/>
      <c r="H298" s="35"/>
      <c r="I298" s="139"/>
      <c r="J298" s="81"/>
      <c r="K298" s="139"/>
      <c r="L298" s="81"/>
      <c r="M298" s="81"/>
      <c r="N298" s="81"/>
      <c r="O298" s="139"/>
      <c r="P298" s="81"/>
      <c r="Q298" s="81"/>
      <c r="R298" s="81"/>
      <c r="S298" s="81"/>
      <c r="T298" s="139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212"/>
      <c r="AG298" s="100"/>
    </row>
    <row r="299" spans="1:33" ht="15.75" customHeight="1" x14ac:dyDescent="0.25">
      <c r="A299" s="100">
        <v>0</v>
      </c>
      <c r="B299" s="81"/>
      <c r="C299" s="81"/>
      <c r="D299" s="81"/>
      <c r="E299" s="139"/>
      <c r="F299" s="139"/>
      <c r="G299" s="139"/>
      <c r="H299" s="35"/>
      <c r="I299" s="139"/>
      <c r="J299" s="81"/>
      <c r="K299" s="139"/>
      <c r="L299" s="81"/>
      <c r="M299" s="81"/>
      <c r="N299" s="81"/>
      <c r="O299" s="139"/>
      <c r="P299" s="81"/>
      <c r="Q299" s="81"/>
      <c r="R299" s="81"/>
      <c r="S299" s="81"/>
      <c r="T299" s="139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212"/>
      <c r="AG299" s="100"/>
    </row>
    <row r="300" spans="1:33" ht="15.75" customHeight="1" x14ac:dyDescent="0.25">
      <c r="A300" s="100">
        <v>0</v>
      </c>
      <c r="B300" s="81"/>
      <c r="C300" s="81"/>
      <c r="D300" s="81"/>
      <c r="E300" s="139"/>
      <c r="F300" s="139"/>
      <c r="G300" s="139"/>
      <c r="H300" s="35"/>
      <c r="I300" s="139"/>
      <c r="J300" s="81"/>
      <c r="K300" s="139"/>
      <c r="L300" s="81"/>
      <c r="M300" s="81"/>
      <c r="N300" s="81"/>
      <c r="O300" s="139"/>
      <c r="P300" s="81"/>
      <c r="Q300" s="81"/>
      <c r="R300" s="81"/>
      <c r="S300" s="81"/>
      <c r="T300" s="139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212"/>
      <c r="AG300" s="100"/>
    </row>
    <row r="301" spans="1:33" ht="15.75" customHeight="1" x14ac:dyDescent="0.25">
      <c r="A301" s="100">
        <v>0</v>
      </c>
      <c r="B301" s="81"/>
      <c r="C301" s="81"/>
      <c r="D301" s="81"/>
      <c r="E301" s="139"/>
      <c r="F301" s="139"/>
      <c r="G301" s="139"/>
      <c r="H301" s="35"/>
      <c r="I301" s="139"/>
      <c r="J301" s="81"/>
      <c r="K301" s="139"/>
      <c r="L301" s="81"/>
      <c r="M301" s="81"/>
      <c r="N301" s="81"/>
      <c r="O301" s="139"/>
      <c r="P301" s="81"/>
      <c r="Q301" s="81"/>
      <c r="R301" s="81"/>
      <c r="S301" s="81"/>
      <c r="T301" s="139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212"/>
      <c r="AG301" s="100"/>
    </row>
    <row r="302" spans="1:33" ht="15.75" customHeight="1" x14ac:dyDescent="0.25">
      <c r="A302" s="100">
        <v>0</v>
      </c>
      <c r="B302" s="81"/>
      <c r="C302" s="81"/>
      <c r="D302" s="81"/>
      <c r="E302" s="139"/>
      <c r="F302" s="139"/>
      <c r="G302" s="139"/>
      <c r="H302" s="35"/>
      <c r="I302" s="139"/>
      <c r="J302" s="81"/>
      <c r="K302" s="139"/>
      <c r="L302" s="81"/>
      <c r="M302" s="81"/>
      <c r="N302" s="81"/>
      <c r="O302" s="139"/>
      <c r="P302" s="81"/>
      <c r="Q302" s="81"/>
      <c r="R302" s="81"/>
      <c r="S302" s="81"/>
      <c r="T302" s="139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212"/>
      <c r="AG302" s="100"/>
    </row>
    <row r="303" spans="1:33" ht="15.75" customHeight="1" x14ac:dyDescent="0.25">
      <c r="A303" s="100">
        <v>0</v>
      </c>
      <c r="B303" s="81"/>
      <c r="C303" s="81"/>
      <c r="D303" s="81"/>
      <c r="E303" s="139"/>
      <c r="F303" s="139"/>
      <c r="G303" s="139"/>
      <c r="H303" s="35"/>
      <c r="I303" s="139"/>
      <c r="J303" s="81"/>
      <c r="K303" s="139"/>
      <c r="L303" s="81"/>
      <c r="M303" s="81"/>
      <c r="N303" s="81"/>
      <c r="O303" s="139"/>
      <c r="P303" s="81"/>
      <c r="Q303" s="81"/>
      <c r="R303" s="81"/>
      <c r="S303" s="81"/>
      <c r="T303" s="139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212"/>
      <c r="AG303" s="100"/>
    </row>
    <row r="304" spans="1:33" ht="15.75" customHeight="1" x14ac:dyDescent="0.3">
      <c r="B304" s="214"/>
      <c r="C304" s="214"/>
      <c r="D304" s="214"/>
      <c r="E304" s="216"/>
      <c r="F304" s="216"/>
      <c r="G304" s="216"/>
      <c r="H304" s="216"/>
      <c r="I304" s="216"/>
      <c r="J304" s="216"/>
      <c r="K304" s="214"/>
      <c r="L304" s="214"/>
      <c r="M304" s="214"/>
      <c r="N304" s="216"/>
      <c r="O304" s="216"/>
      <c r="P304" s="214"/>
      <c r="Q304" s="214"/>
      <c r="R304" s="214"/>
      <c r="S304" s="214"/>
      <c r="T304" s="216"/>
      <c r="U304" s="216"/>
      <c r="V304" s="216"/>
      <c r="W304" s="216"/>
      <c r="X304" s="216"/>
      <c r="Y304" s="216"/>
      <c r="Z304" s="216"/>
      <c r="AA304" s="216"/>
      <c r="AB304" s="216"/>
      <c r="AC304" s="216"/>
      <c r="AD304" s="216"/>
      <c r="AE304" s="216"/>
      <c r="AF304" s="218"/>
      <c r="AG304" s="219"/>
    </row>
    <row r="305" spans="1:33" ht="15.75" customHeight="1" x14ac:dyDescent="0.25"/>
    <row r="306" spans="1:33" ht="15.75" customHeight="1" x14ac:dyDescent="0.25">
      <c r="A306" s="100">
        <v>0</v>
      </c>
      <c r="B306" s="203" t="str">
        <f ca="1">IFERROR(__xludf.DUMMYFUNCTION("Importrange(""https://docs.google.com/spreadsheets/d/1qhY98vCt-eQdrTharXEV4ntgOmAajcjKdzTA9nNJSNY/edit?gid=1132925994#"",""Personnel Cost!A57:AE67"")"),"#REF!")</f>
        <v>#REF!</v>
      </c>
      <c r="C306" s="81"/>
      <c r="D306" s="81"/>
      <c r="E306" s="139"/>
      <c r="F306" s="139"/>
      <c r="G306" s="139"/>
      <c r="H306" s="35"/>
      <c r="I306" s="139"/>
      <c r="J306" s="81"/>
      <c r="K306" s="81"/>
      <c r="L306" s="81"/>
      <c r="M306" s="81"/>
      <c r="N306" s="81"/>
      <c r="O306" s="139"/>
      <c r="P306" s="81"/>
      <c r="Q306" s="81"/>
      <c r="R306" s="81"/>
      <c r="S306" s="81"/>
      <c r="T306" s="139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212"/>
      <c r="AG306" s="100"/>
    </row>
    <row r="307" spans="1:33" ht="15.75" customHeight="1" x14ac:dyDescent="0.25">
      <c r="A307" s="100">
        <v>0</v>
      </c>
      <c r="B307" s="81"/>
      <c r="C307" s="81"/>
      <c r="D307" s="81"/>
      <c r="E307" s="139"/>
      <c r="F307" s="139"/>
      <c r="G307" s="139"/>
      <c r="H307" s="35"/>
      <c r="I307" s="139"/>
      <c r="J307" s="81"/>
      <c r="K307" s="81"/>
      <c r="L307" s="81"/>
      <c r="M307" s="81"/>
      <c r="N307" s="81"/>
      <c r="O307" s="139"/>
      <c r="P307" s="81"/>
      <c r="Q307" s="81"/>
      <c r="R307" s="81"/>
      <c r="S307" s="81"/>
      <c r="T307" s="139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212"/>
      <c r="AG307" s="100"/>
    </row>
    <row r="308" spans="1:33" ht="15.75" customHeight="1" x14ac:dyDescent="0.25">
      <c r="A308" s="100">
        <v>0</v>
      </c>
      <c r="B308" s="81"/>
      <c r="C308" s="81"/>
      <c r="D308" s="81"/>
      <c r="E308" s="139"/>
      <c r="F308" s="139"/>
      <c r="G308" s="139"/>
      <c r="H308" s="35"/>
      <c r="I308" s="139"/>
      <c r="J308" s="81"/>
      <c r="K308" s="81"/>
      <c r="L308" s="81"/>
      <c r="M308" s="81"/>
      <c r="N308" s="81"/>
      <c r="O308" s="139"/>
      <c r="P308" s="81"/>
      <c r="Q308" s="81"/>
      <c r="R308" s="81"/>
      <c r="S308" s="81"/>
      <c r="T308" s="139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212"/>
      <c r="AG308" s="100"/>
    </row>
    <row r="309" spans="1:33" ht="15.75" customHeight="1" x14ac:dyDescent="0.25">
      <c r="A309" s="100">
        <v>0</v>
      </c>
      <c r="B309" s="81"/>
      <c r="C309" s="81"/>
      <c r="D309" s="81"/>
      <c r="E309" s="139"/>
      <c r="F309" s="139"/>
      <c r="G309" s="139"/>
      <c r="H309" s="35"/>
      <c r="I309" s="139"/>
      <c r="J309" s="81"/>
      <c r="K309" s="81"/>
      <c r="L309" s="81"/>
      <c r="M309" s="81"/>
      <c r="N309" s="81"/>
      <c r="O309" s="139"/>
      <c r="P309" s="81"/>
      <c r="Q309" s="81"/>
      <c r="R309" s="81"/>
      <c r="S309" s="81"/>
      <c r="T309" s="139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212"/>
      <c r="AG309" s="100"/>
    </row>
    <row r="310" spans="1:33" ht="15.75" customHeight="1" x14ac:dyDescent="0.25">
      <c r="A310" s="100">
        <v>0</v>
      </c>
      <c r="B310" s="81"/>
      <c r="C310" s="81"/>
      <c r="D310" s="81"/>
      <c r="E310" s="139"/>
      <c r="F310" s="139"/>
      <c r="G310" s="139"/>
      <c r="H310" s="35"/>
      <c r="I310" s="139"/>
      <c r="J310" s="81"/>
      <c r="K310" s="139"/>
      <c r="L310" s="81"/>
      <c r="M310" s="81"/>
      <c r="N310" s="81"/>
      <c r="O310" s="139"/>
      <c r="P310" s="81"/>
      <c r="Q310" s="81"/>
      <c r="R310" s="81"/>
      <c r="S310" s="81"/>
      <c r="T310" s="139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212"/>
      <c r="AG310" s="100"/>
    </row>
    <row r="311" spans="1:33" ht="15.75" customHeight="1" x14ac:dyDescent="0.25">
      <c r="A311" s="100">
        <v>0</v>
      </c>
      <c r="B311" s="81"/>
      <c r="C311" s="81"/>
      <c r="D311" s="81"/>
      <c r="E311" s="139"/>
      <c r="F311" s="139"/>
      <c r="G311" s="139"/>
      <c r="H311" s="35"/>
      <c r="I311" s="139"/>
      <c r="J311" s="81"/>
      <c r="K311" s="81"/>
      <c r="L311" s="81"/>
      <c r="M311" s="81"/>
      <c r="N311" s="81"/>
      <c r="O311" s="139"/>
      <c r="P311" s="81"/>
      <c r="Q311" s="81"/>
      <c r="R311" s="81"/>
      <c r="S311" s="81"/>
      <c r="T311" s="139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212"/>
      <c r="AG311" s="100"/>
    </row>
    <row r="312" spans="1:33" ht="15.75" customHeight="1" x14ac:dyDescent="0.25">
      <c r="A312" s="100">
        <v>0</v>
      </c>
      <c r="B312" s="81"/>
      <c r="C312" s="81"/>
      <c r="D312" s="81"/>
      <c r="E312" s="139"/>
      <c r="F312" s="139"/>
      <c r="G312" s="139"/>
      <c r="H312" s="35"/>
      <c r="I312" s="139"/>
      <c r="J312" s="81"/>
      <c r="K312" s="81"/>
      <c r="L312" s="81"/>
      <c r="M312" s="81"/>
      <c r="N312" s="81"/>
      <c r="O312" s="139"/>
      <c r="P312" s="81"/>
      <c r="Q312" s="81"/>
      <c r="R312" s="81"/>
      <c r="S312" s="81"/>
      <c r="T312" s="139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212"/>
      <c r="AG312" s="100"/>
    </row>
    <row r="313" spans="1:33" ht="15.75" customHeight="1" x14ac:dyDescent="0.25">
      <c r="A313" s="100">
        <v>0</v>
      </c>
      <c r="B313" s="81"/>
      <c r="C313" s="81"/>
      <c r="D313" s="81"/>
      <c r="E313" s="139"/>
      <c r="F313" s="139"/>
      <c r="G313" s="139"/>
      <c r="H313" s="35"/>
      <c r="I313" s="139"/>
      <c r="J313" s="81"/>
      <c r="K313" s="81"/>
      <c r="L313" s="81"/>
      <c r="M313" s="81"/>
      <c r="N313" s="81"/>
      <c r="O313" s="139"/>
      <c r="P313" s="81"/>
      <c r="Q313" s="81"/>
      <c r="R313" s="81"/>
      <c r="S313" s="81"/>
      <c r="T313" s="139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212"/>
      <c r="AG313" s="100"/>
    </row>
    <row r="314" spans="1:33" ht="15.75" customHeight="1" x14ac:dyDescent="0.25">
      <c r="A314" s="100">
        <v>0</v>
      </c>
      <c r="B314" s="81"/>
      <c r="C314" s="81"/>
      <c r="D314" s="81"/>
      <c r="E314" s="139"/>
      <c r="F314" s="139"/>
      <c r="G314" s="139"/>
      <c r="H314" s="35"/>
      <c r="I314" s="139"/>
      <c r="J314" s="81"/>
      <c r="K314" s="81"/>
      <c r="L314" s="81"/>
      <c r="M314" s="81"/>
      <c r="N314" s="81"/>
      <c r="O314" s="139"/>
      <c r="P314" s="81"/>
      <c r="Q314" s="81"/>
      <c r="R314" s="81"/>
      <c r="S314" s="81"/>
      <c r="T314" s="139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212"/>
      <c r="AG314" s="100"/>
    </row>
    <row r="315" spans="1:33" ht="15.75" customHeight="1" x14ac:dyDescent="0.25">
      <c r="A315" s="100">
        <v>0</v>
      </c>
      <c r="B315" s="81"/>
      <c r="C315" s="81"/>
      <c r="D315" s="81"/>
      <c r="E315" s="139"/>
      <c r="F315" s="139"/>
      <c r="G315" s="139"/>
      <c r="H315" s="35"/>
      <c r="I315" s="139"/>
      <c r="J315" s="81"/>
      <c r="K315" s="81"/>
      <c r="L315" s="81"/>
      <c r="M315" s="81"/>
      <c r="N315" s="81"/>
      <c r="O315" s="139"/>
      <c r="P315" s="81"/>
      <c r="Q315" s="81"/>
      <c r="R315" s="81"/>
      <c r="S315" s="81"/>
      <c r="T315" s="139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212"/>
      <c r="AG315" s="100"/>
    </row>
    <row r="316" spans="1:33" ht="15.75" customHeight="1" x14ac:dyDescent="0.3">
      <c r="B316" s="214"/>
      <c r="C316" s="214"/>
      <c r="D316" s="214"/>
      <c r="E316" s="216"/>
      <c r="F316" s="216"/>
      <c r="G316" s="216"/>
      <c r="H316" s="216"/>
      <c r="I316" s="216"/>
      <c r="J316" s="216"/>
      <c r="K316" s="214"/>
      <c r="L316" s="214"/>
      <c r="M316" s="214"/>
      <c r="N316" s="216"/>
      <c r="O316" s="216"/>
      <c r="P316" s="214"/>
      <c r="Q316" s="214"/>
      <c r="R316" s="214"/>
      <c r="S316" s="214"/>
      <c r="T316" s="216"/>
      <c r="U316" s="216"/>
      <c r="V316" s="216"/>
      <c r="W316" s="216"/>
      <c r="X316" s="216"/>
      <c r="Y316" s="216"/>
      <c r="Z316" s="216"/>
      <c r="AA316" s="216"/>
      <c r="AB316" s="216"/>
      <c r="AC316" s="216"/>
      <c r="AD316" s="216"/>
      <c r="AE316" s="216"/>
      <c r="AF316" s="218"/>
      <c r="AG316" s="219"/>
    </row>
    <row r="317" spans="1:33" ht="15.75" customHeight="1" x14ac:dyDescent="0.25"/>
    <row r="318" spans="1:33" ht="15.75" customHeight="1" x14ac:dyDescent="0.25">
      <c r="A318" s="15">
        <v>1</v>
      </c>
      <c r="B318" s="203" t="str">
        <f ca="1">IFERROR(__xludf.DUMMYFUNCTION("Importrange(""https://docs.google.com/spreadsheets/d/1e8LVrKCi_ZCHi7eo6-2HEGPrEUGBmeryvC4waJgoK2I/edit?gid=1669971463#"",""Personnel Cost!A2:AE16"")"),"#REF!")</f>
        <v>#REF!</v>
      </c>
      <c r="C318" s="81"/>
      <c r="D318" s="81"/>
      <c r="E318" s="139"/>
      <c r="F318" s="139"/>
      <c r="G318" s="139"/>
      <c r="H318" s="35"/>
      <c r="I318" s="139"/>
      <c r="J318" s="139"/>
      <c r="K318" s="139"/>
      <c r="L318" s="139"/>
      <c r="M318" s="241"/>
      <c r="N318" s="139"/>
      <c r="O318" s="139"/>
      <c r="P318" s="139"/>
      <c r="Q318" s="207"/>
      <c r="R318" s="208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210"/>
      <c r="AG318" s="100"/>
    </row>
    <row r="319" spans="1:33" ht="15.75" customHeight="1" x14ac:dyDescent="0.25">
      <c r="A319" s="100">
        <v>1</v>
      </c>
      <c r="B319" s="81"/>
      <c r="C319" s="81"/>
      <c r="D319" s="81"/>
      <c r="E319" s="139"/>
      <c r="F319" s="139"/>
      <c r="G319" s="139"/>
      <c r="H319" s="35"/>
      <c r="I319" s="139"/>
      <c r="J319" s="139"/>
      <c r="K319" s="139"/>
      <c r="L319" s="139"/>
      <c r="M319" s="246"/>
      <c r="N319" s="139"/>
      <c r="O319" s="139"/>
      <c r="P319" s="139"/>
      <c r="Q319" s="207"/>
      <c r="R319" s="208"/>
      <c r="S319" s="139"/>
      <c r="T319" s="139"/>
      <c r="U319" s="139"/>
      <c r="V319" s="139"/>
      <c r="W319" s="139"/>
      <c r="X319" s="206"/>
      <c r="Y319" s="206"/>
      <c r="Z319" s="206"/>
      <c r="AA319" s="206"/>
      <c r="AB319" s="206"/>
      <c r="AC319" s="206"/>
      <c r="AD319" s="206"/>
      <c r="AE319" s="139"/>
      <c r="AF319" s="210"/>
      <c r="AG319" s="100"/>
    </row>
    <row r="320" spans="1:33" ht="15.75" customHeight="1" x14ac:dyDescent="0.25">
      <c r="A320" s="100">
        <v>1</v>
      </c>
      <c r="B320" s="81"/>
      <c r="C320" s="81"/>
      <c r="D320" s="81"/>
      <c r="E320" s="139"/>
      <c r="F320" s="139"/>
      <c r="G320" s="139"/>
      <c r="H320" s="35"/>
      <c r="I320" s="206"/>
      <c r="J320" s="139"/>
      <c r="K320" s="139"/>
      <c r="L320" s="139"/>
      <c r="M320" s="139"/>
      <c r="N320" s="139"/>
      <c r="O320" s="139"/>
      <c r="P320" s="139"/>
      <c r="Q320" s="207"/>
      <c r="R320" s="208"/>
      <c r="S320" s="139"/>
      <c r="T320" s="139"/>
      <c r="U320" s="139"/>
      <c r="V320" s="139"/>
      <c r="W320" s="139"/>
      <c r="X320" s="206"/>
      <c r="Y320" s="206"/>
      <c r="Z320" s="206"/>
      <c r="AA320" s="206"/>
      <c r="AB320" s="206"/>
      <c r="AC320" s="206"/>
      <c r="AD320" s="206"/>
      <c r="AE320" s="139"/>
      <c r="AF320" s="210"/>
      <c r="AG320" s="100"/>
    </row>
    <row r="321" spans="1:33" ht="15.75" customHeight="1" x14ac:dyDescent="0.25">
      <c r="A321" s="100">
        <v>1</v>
      </c>
      <c r="B321" s="81"/>
      <c r="C321" s="81"/>
      <c r="D321" s="81"/>
      <c r="E321" s="139"/>
      <c r="F321" s="139"/>
      <c r="G321" s="139"/>
      <c r="H321" s="35"/>
      <c r="I321" s="139"/>
      <c r="J321" s="139"/>
      <c r="K321" s="139"/>
      <c r="L321" s="139"/>
      <c r="M321" s="241"/>
      <c r="N321" s="139"/>
      <c r="O321" s="139"/>
      <c r="P321" s="139"/>
      <c r="Q321" s="207"/>
      <c r="R321" s="190"/>
      <c r="S321" s="139"/>
      <c r="T321" s="139"/>
      <c r="U321" s="139"/>
      <c r="V321" s="139"/>
      <c r="W321" s="139"/>
      <c r="X321" s="206"/>
      <c r="Y321" s="206"/>
      <c r="Z321" s="206"/>
      <c r="AA321" s="206"/>
      <c r="AB321" s="206"/>
      <c r="AC321" s="206"/>
      <c r="AD321" s="206"/>
      <c r="AE321" s="139"/>
      <c r="AF321" s="210"/>
      <c r="AG321" s="100"/>
    </row>
    <row r="322" spans="1:33" ht="15.75" customHeight="1" x14ac:dyDescent="0.25">
      <c r="A322" s="100">
        <v>1</v>
      </c>
      <c r="B322" s="81"/>
      <c r="C322" s="81"/>
      <c r="D322" s="81"/>
      <c r="E322" s="139"/>
      <c r="F322" s="139"/>
      <c r="G322" s="139"/>
      <c r="H322" s="35"/>
      <c r="I322" s="139"/>
      <c r="J322" s="139"/>
      <c r="K322" s="139"/>
      <c r="L322" s="139"/>
      <c r="M322" s="241"/>
      <c r="N322" s="81"/>
      <c r="O322" s="139"/>
      <c r="P322" s="81"/>
      <c r="Q322" s="81"/>
      <c r="R322" s="81"/>
      <c r="S322" s="81"/>
      <c r="T322" s="139"/>
      <c r="U322" s="139"/>
      <c r="V322" s="139"/>
      <c r="W322" s="139"/>
      <c r="X322" s="206"/>
      <c r="Y322" s="206"/>
      <c r="Z322" s="206"/>
      <c r="AA322" s="206"/>
      <c r="AB322" s="206"/>
      <c r="AC322" s="206"/>
      <c r="AD322" s="206"/>
      <c r="AE322" s="139"/>
      <c r="AF322" s="210"/>
      <c r="AG322" s="100"/>
    </row>
    <row r="323" spans="1:33" ht="15.75" customHeight="1" x14ac:dyDescent="0.25">
      <c r="A323" s="100">
        <v>1</v>
      </c>
      <c r="B323" s="81"/>
      <c r="C323" s="81"/>
      <c r="D323" s="81"/>
      <c r="E323" s="139"/>
      <c r="F323" s="139"/>
      <c r="G323" s="139"/>
      <c r="H323" s="35"/>
      <c r="I323" s="139"/>
      <c r="J323" s="139"/>
      <c r="K323" s="139"/>
      <c r="L323" s="139"/>
      <c r="M323" s="241"/>
      <c r="N323" s="81"/>
      <c r="O323" s="139"/>
      <c r="P323" s="81"/>
      <c r="Q323" s="81"/>
      <c r="R323" s="81"/>
      <c r="S323" s="81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210"/>
      <c r="AG323" s="100"/>
    </row>
    <row r="324" spans="1:33" ht="15.75" customHeight="1" x14ac:dyDescent="0.25">
      <c r="A324" s="100">
        <v>1</v>
      </c>
      <c r="B324" s="81"/>
      <c r="C324" s="81"/>
      <c r="D324" s="81"/>
      <c r="E324" s="139"/>
      <c r="F324" s="139"/>
      <c r="G324" s="139"/>
      <c r="H324" s="35"/>
      <c r="I324" s="139"/>
      <c r="J324" s="139"/>
      <c r="K324" s="139"/>
      <c r="L324" s="139"/>
      <c r="M324" s="241"/>
      <c r="N324" s="81"/>
      <c r="O324" s="139"/>
      <c r="P324" s="81"/>
      <c r="Q324" s="81"/>
      <c r="R324" s="81"/>
      <c r="S324" s="81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210"/>
      <c r="AG324" s="100"/>
    </row>
    <row r="325" spans="1:33" ht="15.75" customHeight="1" x14ac:dyDescent="0.25">
      <c r="A325" s="100">
        <v>0</v>
      </c>
      <c r="B325" s="81"/>
      <c r="C325" s="81"/>
      <c r="D325" s="81"/>
      <c r="E325" s="139"/>
      <c r="F325" s="139"/>
      <c r="G325" s="139"/>
      <c r="H325" s="35"/>
      <c r="I325" s="139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210"/>
      <c r="AG325" s="100"/>
    </row>
    <row r="326" spans="1:33" ht="15.75" customHeight="1" x14ac:dyDescent="0.25">
      <c r="A326" s="100">
        <v>0</v>
      </c>
      <c r="B326" s="81"/>
      <c r="C326" s="81"/>
      <c r="D326" s="81"/>
      <c r="E326" s="139"/>
      <c r="F326" s="139"/>
      <c r="G326" s="139"/>
      <c r="H326" s="35"/>
      <c r="I326" s="139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210"/>
      <c r="AG326" s="100"/>
    </row>
    <row r="327" spans="1:33" ht="15.75" customHeight="1" x14ac:dyDescent="0.25">
      <c r="A327" s="100">
        <v>0</v>
      </c>
      <c r="B327" s="81"/>
      <c r="C327" s="81"/>
      <c r="D327" s="81"/>
      <c r="E327" s="139"/>
      <c r="F327" s="139"/>
      <c r="G327" s="139"/>
      <c r="H327" s="35"/>
      <c r="I327" s="139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210"/>
      <c r="AG327" s="100"/>
    </row>
    <row r="328" spans="1:33" ht="15.75" customHeight="1" x14ac:dyDescent="0.25">
      <c r="A328" s="100">
        <v>0</v>
      </c>
      <c r="B328" s="81"/>
      <c r="C328" s="81"/>
      <c r="D328" s="81"/>
      <c r="E328" s="139"/>
      <c r="F328" s="139"/>
      <c r="G328" s="139"/>
      <c r="H328" s="35"/>
      <c r="I328" s="139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210"/>
      <c r="AG328" s="100"/>
    </row>
    <row r="329" spans="1:33" ht="15.75" customHeight="1" x14ac:dyDescent="0.25">
      <c r="A329" s="100">
        <v>0</v>
      </c>
      <c r="B329" s="81"/>
      <c r="C329" s="81"/>
      <c r="D329" s="81"/>
      <c r="E329" s="139"/>
      <c r="F329" s="139"/>
      <c r="G329" s="139"/>
      <c r="H329" s="35"/>
      <c r="I329" s="139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210"/>
      <c r="AG329" s="100"/>
    </row>
    <row r="330" spans="1:33" ht="15.75" customHeight="1" x14ac:dyDescent="0.25">
      <c r="A330" s="100">
        <v>0</v>
      </c>
      <c r="B330" s="81"/>
      <c r="C330" s="81"/>
      <c r="D330" s="81"/>
      <c r="E330" s="139"/>
      <c r="F330" s="139"/>
      <c r="G330" s="139"/>
      <c r="H330" s="35"/>
      <c r="I330" s="139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210"/>
      <c r="AG330" s="100"/>
    </row>
    <row r="331" spans="1:33" ht="15.75" customHeight="1" x14ac:dyDescent="0.25">
      <c r="A331" s="100">
        <v>0</v>
      </c>
      <c r="B331" s="81"/>
      <c r="C331" s="81"/>
      <c r="D331" s="81"/>
      <c r="E331" s="139"/>
      <c r="F331" s="139"/>
      <c r="G331" s="139"/>
      <c r="H331" s="35"/>
      <c r="I331" s="139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210"/>
      <c r="AG331" s="100"/>
    </row>
    <row r="332" spans="1:33" ht="15.75" customHeight="1" x14ac:dyDescent="0.3">
      <c r="B332" s="214"/>
      <c r="C332" s="214"/>
      <c r="D332" s="214"/>
      <c r="E332" s="216"/>
      <c r="F332" s="216"/>
      <c r="G332" s="216"/>
      <c r="H332" s="216"/>
      <c r="I332" s="216"/>
      <c r="J332" s="216"/>
      <c r="K332" s="214"/>
      <c r="L332" s="214"/>
      <c r="M332" s="214"/>
      <c r="N332" s="216"/>
      <c r="O332" s="216"/>
      <c r="P332" s="214"/>
      <c r="Q332" s="214"/>
      <c r="R332" s="214"/>
      <c r="S332" s="214"/>
      <c r="T332" s="216"/>
      <c r="U332" s="216"/>
      <c r="V332" s="216"/>
      <c r="W332" s="216"/>
      <c r="X332" s="216"/>
      <c r="Y332" s="216"/>
      <c r="Z332" s="216"/>
      <c r="AA332" s="216"/>
      <c r="AB332" s="216"/>
      <c r="AC332" s="216"/>
      <c r="AD332" s="216"/>
      <c r="AE332" s="216"/>
      <c r="AF332" s="218"/>
      <c r="AG332" s="219"/>
    </row>
    <row r="333" spans="1:33" ht="15.75" customHeight="1" x14ac:dyDescent="0.25"/>
    <row r="334" spans="1:33" ht="15.75" customHeight="1" x14ac:dyDescent="0.25">
      <c r="A334" s="100">
        <v>0</v>
      </c>
      <c r="B334" s="203" t="str">
        <f ca="1">IFERROR(__xludf.DUMMYFUNCTION("Importrange(""https://docs.google.com/spreadsheets/d/1e8LVrKCi_ZCHi7eo6-2HEGPrEUGBmeryvC4waJgoK2I/edit?gid=1669971463#"",""Personnel Cost!A35:AE45"")"),"#REF!")</f>
        <v>#REF!</v>
      </c>
      <c r="C334" s="81"/>
      <c r="D334" s="81"/>
      <c r="E334" s="139"/>
      <c r="F334" s="139"/>
      <c r="G334" s="139"/>
      <c r="H334" s="35"/>
      <c r="I334" s="139"/>
      <c r="J334" s="81"/>
      <c r="K334" s="81"/>
      <c r="L334" s="81"/>
      <c r="M334" s="81"/>
      <c r="N334" s="81"/>
      <c r="O334" s="139"/>
      <c r="P334" s="81"/>
      <c r="Q334" s="81"/>
      <c r="R334" s="81"/>
      <c r="S334" s="81"/>
      <c r="T334" s="139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212"/>
      <c r="AG334" s="100"/>
    </row>
    <row r="335" spans="1:33" ht="15.75" customHeight="1" x14ac:dyDescent="0.25">
      <c r="A335" s="100">
        <v>0</v>
      </c>
      <c r="B335" s="81"/>
      <c r="C335" s="81"/>
      <c r="D335" s="81"/>
      <c r="E335" s="139"/>
      <c r="F335" s="139"/>
      <c r="G335" s="139"/>
      <c r="H335" s="35"/>
      <c r="I335" s="139"/>
      <c r="J335" s="81"/>
      <c r="K335" s="81"/>
      <c r="L335" s="81"/>
      <c r="M335" s="81"/>
      <c r="N335" s="81"/>
      <c r="O335" s="139"/>
      <c r="P335" s="81"/>
      <c r="Q335" s="81"/>
      <c r="R335" s="81"/>
      <c r="S335" s="81"/>
      <c r="T335" s="139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212"/>
      <c r="AG335" s="100"/>
    </row>
    <row r="336" spans="1:33" ht="15.75" customHeight="1" x14ac:dyDescent="0.25">
      <c r="A336" s="100">
        <v>0</v>
      </c>
      <c r="B336" s="81"/>
      <c r="C336" s="81"/>
      <c r="D336" s="81"/>
      <c r="E336" s="139"/>
      <c r="F336" s="139"/>
      <c r="G336" s="139"/>
      <c r="H336" s="35"/>
      <c r="I336" s="139"/>
      <c r="J336" s="81"/>
      <c r="K336" s="81"/>
      <c r="L336" s="81"/>
      <c r="M336" s="81"/>
      <c r="N336" s="81"/>
      <c r="O336" s="139"/>
      <c r="P336" s="81"/>
      <c r="Q336" s="81"/>
      <c r="R336" s="81"/>
      <c r="S336" s="81"/>
      <c r="T336" s="139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212"/>
      <c r="AG336" s="100"/>
    </row>
    <row r="337" spans="1:33" ht="15.75" customHeight="1" x14ac:dyDescent="0.25">
      <c r="A337" s="100">
        <v>0</v>
      </c>
      <c r="B337" s="81"/>
      <c r="C337" s="81"/>
      <c r="D337" s="81"/>
      <c r="E337" s="139"/>
      <c r="F337" s="139"/>
      <c r="G337" s="139"/>
      <c r="H337" s="35"/>
      <c r="I337" s="139"/>
      <c r="J337" s="81"/>
      <c r="K337" s="81"/>
      <c r="L337" s="81"/>
      <c r="M337" s="81"/>
      <c r="N337" s="81"/>
      <c r="O337" s="139"/>
      <c r="P337" s="81"/>
      <c r="Q337" s="81"/>
      <c r="R337" s="81"/>
      <c r="S337" s="81"/>
      <c r="T337" s="139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212"/>
      <c r="AG337" s="100"/>
    </row>
    <row r="338" spans="1:33" ht="15.75" customHeight="1" x14ac:dyDescent="0.25">
      <c r="A338" s="100">
        <v>0</v>
      </c>
      <c r="B338" s="81"/>
      <c r="C338" s="81"/>
      <c r="D338" s="81"/>
      <c r="E338" s="139"/>
      <c r="F338" s="139"/>
      <c r="G338" s="139"/>
      <c r="H338" s="35"/>
      <c r="I338" s="139"/>
      <c r="J338" s="81"/>
      <c r="K338" s="139"/>
      <c r="L338" s="81"/>
      <c r="M338" s="81"/>
      <c r="N338" s="81"/>
      <c r="O338" s="139"/>
      <c r="P338" s="81"/>
      <c r="Q338" s="81"/>
      <c r="R338" s="81"/>
      <c r="S338" s="81"/>
      <c r="T338" s="139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212"/>
      <c r="AG338" s="100"/>
    </row>
    <row r="339" spans="1:33" ht="15.75" customHeight="1" x14ac:dyDescent="0.25">
      <c r="A339" s="100">
        <v>0</v>
      </c>
      <c r="B339" s="81"/>
      <c r="C339" s="81"/>
      <c r="D339" s="81"/>
      <c r="E339" s="139"/>
      <c r="F339" s="139"/>
      <c r="G339" s="139"/>
      <c r="H339" s="35"/>
      <c r="I339" s="139"/>
      <c r="J339" s="81"/>
      <c r="K339" s="81"/>
      <c r="L339" s="81"/>
      <c r="M339" s="81"/>
      <c r="N339" s="81"/>
      <c r="O339" s="139"/>
      <c r="P339" s="81"/>
      <c r="Q339" s="81"/>
      <c r="R339" s="81"/>
      <c r="S339" s="81"/>
      <c r="T339" s="139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212"/>
      <c r="AG339" s="100"/>
    </row>
    <row r="340" spans="1:33" ht="15.75" customHeight="1" x14ac:dyDescent="0.25">
      <c r="A340" s="100">
        <v>0</v>
      </c>
      <c r="B340" s="81"/>
      <c r="C340" s="81"/>
      <c r="D340" s="81"/>
      <c r="E340" s="139"/>
      <c r="F340" s="139"/>
      <c r="G340" s="139"/>
      <c r="H340" s="35"/>
      <c r="I340" s="139"/>
      <c r="J340" s="81"/>
      <c r="K340" s="81"/>
      <c r="L340" s="81"/>
      <c r="M340" s="81"/>
      <c r="N340" s="81"/>
      <c r="O340" s="139"/>
      <c r="P340" s="81"/>
      <c r="Q340" s="81"/>
      <c r="R340" s="81"/>
      <c r="S340" s="81"/>
      <c r="T340" s="139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212"/>
      <c r="AG340" s="100"/>
    </row>
    <row r="341" spans="1:33" ht="15.75" customHeight="1" x14ac:dyDescent="0.25">
      <c r="A341" s="100">
        <v>0</v>
      </c>
      <c r="B341" s="81"/>
      <c r="C341" s="81"/>
      <c r="D341" s="81"/>
      <c r="E341" s="139"/>
      <c r="F341" s="139"/>
      <c r="G341" s="139"/>
      <c r="H341" s="35"/>
      <c r="I341" s="139"/>
      <c r="J341" s="81"/>
      <c r="K341" s="81"/>
      <c r="L341" s="81"/>
      <c r="M341" s="81"/>
      <c r="N341" s="81"/>
      <c r="O341" s="139"/>
      <c r="P341" s="81"/>
      <c r="Q341" s="81"/>
      <c r="R341" s="81"/>
      <c r="S341" s="81"/>
      <c r="T341" s="139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212"/>
      <c r="AG341" s="100"/>
    </row>
    <row r="342" spans="1:33" ht="15.75" customHeight="1" x14ac:dyDescent="0.25">
      <c r="A342" s="100">
        <v>0</v>
      </c>
      <c r="B342" s="81"/>
      <c r="C342" s="81"/>
      <c r="D342" s="81"/>
      <c r="E342" s="139"/>
      <c r="F342" s="139"/>
      <c r="G342" s="139"/>
      <c r="H342" s="35"/>
      <c r="I342" s="139"/>
      <c r="J342" s="81"/>
      <c r="K342" s="81"/>
      <c r="L342" s="81"/>
      <c r="M342" s="81"/>
      <c r="N342" s="81"/>
      <c r="O342" s="139"/>
      <c r="P342" s="81"/>
      <c r="Q342" s="81"/>
      <c r="R342" s="81"/>
      <c r="S342" s="81"/>
      <c r="T342" s="139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212"/>
      <c r="AG342" s="100"/>
    </row>
    <row r="343" spans="1:33" ht="15.75" customHeight="1" x14ac:dyDescent="0.25">
      <c r="A343" s="100">
        <v>0</v>
      </c>
      <c r="B343" s="81"/>
      <c r="C343" s="81"/>
      <c r="D343" s="81"/>
      <c r="E343" s="139"/>
      <c r="F343" s="139"/>
      <c r="G343" s="139"/>
      <c r="H343" s="35"/>
      <c r="I343" s="139"/>
      <c r="J343" s="81"/>
      <c r="K343" s="81"/>
      <c r="L343" s="81"/>
      <c r="M343" s="81"/>
      <c r="N343" s="81"/>
      <c r="O343" s="139"/>
      <c r="P343" s="81"/>
      <c r="Q343" s="81"/>
      <c r="R343" s="81"/>
      <c r="S343" s="81"/>
      <c r="T343" s="139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212"/>
      <c r="AG343" s="100"/>
    </row>
    <row r="344" spans="1:33" ht="15.75" customHeight="1" x14ac:dyDescent="0.3">
      <c r="B344" s="214"/>
      <c r="C344" s="214"/>
      <c r="D344" s="214"/>
      <c r="E344" s="216"/>
      <c r="F344" s="216"/>
      <c r="G344" s="216"/>
      <c r="H344" s="216"/>
      <c r="I344" s="216"/>
      <c r="J344" s="216"/>
      <c r="K344" s="214"/>
      <c r="L344" s="214"/>
      <c r="M344" s="214"/>
      <c r="N344" s="216"/>
      <c r="O344" s="216"/>
      <c r="P344" s="214"/>
      <c r="Q344" s="214"/>
      <c r="R344" s="214"/>
      <c r="S344" s="214"/>
      <c r="T344" s="216"/>
      <c r="U344" s="216"/>
      <c r="V344" s="216"/>
      <c r="W344" s="216"/>
      <c r="X344" s="216"/>
      <c r="Y344" s="216"/>
      <c r="Z344" s="216"/>
      <c r="AA344" s="216"/>
      <c r="AB344" s="216"/>
      <c r="AC344" s="216"/>
      <c r="AD344" s="216"/>
      <c r="AE344" s="216"/>
      <c r="AF344" s="218"/>
      <c r="AG344" s="219"/>
    </row>
    <row r="345" spans="1:33" ht="15.75" customHeight="1" x14ac:dyDescent="0.25"/>
    <row r="346" spans="1:33" ht="15.75" customHeight="1" x14ac:dyDescent="0.25">
      <c r="A346" s="100">
        <v>0</v>
      </c>
      <c r="B346" s="203" t="str">
        <f ca="1">IFERROR(__xludf.DUMMYFUNCTION("Importrange(""https://docs.google.com/spreadsheets/d/1e8LVrKCi_ZCHi7eo6-2HEGPrEUGBmeryvC4waJgoK2I/edit?gid=1669971463#"",""Personnel Cost!A58:AE68"")"),"#REF!")</f>
        <v>#REF!</v>
      </c>
      <c r="C346" s="81"/>
      <c r="D346" s="81"/>
      <c r="E346" s="139"/>
      <c r="F346" s="139"/>
      <c r="G346" s="139"/>
      <c r="H346" s="35"/>
      <c r="I346" s="139"/>
      <c r="J346" s="81"/>
      <c r="K346" s="81"/>
      <c r="L346" s="81"/>
      <c r="M346" s="81"/>
      <c r="N346" s="81"/>
      <c r="O346" s="139"/>
      <c r="P346" s="81"/>
      <c r="Q346" s="81"/>
      <c r="R346" s="81"/>
      <c r="S346" s="81"/>
      <c r="T346" s="139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212"/>
      <c r="AG346" s="100"/>
    </row>
    <row r="347" spans="1:33" ht="15.75" customHeight="1" x14ac:dyDescent="0.25">
      <c r="A347" s="100">
        <v>0</v>
      </c>
      <c r="B347" s="81"/>
      <c r="C347" s="81"/>
      <c r="D347" s="81"/>
      <c r="E347" s="139"/>
      <c r="F347" s="139"/>
      <c r="G347" s="139"/>
      <c r="H347" s="35"/>
      <c r="I347" s="139"/>
      <c r="J347" s="81"/>
      <c r="K347" s="81"/>
      <c r="L347" s="81"/>
      <c r="M347" s="81"/>
      <c r="N347" s="81"/>
      <c r="O347" s="139"/>
      <c r="P347" s="81"/>
      <c r="Q347" s="81"/>
      <c r="R347" s="81"/>
      <c r="S347" s="81"/>
      <c r="T347" s="139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212"/>
      <c r="AG347" s="100"/>
    </row>
    <row r="348" spans="1:33" ht="15.75" customHeight="1" x14ac:dyDescent="0.25">
      <c r="A348" s="100">
        <v>0</v>
      </c>
      <c r="B348" s="81"/>
      <c r="C348" s="81"/>
      <c r="D348" s="81"/>
      <c r="E348" s="139"/>
      <c r="F348" s="139"/>
      <c r="G348" s="139"/>
      <c r="H348" s="35"/>
      <c r="I348" s="139"/>
      <c r="J348" s="81"/>
      <c r="K348" s="81"/>
      <c r="L348" s="81"/>
      <c r="M348" s="81"/>
      <c r="N348" s="81"/>
      <c r="O348" s="139"/>
      <c r="P348" s="81"/>
      <c r="Q348" s="81"/>
      <c r="R348" s="81"/>
      <c r="S348" s="81"/>
      <c r="T348" s="139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212"/>
      <c r="AG348" s="100"/>
    </row>
    <row r="349" spans="1:33" ht="15.75" customHeight="1" x14ac:dyDescent="0.25">
      <c r="A349" s="100">
        <v>0</v>
      </c>
      <c r="B349" s="81"/>
      <c r="C349" s="81"/>
      <c r="D349" s="81"/>
      <c r="E349" s="139"/>
      <c r="F349" s="139"/>
      <c r="G349" s="139"/>
      <c r="H349" s="35"/>
      <c r="I349" s="139"/>
      <c r="J349" s="81"/>
      <c r="K349" s="81"/>
      <c r="L349" s="81"/>
      <c r="M349" s="81"/>
      <c r="N349" s="81"/>
      <c r="O349" s="139"/>
      <c r="P349" s="81"/>
      <c r="Q349" s="81"/>
      <c r="R349" s="81"/>
      <c r="S349" s="81"/>
      <c r="T349" s="139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212"/>
      <c r="AG349" s="100"/>
    </row>
    <row r="350" spans="1:33" ht="15.75" customHeight="1" x14ac:dyDescent="0.25">
      <c r="A350" s="100">
        <v>0</v>
      </c>
      <c r="B350" s="81"/>
      <c r="C350" s="81"/>
      <c r="D350" s="81"/>
      <c r="E350" s="139"/>
      <c r="F350" s="139"/>
      <c r="G350" s="139"/>
      <c r="H350" s="35"/>
      <c r="I350" s="139"/>
      <c r="J350" s="81"/>
      <c r="K350" s="139"/>
      <c r="L350" s="81"/>
      <c r="M350" s="81"/>
      <c r="N350" s="81"/>
      <c r="O350" s="139"/>
      <c r="P350" s="81"/>
      <c r="Q350" s="81"/>
      <c r="R350" s="81"/>
      <c r="S350" s="81"/>
      <c r="T350" s="139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212"/>
      <c r="AG350" s="100"/>
    </row>
    <row r="351" spans="1:33" ht="15.75" customHeight="1" x14ac:dyDescent="0.25">
      <c r="A351" s="100">
        <v>0</v>
      </c>
      <c r="B351" s="81"/>
      <c r="C351" s="81"/>
      <c r="D351" s="81"/>
      <c r="E351" s="139"/>
      <c r="F351" s="139"/>
      <c r="G351" s="139"/>
      <c r="H351" s="35"/>
      <c r="I351" s="139"/>
      <c r="J351" s="81"/>
      <c r="K351" s="81"/>
      <c r="L351" s="81"/>
      <c r="M351" s="81"/>
      <c r="N351" s="81"/>
      <c r="O351" s="139"/>
      <c r="P351" s="81"/>
      <c r="Q351" s="81"/>
      <c r="R351" s="81"/>
      <c r="S351" s="81"/>
      <c r="T351" s="139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212"/>
      <c r="AG351" s="100"/>
    </row>
    <row r="352" spans="1:33" ht="15.75" customHeight="1" x14ac:dyDescent="0.25">
      <c r="A352" s="100">
        <v>0</v>
      </c>
      <c r="B352" s="81"/>
      <c r="C352" s="81"/>
      <c r="D352" s="81"/>
      <c r="E352" s="139"/>
      <c r="F352" s="139"/>
      <c r="G352" s="139"/>
      <c r="H352" s="35"/>
      <c r="I352" s="139"/>
      <c r="J352" s="81"/>
      <c r="K352" s="81"/>
      <c r="L352" s="81"/>
      <c r="M352" s="81"/>
      <c r="N352" s="81"/>
      <c r="O352" s="139"/>
      <c r="P352" s="81"/>
      <c r="Q352" s="81"/>
      <c r="R352" s="81"/>
      <c r="S352" s="81"/>
      <c r="T352" s="139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212"/>
      <c r="AG352" s="100"/>
    </row>
    <row r="353" spans="1:33" ht="15.75" customHeight="1" x14ac:dyDescent="0.25">
      <c r="A353" s="100">
        <v>0</v>
      </c>
      <c r="B353" s="81"/>
      <c r="C353" s="81"/>
      <c r="D353" s="81"/>
      <c r="E353" s="139"/>
      <c r="F353" s="139"/>
      <c r="G353" s="139"/>
      <c r="H353" s="35"/>
      <c r="I353" s="139"/>
      <c r="J353" s="81"/>
      <c r="K353" s="81"/>
      <c r="L353" s="81"/>
      <c r="M353" s="81"/>
      <c r="N353" s="81"/>
      <c r="O353" s="139"/>
      <c r="P353" s="81"/>
      <c r="Q353" s="81"/>
      <c r="R353" s="81"/>
      <c r="S353" s="81"/>
      <c r="T353" s="139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212"/>
      <c r="AG353" s="100"/>
    </row>
    <row r="354" spans="1:33" ht="15.75" customHeight="1" x14ac:dyDescent="0.25">
      <c r="A354" s="100">
        <v>0</v>
      </c>
      <c r="B354" s="81"/>
      <c r="C354" s="81"/>
      <c r="D354" s="81"/>
      <c r="E354" s="139"/>
      <c r="F354" s="139"/>
      <c r="G354" s="139"/>
      <c r="H354" s="35"/>
      <c r="I354" s="139"/>
      <c r="J354" s="81"/>
      <c r="K354" s="81"/>
      <c r="L354" s="81"/>
      <c r="M354" s="81"/>
      <c r="N354" s="81"/>
      <c r="O354" s="139"/>
      <c r="P354" s="81"/>
      <c r="Q354" s="81"/>
      <c r="R354" s="81"/>
      <c r="S354" s="81"/>
      <c r="T354" s="139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212"/>
      <c r="AG354" s="100"/>
    </row>
    <row r="355" spans="1:33" ht="15.75" customHeight="1" x14ac:dyDescent="0.25">
      <c r="A355" s="100">
        <v>0</v>
      </c>
      <c r="B355" s="81"/>
      <c r="C355" s="81"/>
      <c r="D355" s="81"/>
      <c r="E355" s="139"/>
      <c r="F355" s="139"/>
      <c r="G355" s="139"/>
      <c r="H355" s="35"/>
      <c r="I355" s="139"/>
      <c r="J355" s="81"/>
      <c r="K355" s="81"/>
      <c r="L355" s="81"/>
      <c r="M355" s="81"/>
      <c r="N355" s="81"/>
      <c r="O355" s="139"/>
      <c r="P355" s="81"/>
      <c r="Q355" s="81"/>
      <c r="R355" s="81"/>
      <c r="S355" s="81"/>
      <c r="T355" s="139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212"/>
      <c r="AG355" s="100"/>
    </row>
    <row r="356" spans="1:33" ht="15.75" customHeight="1" x14ac:dyDescent="0.3">
      <c r="B356" s="214"/>
      <c r="C356" s="214"/>
      <c r="D356" s="214"/>
      <c r="E356" s="216"/>
      <c r="F356" s="216"/>
      <c r="G356" s="216"/>
      <c r="H356" s="216"/>
      <c r="I356" s="216"/>
      <c r="J356" s="216"/>
      <c r="K356" s="214"/>
      <c r="L356" s="214"/>
      <c r="M356" s="214"/>
      <c r="N356" s="216"/>
      <c r="O356" s="216"/>
      <c r="P356" s="214"/>
      <c r="Q356" s="214"/>
      <c r="R356" s="214"/>
      <c r="S356" s="214"/>
      <c r="T356" s="216"/>
      <c r="U356" s="216"/>
      <c r="V356" s="216"/>
      <c r="W356" s="216"/>
      <c r="X356" s="216"/>
      <c r="Y356" s="216"/>
      <c r="Z356" s="216"/>
      <c r="AA356" s="216"/>
      <c r="AB356" s="216"/>
      <c r="AC356" s="216"/>
      <c r="AD356" s="216"/>
      <c r="AE356" s="216"/>
      <c r="AF356" s="218"/>
      <c r="AG356" s="219"/>
    </row>
    <row r="357" spans="1:33" ht="15.75" customHeight="1" x14ac:dyDescent="0.25"/>
    <row r="358" spans="1:33" ht="15.75" customHeight="1" x14ac:dyDescent="0.25">
      <c r="A358" s="100">
        <v>0</v>
      </c>
      <c r="B358" s="203" t="str">
        <f ca="1">IFERROR(__xludf.DUMMYFUNCTION("Importrange(""https://docs.google.com/spreadsheets/d/1si8gGoqsYHJuU9wCocSHDCBSchuN3QnuSPmIQxQA3k0/edit?gid=546269560#"",""Personnel Cost!A2:AE22"")"),"#REF!")</f>
        <v>#REF!</v>
      </c>
      <c r="C358" s="81"/>
      <c r="D358" s="81"/>
      <c r="E358" s="139"/>
      <c r="F358" s="139"/>
      <c r="G358" s="139"/>
      <c r="H358" s="35"/>
      <c r="I358" s="139"/>
      <c r="J358" s="139"/>
      <c r="K358" s="139"/>
      <c r="L358" s="139"/>
      <c r="M358" s="241"/>
      <c r="N358" s="139"/>
      <c r="O358" s="139"/>
      <c r="P358" s="139"/>
      <c r="Q358" s="207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210"/>
      <c r="AG358" s="100"/>
    </row>
    <row r="359" spans="1:33" ht="15.75" customHeight="1" x14ac:dyDescent="0.25">
      <c r="A359" s="100">
        <v>1</v>
      </c>
      <c r="B359" s="81"/>
      <c r="C359" s="81"/>
      <c r="D359" s="81"/>
      <c r="E359" s="139"/>
      <c r="F359" s="139"/>
      <c r="G359" s="139"/>
      <c r="H359" s="35"/>
      <c r="I359" s="139"/>
      <c r="J359" s="139"/>
      <c r="K359" s="139"/>
      <c r="L359" s="139"/>
      <c r="M359" s="241"/>
      <c r="N359" s="139"/>
      <c r="O359" s="139"/>
      <c r="P359" s="139"/>
      <c r="Q359" s="207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210"/>
      <c r="AG359" s="100"/>
    </row>
    <row r="360" spans="1:33" ht="15.75" customHeight="1" x14ac:dyDescent="0.25">
      <c r="A360" s="100">
        <v>1</v>
      </c>
      <c r="B360" s="81"/>
      <c r="C360" s="81"/>
      <c r="D360" s="81"/>
      <c r="E360" s="139"/>
      <c r="F360" s="139"/>
      <c r="G360" s="139"/>
      <c r="H360" s="35"/>
      <c r="I360" s="139"/>
      <c r="J360" s="139"/>
      <c r="K360" s="139"/>
      <c r="L360" s="139"/>
      <c r="M360" s="241"/>
      <c r="N360" s="139"/>
      <c r="O360" s="139"/>
      <c r="P360" s="139"/>
      <c r="Q360" s="207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210"/>
      <c r="AG360" s="100"/>
    </row>
    <row r="361" spans="1:33" ht="15.75" customHeight="1" x14ac:dyDescent="0.25">
      <c r="A361" s="100">
        <v>1</v>
      </c>
      <c r="B361" s="81"/>
      <c r="C361" s="81"/>
      <c r="D361" s="81"/>
      <c r="E361" s="139"/>
      <c r="F361" s="139"/>
      <c r="G361" s="139"/>
      <c r="H361" s="35"/>
      <c r="I361" s="139"/>
      <c r="J361" s="139"/>
      <c r="K361" s="139"/>
      <c r="L361" s="139"/>
      <c r="M361" s="241"/>
      <c r="N361" s="139"/>
      <c r="O361" s="139"/>
      <c r="P361" s="139"/>
      <c r="Q361" s="207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210"/>
      <c r="AG361" s="100"/>
    </row>
    <row r="362" spans="1:33" ht="15.75" customHeight="1" x14ac:dyDescent="0.25">
      <c r="A362" s="100">
        <v>1</v>
      </c>
      <c r="B362" s="81"/>
      <c r="C362" s="81"/>
      <c r="D362" s="81"/>
      <c r="E362" s="139"/>
      <c r="F362" s="139"/>
      <c r="G362" s="139"/>
      <c r="H362" s="35"/>
      <c r="I362" s="139"/>
      <c r="J362" s="139"/>
      <c r="K362" s="139"/>
      <c r="L362" s="139"/>
      <c r="M362" s="241"/>
      <c r="N362" s="139"/>
      <c r="O362" s="139"/>
      <c r="P362" s="139"/>
      <c r="Q362" s="207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210"/>
      <c r="AG362" s="100"/>
    </row>
    <row r="363" spans="1:33" ht="15.75" customHeight="1" x14ac:dyDescent="0.25">
      <c r="A363" s="100">
        <v>1</v>
      </c>
      <c r="B363" s="81"/>
      <c r="C363" s="81"/>
      <c r="D363" s="81"/>
      <c r="E363" s="139"/>
      <c r="F363" s="139"/>
      <c r="G363" s="139"/>
      <c r="H363" s="35"/>
      <c r="I363" s="139"/>
      <c r="J363" s="139"/>
      <c r="K363" s="139"/>
      <c r="L363" s="139"/>
      <c r="M363" s="241"/>
      <c r="N363" s="139"/>
      <c r="O363" s="139"/>
      <c r="P363" s="139"/>
      <c r="Q363" s="207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210"/>
      <c r="AG363" s="100"/>
    </row>
    <row r="364" spans="1:33" ht="15.75" customHeight="1" x14ac:dyDescent="0.25">
      <c r="A364" s="100">
        <v>1</v>
      </c>
      <c r="B364" s="81"/>
      <c r="C364" s="81"/>
      <c r="D364" s="81"/>
      <c r="E364" s="139"/>
      <c r="F364" s="139"/>
      <c r="G364" s="139"/>
      <c r="H364" s="35"/>
      <c r="I364" s="139"/>
      <c r="J364" s="139"/>
      <c r="K364" s="139"/>
      <c r="L364" s="139"/>
      <c r="M364" s="241"/>
      <c r="N364" s="139"/>
      <c r="O364" s="139"/>
      <c r="P364" s="139"/>
      <c r="Q364" s="207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210"/>
      <c r="AG364" s="100"/>
    </row>
    <row r="365" spans="1:33" ht="15.75" customHeight="1" x14ac:dyDescent="0.25">
      <c r="A365" s="100">
        <v>1</v>
      </c>
      <c r="B365" s="81"/>
      <c r="C365" s="81"/>
      <c r="D365" s="81"/>
      <c r="E365" s="139"/>
      <c r="F365" s="139"/>
      <c r="G365" s="139"/>
      <c r="H365" s="35"/>
      <c r="I365" s="206"/>
      <c r="J365" s="139"/>
      <c r="K365" s="139"/>
      <c r="L365" s="139"/>
      <c r="M365" s="241"/>
      <c r="N365" s="139"/>
      <c r="O365" s="139"/>
      <c r="P365" s="139"/>
      <c r="Q365" s="207"/>
      <c r="R365" s="139"/>
      <c r="S365" s="139"/>
      <c r="T365" s="139"/>
      <c r="U365" s="139"/>
      <c r="V365" s="139"/>
      <c r="W365" s="145"/>
      <c r="X365" s="145"/>
      <c r="Y365" s="145"/>
      <c r="Z365" s="145"/>
      <c r="AA365" s="139"/>
      <c r="AB365" s="139"/>
      <c r="AC365" s="139"/>
      <c r="AD365" s="139"/>
      <c r="AE365" s="139"/>
      <c r="AF365" s="210"/>
      <c r="AG365" s="100"/>
    </row>
    <row r="366" spans="1:33" ht="15.75" customHeight="1" x14ac:dyDescent="0.25">
      <c r="A366" s="100">
        <v>1</v>
      </c>
      <c r="B366" s="81"/>
      <c r="C366" s="81"/>
      <c r="D366" s="81"/>
      <c r="E366" s="139"/>
      <c r="F366" s="139"/>
      <c r="G366" s="139"/>
      <c r="H366" s="35"/>
      <c r="I366" s="206"/>
      <c r="J366" s="139"/>
      <c r="K366" s="139"/>
      <c r="L366" s="139"/>
      <c r="M366" s="189"/>
      <c r="N366" s="139"/>
      <c r="O366" s="139"/>
      <c r="P366" s="81"/>
      <c r="Q366" s="81"/>
      <c r="R366" s="81"/>
      <c r="S366" s="81"/>
      <c r="T366" s="139"/>
      <c r="U366" s="139"/>
      <c r="V366" s="139"/>
      <c r="W366" s="206"/>
      <c r="X366" s="206"/>
      <c r="Y366" s="206"/>
      <c r="Z366" s="206"/>
      <c r="AA366" s="139"/>
      <c r="AB366" s="139"/>
      <c r="AC366" s="139"/>
      <c r="AD366" s="139"/>
      <c r="AE366" s="139"/>
      <c r="AF366" s="210"/>
      <c r="AG366" s="100"/>
    </row>
    <row r="367" spans="1:33" ht="15.75" customHeight="1" x14ac:dyDescent="0.25">
      <c r="A367" s="100">
        <v>1</v>
      </c>
      <c r="B367" s="81"/>
      <c r="C367" s="81"/>
      <c r="D367" s="81"/>
      <c r="E367" s="139"/>
      <c r="F367" s="139"/>
      <c r="G367" s="139"/>
      <c r="H367" s="35"/>
      <c r="I367" s="206"/>
      <c r="J367" s="139"/>
      <c r="K367" s="139"/>
      <c r="L367" s="139"/>
      <c r="M367" s="189"/>
      <c r="N367" s="139"/>
      <c r="O367" s="139"/>
      <c r="P367" s="81"/>
      <c r="Q367" s="81"/>
      <c r="R367" s="81"/>
      <c r="S367" s="81"/>
      <c r="T367" s="139"/>
      <c r="U367" s="139"/>
      <c r="V367" s="139"/>
      <c r="W367" s="206"/>
      <c r="X367" s="206"/>
      <c r="Y367" s="206"/>
      <c r="Z367" s="206"/>
      <c r="AA367" s="139"/>
      <c r="AB367" s="139"/>
      <c r="AC367" s="139"/>
      <c r="AD367" s="139"/>
      <c r="AE367" s="139"/>
      <c r="AF367" s="210"/>
      <c r="AG367" s="100"/>
    </row>
    <row r="368" spans="1:33" ht="15.75" customHeight="1" x14ac:dyDescent="0.25">
      <c r="A368" s="100">
        <v>1</v>
      </c>
      <c r="B368" s="81"/>
      <c r="C368" s="81"/>
      <c r="D368" s="81"/>
      <c r="E368" s="139"/>
      <c r="F368" s="139"/>
      <c r="G368" s="139"/>
      <c r="H368" s="35"/>
      <c r="I368" s="206"/>
      <c r="J368" s="139"/>
      <c r="K368" s="139"/>
      <c r="L368" s="139"/>
      <c r="M368" s="241"/>
      <c r="N368" s="81"/>
      <c r="O368" s="139"/>
      <c r="P368" s="81"/>
      <c r="Q368" s="81"/>
      <c r="R368" s="81"/>
      <c r="S368" s="81"/>
      <c r="T368" s="139"/>
      <c r="U368" s="139"/>
      <c r="V368" s="139"/>
      <c r="W368" s="206"/>
      <c r="X368" s="206"/>
      <c r="Y368" s="206"/>
      <c r="Z368" s="206"/>
      <c r="AA368" s="139"/>
      <c r="AB368" s="139"/>
      <c r="AC368" s="139"/>
      <c r="AD368" s="139"/>
      <c r="AE368" s="139"/>
      <c r="AF368" s="210"/>
      <c r="AG368" s="100"/>
    </row>
    <row r="369" spans="1:33" ht="15.75" customHeight="1" x14ac:dyDescent="0.25">
      <c r="A369" s="100">
        <v>1</v>
      </c>
      <c r="B369" s="81"/>
      <c r="C369" s="81"/>
      <c r="D369" s="81"/>
      <c r="E369" s="139"/>
      <c r="F369" s="139"/>
      <c r="G369" s="139"/>
      <c r="H369" s="35"/>
      <c r="I369" s="139"/>
      <c r="J369" s="139"/>
      <c r="K369" s="139"/>
      <c r="L369" s="139"/>
      <c r="M369" s="241"/>
      <c r="N369" s="81"/>
      <c r="O369" s="139"/>
      <c r="P369" s="81"/>
      <c r="Q369" s="81"/>
      <c r="R369" s="81"/>
      <c r="S369" s="81"/>
      <c r="T369" s="139"/>
      <c r="U369" s="139"/>
      <c r="V369" s="139"/>
      <c r="W369" s="206"/>
      <c r="X369" s="206"/>
      <c r="Y369" s="206"/>
      <c r="Z369" s="206"/>
      <c r="AA369" s="139"/>
      <c r="AB369" s="139"/>
      <c r="AC369" s="139"/>
      <c r="AD369" s="139"/>
      <c r="AE369" s="139"/>
      <c r="AF369" s="210"/>
      <c r="AG369" s="100"/>
    </row>
    <row r="370" spans="1:33" ht="15.75" customHeight="1" x14ac:dyDescent="0.25">
      <c r="A370" s="100">
        <v>1</v>
      </c>
      <c r="B370" s="81"/>
      <c r="C370" s="81"/>
      <c r="D370" s="81"/>
      <c r="E370" s="139"/>
      <c r="F370" s="139"/>
      <c r="G370" s="139"/>
      <c r="H370" s="35"/>
      <c r="I370" s="139"/>
      <c r="J370" s="139"/>
      <c r="K370" s="139"/>
      <c r="L370" s="139"/>
      <c r="M370" s="241"/>
      <c r="N370" s="81"/>
      <c r="O370" s="139"/>
      <c r="P370" s="81"/>
      <c r="Q370" s="81"/>
      <c r="R370" s="81"/>
      <c r="S370" s="81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210"/>
      <c r="AG370" s="100"/>
    </row>
    <row r="371" spans="1:33" ht="15.75" customHeight="1" x14ac:dyDescent="0.25">
      <c r="A371" s="100">
        <v>1</v>
      </c>
      <c r="B371" s="81"/>
      <c r="C371" s="81"/>
      <c r="D371" s="81"/>
      <c r="E371" s="139"/>
      <c r="F371" s="139"/>
      <c r="G371" s="139"/>
      <c r="H371" s="35"/>
      <c r="I371" s="139"/>
      <c r="J371" s="139"/>
      <c r="K371" s="139"/>
      <c r="L371" s="139"/>
      <c r="M371" s="241"/>
      <c r="N371" s="81"/>
      <c r="O371" s="139"/>
      <c r="P371" s="81"/>
      <c r="Q371" s="81"/>
      <c r="R371" s="81"/>
      <c r="S371" s="81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210"/>
      <c r="AG371" s="100"/>
    </row>
    <row r="372" spans="1:33" ht="15.75" customHeight="1" x14ac:dyDescent="0.25">
      <c r="A372" s="100">
        <v>1</v>
      </c>
      <c r="B372" s="81"/>
      <c r="C372" s="81"/>
      <c r="D372" s="81"/>
      <c r="E372" s="139"/>
      <c r="F372" s="139"/>
      <c r="G372" s="139"/>
      <c r="H372" s="35"/>
      <c r="I372" s="139"/>
      <c r="J372" s="139"/>
      <c r="K372" s="139"/>
      <c r="L372" s="139"/>
      <c r="M372" s="241"/>
      <c r="N372" s="81"/>
      <c r="O372" s="139"/>
      <c r="P372" s="81"/>
      <c r="Q372" s="81"/>
      <c r="R372" s="81"/>
      <c r="S372" s="81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210"/>
      <c r="AG372" s="100"/>
    </row>
    <row r="373" spans="1:33" ht="15.75" customHeight="1" x14ac:dyDescent="0.25">
      <c r="A373" s="100">
        <v>1</v>
      </c>
      <c r="B373" s="81"/>
      <c r="C373" s="81"/>
      <c r="D373" s="81"/>
      <c r="E373" s="139"/>
      <c r="F373" s="139"/>
      <c r="G373" s="139"/>
      <c r="H373" s="35"/>
      <c r="I373" s="139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212"/>
      <c r="AG373" s="100"/>
    </row>
    <row r="374" spans="1:33" ht="15.75" customHeight="1" x14ac:dyDescent="0.25">
      <c r="A374" s="100">
        <v>0</v>
      </c>
      <c r="B374" s="81"/>
      <c r="C374" s="81"/>
      <c r="D374" s="81"/>
      <c r="E374" s="139"/>
      <c r="F374" s="139"/>
      <c r="G374" s="139"/>
      <c r="H374" s="35"/>
      <c r="I374" s="139"/>
      <c r="J374" s="81"/>
      <c r="K374" s="81"/>
      <c r="L374" s="81"/>
      <c r="M374" s="81"/>
      <c r="N374" s="81"/>
      <c r="O374" s="139"/>
      <c r="P374" s="81"/>
      <c r="Q374" s="81"/>
      <c r="R374" s="81"/>
      <c r="S374" s="81"/>
      <c r="T374" s="139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212"/>
      <c r="AG374" s="100"/>
    </row>
    <row r="375" spans="1:33" ht="15.75" customHeight="1" x14ac:dyDescent="0.25">
      <c r="A375" s="100">
        <v>0</v>
      </c>
      <c r="B375" s="81"/>
      <c r="C375" s="81"/>
      <c r="D375" s="81"/>
      <c r="E375" s="139"/>
      <c r="F375" s="139"/>
      <c r="G375" s="139"/>
      <c r="H375" s="35"/>
      <c r="I375" s="139"/>
      <c r="J375" s="81"/>
      <c r="K375" s="81"/>
      <c r="L375" s="81"/>
      <c r="M375" s="81"/>
      <c r="N375" s="81"/>
      <c r="O375" s="139"/>
      <c r="P375" s="81"/>
      <c r="Q375" s="81"/>
      <c r="R375" s="81"/>
      <c r="S375" s="81"/>
      <c r="T375" s="139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212"/>
      <c r="AG375" s="100"/>
    </row>
    <row r="376" spans="1:33" ht="15.75" customHeight="1" x14ac:dyDescent="0.25">
      <c r="A376" s="100">
        <v>0</v>
      </c>
      <c r="B376" s="81"/>
      <c r="C376" s="81"/>
      <c r="D376" s="81"/>
      <c r="E376" s="139"/>
      <c r="F376" s="139"/>
      <c r="G376" s="139"/>
      <c r="H376" s="35"/>
      <c r="I376" s="139"/>
      <c r="J376" s="81"/>
      <c r="K376" s="81"/>
      <c r="L376" s="81"/>
      <c r="M376" s="81"/>
      <c r="N376" s="81"/>
      <c r="O376" s="139"/>
      <c r="P376" s="81"/>
      <c r="Q376" s="81"/>
      <c r="R376" s="81"/>
      <c r="S376" s="81"/>
      <c r="T376" s="139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212"/>
      <c r="AG376" s="100"/>
    </row>
    <row r="377" spans="1:33" ht="15.75" customHeight="1" x14ac:dyDescent="0.25">
      <c r="A377" s="100">
        <v>0</v>
      </c>
      <c r="B377" s="81"/>
      <c r="C377" s="81"/>
      <c r="D377" s="81"/>
      <c r="E377" s="139"/>
      <c r="F377" s="139"/>
      <c r="G377" s="139"/>
      <c r="H377" s="35"/>
      <c r="I377" s="139"/>
      <c r="J377" s="81"/>
      <c r="K377" s="81"/>
      <c r="L377" s="81"/>
      <c r="M377" s="81"/>
      <c r="N377" s="81"/>
      <c r="O377" s="139"/>
      <c r="P377" s="81"/>
      <c r="Q377" s="81"/>
      <c r="R377" s="81"/>
      <c r="S377" s="81"/>
      <c r="T377" s="139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212"/>
      <c r="AG377" s="100"/>
    </row>
    <row r="378" spans="1:33" ht="15.75" customHeight="1" x14ac:dyDescent="0.3">
      <c r="B378" s="214"/>
      <c r="C378" s="214"/>
      <c r="D378" s="214"/>
      <c r="E378" s="216"/>
      <c r="F378" s="216"/>
      <c r="G378" s="216"/>
      <c r="H378" s="216"/>
      <c r="I378" s="216"/>
      <c r="J378" s="216"/>
      <c r="K378" s="214"/>
      <c r="L378" s="214"/>
      <c r="M378" s="214"/>
      <c r="N378" s="216"/>
      <c r="O378" s="216"/>
      <c r="P378" s="214"/>
      <c r="Q378" s="214"/>
      <c r="R378" s="214"/>
      <c r="S378" s="214"/>
      <c r="T378" s="216"/>
      <c r="U378" s="216"/>
      <c r="V378" s="216"/>
      <c r="W378" s="216"/>
      <c r="X378" s="216"/>
      <c r="Y378" s="216"/>
      <c r="Z378" s="216"/>
      <c r="AA378" s="216"/>
      <c r="AB378" s="216"/>
      <c r="AC378" s="216"/>
      <c r="AD378" s="216"/>
      <c r="AE378" s="216"/>
      <c r="AF378" s="218"/>
      <c r="AG378" s="219"/>
    </row>
    <row r="379" spans="1:33" ht="15.75" customHeight="1" x14ac:dyDescent="0.25"/>
    <row r="380" spans="1:33" ht="15.75" customHeight="1" x14ac:dyDescent="0.25">
      <c r="A380" s="100">
        <v>0</v>
      </c>
      <c r="B380" s="203" t="str">
        <f ca="1">IFERROR(__xludf.DUMMYFUNCTION("Importrange(""https://docs.google.com/spreadsheets/d/1si8gGoqsYHJuU9wCocSHDCBSchuN3QnuSPmIQxQA3k0/edit?gid=546269560#"",""Personnel Cost!A43:AE53"")"),"#REF!")</f>
        <v>#REF!</v>
      </c>
      <c r="C380" s="81"/>
      <c r="D380" s="81"/>
      <c r="E380" s="139"/>
      <c r="F380" s="139"/>
      <c r="G380" s="139"/>
      <c r="H380" s="35"/>
      <c r="I380" s="139"/>
      <c r="J380" s="81"/>
      <c r="K380" s="81"/>
      <c r="L380" s="81"/>
      <c r="M380" s="81"/>
      <c r="N380" s="81"/>
      <c r="O380" s="139"/>
      <c r="P380" s="81"/>
      <c r="Q380" s="81"/>
      <c r="R380" s="81"/>
      <c r="S380" s="81"/>
      <c r="T380" s="139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212"/>
      <c r="AG380" s="100"/>
    </row>
    <row r="381" spans="1:33" ht="15.75" customHeight="1" x14ac:dyDescent="0.25">
      <c r="A381" s="100">
        <v>0</v>
      </c>
      <c r="B381" s="81"/>
      <c r="C381" s="81"/>
      <c r="D381" s="81"/>
      <c r="E381" s="139"/>
      <c r="F381" s="139"/>
      <c r="G381" s="139"/>
      <c r="H381" s="35"/>
      <c r="I381" s="139"/>
      <c r="J381" s="81"/>
      <c r="K381" s="81"/>
      <c r="L381" s="81"/>
      <c r="M381" s="81"/>
      <c r="N381" s="81"/>
      <c r="O381" s="139"/>
      <c r="P381" s="81"/>
      <c r="Q381" s="81"/>
      <c r="R381" s="81"/>
      <c r="S381" s="81"/>
      <c r="T381" s="139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212"/>
      <c r="AG381" s="100"/>
    </row>
    <row r="382" spans="1:33" ht="15.75" customHeight="1" x14ac:dyDescent="0.25">
      <c r="A382" s="100">
        <v>0</v>
      </c>
      <c r="B382" s="81"/>
      <c r="C382" s="81"/>
      <c r="D382" s="81"/>
      <c r="E382" s="139"/>
      <c r="F382" s="139"/>
      <c r="G382" s="139"/>
      <c r="H382" s="35"/>
      <c r="I382" s="139"/>
      <c r="J382" s="81"/>
      <c r="K382" s="81"/>
      <c r="L382" s="81"/>
      <c r="M382" s="81"/>
      <c r="N382" s="81"/>
      <c r="O382" s="139"/>
      <c r="P382" s="81"/>
      <c r="Q382" s="81"/>
      <c r="R382" s="81"/>
      <c r="S382" s="81"/>
      <c r="T382" s="139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212"/>
      <c r="AG382" s="100"/>
    </row>
    <row r="383" spans="1:33" ht="15.75" customHeight="1" x14ac:dyDescent="0.25">
      <c r="A383" s="100">
        <v>0</v>
      </c>
      <c r="B383" s="81"/>
      <c r="C383" s="81"/>
      <c r="D383" s="81"/>
      <c r="E383" s="139"/>
      <c r="F383" s="139"/>
      <c r="G383" s="139"/>
      <c r="H383" s="35"/>
      <c r="I383" s="139"/>
      <c r="J383" s="81"/>
      <c r="K383" s="81"/>
      <c r="L383" s="81"/>
      <c r="M383" s="81"/>
      <c r="N383" s="81"/>
      <c r="O383" s="139"/>
      <c r="P383" s="81"/>
      <c r="Q383" s="81"/>
      <c r="R383" s="81"/>
      <c r="S383" s="81"/>
      <c r="T383" s="139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212"/>
      <c r="AG383" s="100"/>
    </row>
    <row r="384" spans="1:33" ht="15.75" customHeight="1" x14ac:dyDescent="0.25">
      <c r="A384" s="100">
        <v>0</v>
      </c>
      <c r="B384" s="81"/>
      <c r="C384" s="81"/>
      <c r="D384" s="81"/>
      <c r="E384" s="139"/>
      <c r="F384" s="139"/>
      <c r="G384" s="139"/>
      <c r="H384" s="35"/>
      <c r="I384" s="139"/>
      <c r="J384" s="81"/>
      <c r="K384" s="139"/>
      <c r="L384" s="81"/>
      <c r="M384" s="81"/>
      <c r="N384" s="81"/>
      <c r="O384" s="139"/>
      <c r="P384" s="81"/>
      <c r="Q384" s="81"/>
      <c r="R384" s="81"/>
      <c r="S384" s="81"/>
      <c r="T384" s="139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212"/>
      <c r="AG384" s="100"/>
    </row>
    <row r="385" spans="1:33" ht="15.75" customHeight="1" x14ac:dyDescent="0.25">
      <c r="A385" s="100">
        <v>0</v>
      </c>
      <c r="B385" s="81"/>
      <c r="C385" s="81"/>
      <c r="D385" s="81"/>
      <c r="E385" s="139"/>
      <c r="F385" s="139"/>
      <c r="G385" s="139"/>
      <c r="H385" s="35"/>
      <c r="I385" s="139"/>
      <c r="J385" s="81"/>
      <c r="K385" s="81"/>
      <c r="L385" s="81"/>
      <c r="M385" s="81"/>
      <c r="N385" s="81"/>
      <c r="O385" s="139"/>
      <c r="P385" s="81"/>
      <c r="Q385" s="81"/>
      <c r="R385" s="81"/>
      <c r="S385" s="81"/>
      <c r="T385" s="139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212"/>
      <c r="AG385" s="100"/>
    </row>
    <row r="386" spans="1:33" ht="15.75" customHeight="1" x14ac:dyDescent="0.25">
      <c r="A386" s="100">
        <v>0</v>
      </c>
      <c r="B386" s="81"/>
      <c r="C386" s="81"/>
      <c r="D386" s="81"/>
      <c r="E386" s="139"/>
      <c r="F386" s="139"/>
      <c r="G386" s="139"/>
      <c r="H386" s="35"/>
      <c r="I386" s="139"/>
      <c r="J386" s="81"/>
      <c r="K386" s="81"/>
      <c r="L386" s="81"/>
      <c r="M386" s="81"/>
      <c r="N386" s="81"/>
      <c r="O386" s="139"/>
      <c r="P386" s="81"/>
      <c r="Q386" s="81"/>
      <c r="R386" s="81"/>
      <c r="S386" s="81"/>
      <c r="T386" s="139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212"/>
      <c r="AG386" s="100"/>
    </row>
    <row r="387" spans="1:33" ht="15.75" customHeight="1" x14ac:dyDescent="0.25">
      <c r="A387" s="100">
        <v>0</v>
      </c>
      <c r="B387" s="81"/>
      <c r="C387" s="81"/>
      <c r="D387" s="81"/>
      <c r="E387" s="139"/>
      <c r="F387" s="139"/>
      <c r="G387" s="139"/>
      <c r="H387" s="35"/>
      <c r="I387" s="139"/>
      <c r="J387" s="81"/>
      <c r="K387" s="81"/>
      <c r="L387" s="81"/>
      <c r="M387" s="81"/>
      <c r="N387" s="81"/>
      <c r="O387" s="139"/>
      <c r="P387" s="81"/>
      <c r="Q387" s="81"/>
      <c r="R387" s="81"/>
      <c r="S387" s="81"/>
      <c r="T387" s="139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212"/>
      <c r="AG387" s="100"/>
    </row>
    <row r="388" spans="1:33" ht="15.75" customHeight="1" x14ac:dyDescent="0.25">
      <c r="A388" s="100">
        <v>0</v>
      </c>
      <c r="B388" s="81"/>
      <c r="C388" s="81"/>
      <c r="D388" s="81"/>
      <c r="E388" s="139"/>
      <c r="F388" s="139"/>
      <c r="G388" s="139"/>
      <c r="H388" s="35"/>
      <c r="I388" s="139"/>
      <c r="J388" s="81"/>
      <c r="K388" s="81"/>
      <c r="L388" s="81"/>
      <c r="M388" s="81"/>
      <c r="N388" s="81"/>
      <c r="O388" s="139"/>
      <c r="P388" s="81"/>
      <c r="Q388" s="81"/>
      <c r="R388" s="81"/>
      <c r="S388" s="81"/>
      <c r="T388" s="139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212"/>
      <c r="AG388" s="100"/>
    </row>
    <row r="389" spans="1:33" ht="15.75" customHeight="1" x14ac:dyDescent="0.25">
      <c r="A389" s="100">
        <v>0</v>
      </c>
      <c r="B389" s="81"/>
      <c r="C389" s="81"/>
      <c r="D389" s="81"/>
      <c r="E389" s="139"/>
      <c r="F389" s="139"/>
      <c r="G389" s="139"/>
      <c r="H389" s="35"/>
      <c r="I389" s="139"/>
      <c r="J389" s="81"/>
      <c r="K389" s="81"/>
      <c r="L389" s="81"/>
      <c r="M389" s="81"/>
      <c r="N389" s="81"/>
      <c r="O389" s="139"/>
      <c r="P389" s="81"/>
      <c r="Q389" s="81"/>
      <c r="R389" s="81"/>
      <c r="S389" s="81"/>
      <c r="T389" s="139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212"/>
      <c r="AG389" s="100"/>
    </row>
    <row r="390" spans="1:33" ht="15.75" customHeight="1" x14ac:dyDescent="0.3">
      <c r="B390" s="214"/>
      <c r="C390" s="214"/>
      <c r="D390" s="214"/>
      <c r="E390" s="216"/>
      <c r="F390" s="216"/>
      <c r="G390" s="216"/>
      <c r="H390" s="216"/>
      <c r="I390" s="216"/>
      <c r="J390" s="216"/>
      <c r="K390" s="214"/>
      <c r="L390" s="214"/>
      <c r="M390" s="214"/>
      <c r="N390" s="216"/>
      <c r="O390" s="216"/>
      <c r="P390" s="214"/>
      <c r="Q390" s="214"/>
      <c r="R390" s="214"/>
      <c r="S390" s="214"/>
      <c r="T390" s="216"/>
      <c r="U390" s="216"/>
      <c r="V390" s="216"/>
      <c r="W390" s="216"/>
      <c r="X390" s="216"/>
      <c r="Y390" s="216"/>
      <c r="Z390" s="216"/>
      <c r="AA390" s="216"/>
      <c r="AB390" s="216"/>
      <c r="AC390" s="216"/>
      <c r="AD390" s="216"/>
      <c r="AE390" s="216"/>
      <c r="AF390" s="218"/>
      <c r="AG390" s="219"/>
    </row>
    <row r="391" spans="1:33" ht="15.75" customHeight="1" x14ac:dyDescent="0.25"/>
    <row r="392" spans="1:33" ht="15.75" customHeight="1" x14ac:dyDescent="0.25">
      <c r="A392" s="15">
        <v>0</v>
      </c>
      <c r="B392" s="203" t="str">
        <f ca="1">IFERROR(__xludf.DUMMYFUNCTION("Importrange(""https://docs.google.com/spreadsheets/d/1si8gGoqsYHJuU9wCocSHDCBSchuN3QnuSPmIQxQA3k0/edit?gid=546269560#"",""Personnel Cost!A66:AE76"")"),"#REF!")</f>
        <v>#REF!</v>
      </c>
      <c r="C392" s="81"/>
      <c r="D392" s="81"/>
      <c r="E392" s="139"/>
      <c r="F392" s="81"/>
      <c r="G392" s="139"/>
      <c r="H392" s="35"/>
      <c r="I392" s="206"/>
      <c r="J392" s="139"/>
      <c r="K392" s="139"/>
      <c r="L392" s="139"/>
      <c r="M392" s="139"/>
      <c r="N392" s="139"/>
      <c r="O392" s="139"/>
      <c r="P392" s="81"/>
      <c r="Q392" s="81"/>
      <c r="R392" s="81"/>
      <c r="S392" s="81"/>
      <c r="T392" s="139"/>
      <c r="U392" s="81"/>
      <c r="V392" s="81"/>
      <c r="W392" s="81"/>
      <c r="X392" s="81"/>
      <c r="Y392" s="139"/>
      <c r="Z392" s="139"/>
      <c r="AA392" s="139"/>
      <c r="AB392" s="139"/>
      <c r="AC392" s="139"/>
      <c r="AD392" s="139"/>
      <c r="AE392" s="139"/>
      <c r="AF392" s="210"/>
      <c r="AG392" s="100"/>
    </row>
    <row r="393" spans="1:33" ht="15.75" customHeight="1" x14ac:dyDescent="0.25">
      <c r="A393" s="100">
        <v>0</v>
      </c>
      <c r="B393" s="81"/>
      <c r="C393" s="81"/>
      <c r="D393" s="81"/>
      <c r="E393" s="139"/>
      <c r="F393" s="81"/>
      <c r="G393" s="139"/>
      <c r="H393" s="35"/>
      <c r="I393" s="139"/>
      <c r="J393" s="81"/>
      <c r="K393" s="81"/>
      <c r="L393" s="81"/>
      <c r="M393" s="81"/>
      <c r="N393" s="81"/>
      <c r="O393" s="139"/>
      <c r="P393" s="81"/>
      <c r="Q393" s="81"/>
      <c r="R393" s="81"/>
      <c r="S393" s="81"/>
      <c r="T393" s="139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212"/>
      <c r="AG393" s="100"/>
    </row>
    <row r="394" spans="1:33" ht="15.75" customHeight="1" x14ac:dyDescent="0.25">
      <c r="A394" s="100">
        <v>0</v>
      </c>
      <c r="B394" s="81"/>
      <c r="C394" s="81"/>
      <c r="D394" s="81"/>
      <c r="E394" s="139"/>
      <c r="F394" s="81"/>
      <c r="G394" s="139"/>
      <c r="H394" s="35"/>
      <c r="I394" s="139"/>
      <c r="J394" s="81"/>
      <c r="K394" s="81"/>
      <c r="L394" s="81"/>
      <c r="M394" s="81"/>
      <c r="N394" s="81"/>
      <c r="O394" s="139"/>
      <c r="P394" s="81"/>
      <c r="Q394" s="81"/>
      <c r="R394" s="81"/>
      <c r="S394" s="81"/>
      <c r="T394" s="139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212"/>
      <c r="AG394" s="100"/>
    </row>
    <row r="395" spans="1:33" ht="15.75" customHeight="1" x14ac:dyDescent="0.25">
      <c r="A395" s="100">
        <v>0</v>
      </c>
      <c r="B395" s="81"/>
      <c r="C395" s="81"/>
      <c r="D395" s="81"/>
      <c r="E395" s="139"/>
      <c r="F395" s="81"/>
      <c r="G395" s="139"/>
      <c r="H395" s="35"/>
      <c r="I395" s="139"/>
      <c r="J395" s="81"/>
      <c r="K395" s="81"/>
      <c r="L395" s="81"/>
      <c r="M395" s="81"/>
      <c r="N395" s="81"/>
      <c r="O395" s="139"/>
      <c r="P395" s="81"/>
      <c r="Q395" s="81"/>
      <c r="R395" s="81"/>
      <c r="S395" s="81"/>
      <c r="T395" s="139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212"/>
      <c r="AG395" s="100"/>
    </row>
    <row r="396" spans="1:33" ht="15.75" customHeight="1" x14ac:dyDescent="0.25">
      <c r="A396" s="100">
        <v>0</v>
      </c>
      <c r="B396" s="81"/>
      <c r="C396" s="81"/>
      <c r="D396" s="81"/>
      <c r="E396" s="139"/>
      <c r="F396" s="81"/>
      <c r="G396" s="139"/>
      <c r="H396" s="35"/>
      <c r="I396" s="139"/>
      <c r="J396" s="81"/>
      <c r="K396" s="139"/>
      <c r="L396" s="81"/>
      <c r="M396" s="81"/>
      <c r="N396" s="81"/>
      <c r="O396" s="139"/>
      <c r="P396" s="81"/>
      <c r="Q396" s="81"/>
      <c r="R396" s="81"/>
      <c r="S396" s="81"/>
      <c r="T396" s="139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212"/>
      <c r="AG396" s="100"/>
    </row>
    <row r="397" spans="1:33" ht="15.75" customHeight="1" x14ac:dyDescent="0.25">
      <c r="A397" s="100">
        <v>0</v>
      </c>
      <c r="B397" s="81"/>
      <c r="C397" s="81"/>
      <c r="D397" s="81"/>
      <c r="E397" s="139"/>
      <c r="F397" s="81"/>
      <c r="G397" s="139"/>
      <c r="H397" s="35"/>
      <c r="I397" s="139"/>
      <c r="J397" s="81"/>
      <c r="K397" s="81"/>
      <c r="L397" s="81"/>
      <c r="M397" s="81"/>
      <c r="N397" s="81"/>
      <c r="O397" s="139"/>
      <c r="P397" s="81"/>
      <c r="Q397" s="81"/>
      <c r="R397" s="81"/>
      <c r="S397" s="81"/>
      <c r="T397" s="139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212"/>
      <c r="AG397" s="100"/>
    </row>
    <row r="398" spans="1:33" ht="15.75" customHeight="1" x14ac:dyDescent="0.25">
      <c r="A398" s="100">
        <v>0</v>
      </c>
      <c r="B398" s="81"/>
      <c r="C398" s="81"/>
      <c r="D398" s="81"/>
      <c r="E398" s="139"/>
      <c r="F398" s="81"/>
      <c r="G398" s="139"/>
      <c r="H398" s="35"/>
      <c r="I398" s="139"/>
      <c r="J398" s="81"/>
      <c r="K398" s="81"/>
      <c r="L398" s="81"/>
      <c r="M398" s="81"/>
      <c r="N398" s="81"/>
      <c r="O398" s="139"/>
      <c r="P398" s="81"/>
      <c r="Q398" s="81"/>
      <c r="R398" s="81"/>
      <c r="S398" s="81"/>
      <c r="T398" s="139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212"/>
      <c r="AG398" s="100"/>
    </row>
    <row r="399" spans="1:33" ht="15.75" customHeight="1" x14ac:dyDescent="0.25">
      <c r="A399" s="100">
        <v>0</v>
      </c>
      <c r="B399" s="81"/>
      <c r="C399" s="81"/>
      <c r="D399" s="81"/>
      <c r="E399" s="139"/>
      <c r="F399" s="81"/>
      <c r="G399" s="139"/>
      <c r="H399" s="35"/>
      <c r="I399" s="139"/>
      <c r="J399" s="81"/>
      <c r="K399" s="81"/>
      <c r="L399" s="81"/>
      <c r="M399" s="81"/>
      <c r="N399" s="81"/>
      <c r="O399" s="139"/>
      <c r="P399" s="81"/>
      <c r="Q399" s="81"/>
      <c r="R399" s="81"/>
      <c r="S399" s="81"/>
      <c r="T399" s="139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212"/>
      <c r="AG399" s="100"/>
    </row>
    <row r="400" spans="1:33" ht="15.75" customHeight="1" x14ac:dyDescent="0.25">
      <c r="A400" s="100">
        <v>0</v>
      </c>
      <c r="B400" s="81"/>
      <c r="C400" s="81"/>
      <c r="D400" s="81"/>
      <c r="E400" s="139"/>
      <c r="F400" s="81"/>
      <c r="G400" s="139"/>
      <c r="H400" s="35"/>
      <c r="I400" s="139"/>
      <c r="J400" s="81"/>
      <c r="K400" s="81"/>
      <c r="L400" s="81"/>
      <c r="M400" s="81"/>
      <c r="N400" s="81"/>
      <c r="O400" s="139"/>
      <c r="P400" s="81"/>
      <c r="Q400" s="81"/>
      <c r="R400" s="81"/>
      <c r="S400" s="81"/>
      <c r="T400" s="139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212"/>
      <c r="AG400" s="100"/>
    </row>
    <row r="401" spans="1:33" ht="15.75" customHeight="1" x14ac:dyDescent="0.25">
      <c r="A401" s="100">
        <v>0</v>
      </c>
      <c r="B401" s="81"/>
      <c r="C401" s="81"/>
      <c r="D401" s="81"/>
      <c r="E401" s="139"/>
      <c r="F401" s="81"/>
      <c r="G401" s="139"/>
      <c r="H401" s="35"/>
      <c r="I401" s="139"/>
      <c r="J401" s="81"/>
      <c r="K401" s="81"/>
      <c r="L401" s="81"/>
      <c r="M401" s="81"/>
      <c r="N401" s="81"/>
      <c r="O401" s="139"/>
      <c r="P401" s="81"/>
      <c r="Q401" s="81"/>
      <c r="R401" s="81"/>
      <c r="S401" s="81"/>
      <c r="T401" s="139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212"/>
      <c r="AG401" s="100"/>
    </row>
    <row r="402" spans="1:33" ht="15.75" customHeight="1" x14ac:dyDescent="0.3">
      <c r="B402" s="214"/>
      <c r="C402" s="214"/>
      <c r="D402" s="214"/>
      <c r="E402" s="216"/>
      <c r="F402" s="216"/>
      <c r="G402" s="216"/>
      <c r="H402" s="216"/>
      <c r="I402" s="216"/>
      <c r="J402" s="216"/>
      <c r="K402" s="214"/>
      <c r="L402" s="214"/>
      <c r="M402" s="214"/>
      <c r="N402" s="216"/>
      <c r="O402" s="216"/>
      <c r="P402" s="214"/>
      <c r="Q402" s="214"/>
      <c r="R402" s="214"/>
      <c r="S402" s="214"/>
      <c r="T402" s="216"/>
      <c r="U402" s="216"/>
      <c r="V402" s="216"/>
      <c r="W402" s="216"/>
      <c r="X402" s="216"/>
      <c r="Y402" s="216"/>
      <c r="Z402" s="216"/>
      <c r="AA402" s="216"/>
      <c r="AB402" s="216"/>
      <c r="AC402" s="216"/>
      <c r="AD402" s="216"/>
      <c r="AE402" s="216"/>
      <c r="AF402" s="218"/>
      <c r="AG402" s="219"/>
    </row>
    <row r="403" spans="1:33" ht="15.75" customHeight="1" x14ac:dyDescent="0.25"/>
    <row r="404" spans="1:33" ht="15.75" customHeight="1" x14ac:dyDescent="0.25">
      <c r="A404" s="228">
        <v>0</v>
      </c>
      <c r="B404" s="203" t="str">
        <f ca="1">IFERROR(__xludf.DUMMYFUNCTION("Importrange(""https://docs.google.com/spreadsheets/d/18vZAZatIMohviu9xBK-SDMwzZgXckwoJGCi-FyRbvts/edit?gid=682100250#"",""Personnel Cost!A2:AE18"")"),"#REF!")</f>
        <v>#REF!</v>
      </c>
      <c r="C404" s="81"/>
      <c r="D404" s="81"/>
      <c r="E404" s="139"/>
      <c r="F404" s="139"/>
      <c r="G404" s="139"/>
      <c r="H404" s="35"/>
      <c r="I404" s="139"/>
      <c r="J404" s="139"/>
      <c r="K404" s="139"/>
      <c r="L404" s="139"/>
      <c r="M404" s="241"/>
      <c r="N404" s="139"/>
      <c r="O404" s="139"/>
      <c r="P404" s="139"/>
      <c r="Q404" s="81"/>
      <c r="R404" s="81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210"/>
      <c r="AG404" s="100"/>
    </row>
    <row r="405" spans="1:33" ht="15.75" customHeight="1" x14ac:dyDescent="0.25">
      <c r="A405" s="15">
        <v>1</v>
      </c>
      <c r="B405" s="81"/>
      <c r="C405" s="81"/>
      <c r="D405" s="81"/>
      <c r="E405" s="139"/>
      <c r="F405" s="139"/>
      <c r="G405" s="139"/>
      <c r="H405" s="35"/>
      <c r="I405" s="139"/>
      <c r="J405" s="139"/>
      <c r="K405" s="139"/>
      <c r="L405" s="139"/>
      <c r="M405" s="241"/>
      <c r="N405" s="139"/>
      <c r="O405" s="139"/>
      <c r="P405" s="139"/>
      <c r="Q405" s="207"/>
      <c r="R405" s="208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210"/>
      <c r="AG405" s="100"/>
    </row>
    <row r="406" spans="1:33" ht="15.75" customHeight="1" x14ac:dyDescent="0.25">
      <c r="A406" s="15">
        <v>1</v>
      </c>
      <c r="B406" s="81"/>
      <c r="C406" s="81"/>
      <c r="D406" s="81"/>
      <c r="E406" s="139"/>
      <c r="F406" s="139"/>
      <c r="G406" s="139"/>
      <c r="H406" s="35"/>
      <c r="I406" s="139"/>
      <c r="J406" s="139"/>
      <c r="K406" s="139"/>
      <c r="L406" s="139"/>
      <c r="M406" s="241"/>
      <c r="N406" s="139"/>
      <c r="O406" s="139"/>
      <c r="P406" s="139"/>
      <c r="Q406" s="207"/>
      <c r="R406" s="190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210"/>
      <c r="AG406" s="100"/>
    </row>
    <row r="407" spans="1:33" ht="15.75" customHeight="1" x14ac:dyDescent="0.25">
      <c r="A407" s="15"/>
      <c r="B407" s="81"/>
      <c r="C407" s="81"/>
      <c r="D407" s="81"/>
      <c r="E407" s="139"/>
      <c r="F407" s="139"/>
      <c r="G407" s="139"/>
      <c r="H407" s="35"/>
      <c r="I407" s="139"/>
      <c r="J407" s="139"/>
      <c r="K407" s="139"/>
      <c r="L407" s="139"/>
      <c r="M407" s="241"/>
      <c r="N407" s="139"/>
      <c r="O407" s="139"/>
      <c r="P407" s="139"/>
      <c r="Q407" s="207"/>
      <c r="R407" s="81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210"/>
      <c r="AG407" s="100"/>
    </row>
    <row r="408" spans="1:33" ht="15.75" customHeight="1" x14ac:dyDescent="0.25">
      <c r="A408" s="100">
        <v>0</v>
      </c>
      <c r="B408" s="81"/>
      <c r="C408" s="81"/>
      <c r="D408" s="81"/>
      <c r="E408" s="139"/>
      <c r="F408" s="139"/>
      <c r="G408" s="139"/>
      <c r="H408" s="35"/>
      <c r="I408" s="139"/>
      <c r="J408" s="139"/>
      <c r="K408" s="139"/>
      <c r="L408" s="139"/>
      <c r="M408" s="189"/>
      <c r="N408" s="81"/>
      <c r="O408" s="139"/>
      <c r="P408" s="81"/>
      <c r="Q408" s="81"/>
      <c r="R408" s="81"/>
      <c r="S408" s="81"/>
      <c r="T408" s="139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212"/>
      <c r="AG408" s="100"/>
    </row>
    <row r="409" spans="1:33" ht="15.75" customHeight="1" x14ac:dyDescent="0.25">
      <c r="A409" s="15">
        <v>0</v>
      </c>
      <c r="B409" s="81"/>
      <c r="C409" s="81"/>
      <c r="D409" s="81"/>
      <c r="E409" s="139"/>
      <c r="F409" s="139"/>
      <c r="G409" s="139"/>
      <c r="H409" s="35"/>
      <c r="I409" s="139"/>
      <c r="J409" s="81"/>
      <c r="K409" s="81"/>
      <c r="L409" s="81"/>
      <c r="M409" s="81"/>
      <c r="N409" s="81"/>
      <c r="O409" s="139"/>
      <c r="P409" s="81"/>
      <c r="Q409" s="81"/>
      <c r="R409" s="81"/>
      <c r="S409" s="81"/>
      <c r="T409" s="139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212"/>
      <c r="AG409" s="100"/>
    </row>
    <row r="410" spans="1:33" ht="15.75" customHeight="1" x14ac:dyDescent="0.25">
      <c r="A410" s="15">
        <v>0</v>
      </c>
      <c r="B410" s="81"/>
      <c r="C410" s="81"/>
      <c r="D410" s="81"/>
      <c r="E410" s="139"/>
      <c r="F410" s="139"/>
      <c r="G410" s="139"/>
      <c r="H410" s="35"/>
      <c r="I410" s="139"/>
      <c r="J410" s="81"/>
      <c r="K410" s="81"/>
      <c r="L410" s="81"/>
      <c r="M410" s="81"/>
      <c r="N410" s="81"/>
      <c r="O410" s="139"/>
      <c r="P410" s="81"/>
      <c r="Q410" s="81"/>
      <c r="R410" s="81"/>
      <c r="S410" s="81"/>
      <c r="T410" s="139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212"/>
      <c r="AG410" s="100"/>
    </row>
    <row r="411" spans="1:33" ht="15.75" customHeight="1" x14ac:dyDescent="0.25">
      <c r="A411" s="15">
        <v>0</v>
      </c>
      <c r="B411" s="81"/>
      <c r="C411" s="81"/>
      <c r="D411" s="81"/>
      <c r="E411" s="139"/>
      <c r="F411" s="139"/>
      <c r="G411" s="139"/>
      <c r="H411" s="35"/>
      <c r="I411" s="139"/>
      <c r="J411" s="81"/>
      <c r="K411" s="81"/>
      <c r="L411" s="81"/>
      <c r="M411" s="81"/>
      <c r="N411" s="81"/>
      <c r="O411" s="139"/>
      <c r="P411" s="81"/>
      <c r="Q411" s="81"/>
      <c r="R411" s="81"/>
      <c r="S411" s="81"/>
      <c r="T411" s="139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212"/>
      <c r="AG411" s="100"/>
    </row>
    <row r="412" spans="1:33" ht="15.75" customHeight="1" x14ac:dyDescent="0.25">
      <c r="A412" s="15">
        <v>0</v>
      </c>
      <c r="B412" s="81"/>
      <c r="C412" s="81"/>
      <c r="D412" s="81"/>
      <c r="E412" s="139"/>
      <c r="F412" s="139"/>
      <c r="G412" s="139"/>
      <c r="H412" s="35"/>
      <c r="I412" s="139"/>
      <c r="J412" s="81"/>
      <c r="K412" s="81"/>
      <c r="L412" s="81"/>
      <c r="M412" s="81"/>
      <c r="N412" s="81"/>
      <c r="O412" s="139"/>
      <c r="P412" s="81"/>
      <c r="Q412" s="81"/>
      <c r="R412" s="81"/>
      <c r="S412" s="81"/>
      <c r="T412" s="139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212"/>
      <c r="AG412" s="100"/>
    </row>
    <row r="413" spans="1:33" ht="15.75" customHeight="1" x14ac:dyDescent="0.25">
      <c r="A413" s="15">
        <v>0</v>
      </c>
      <c r="B413" s="81"/>
      <c r="C413" s="81"/>
      <c r="D413" s="81"/>
      <c r="E413" s="139"/>
      <c r="F413" s="139"/>
      <c r="G413" s="139"/>
      <c r="H413" s="35"/>
      <c r="I413" s="139"/>
      <c r="J413" s="81"/>
      <c r="K413" s="81"/>
      <c r="L413" s="81"/>
      <c r="M413" s="81"/>
      <c r="N413" s="81"/>
      <c r="O413" s="139"/>
      <c r="P413" s="81"/>
      <c r="Q413" s="81"/>
      <c r="R413" s="81"/>
      <c r="S413" s="81"/>
      <c r="T413" s="139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212"/>
      <c r="AG413" s="100"/>
    </row>
    <row r="414" spans="1:33" ht="15.75" customHeight="1" x14ac:dyDescent="0.25">
      <c r="A414" s="15">
        <v>0</v>
      </c>
      <c r="B414" s="81"/>
      <c r="C414" s="81"/>
      <c r="D414" s="81"/>
      <c r="E414" s="139"/>
      <c r="F414" s="139"/>
      <c r="G414" s="139"/>
      <c r="H414" s="35"/>
      <c r="I414" s="139"/>
      <c r="J414" s="81"/>
      <c r="K414" s="139"/>
      <c r="L414" s="81"/>
      <c r="M414" s="81"/>
      <c r="N414" s="81"/>
      <c r="O414" s="139"/>
      <c r="P414" s="81"/>
      <c r="Q414" s="81"/>
      <c r="R414" s="81"/>
      <c r="S414" s="81"/>
      <c r="T414" s="139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212"/>
      <c r="AG414" s="100"/>
    </row>
    <row r="415" spans="1:33" ht="15.75" customHeight="1" x14ac:dyDescent="0.25">
      <c r="A415" s="15">
        <v>0</v>
      </c>
      <c r="B415" s="81"/>
      <c r="C415" s="81"/>
      <c r="D415" s="81"/>
      <c r="E415" s="139"/>
      <c r="F415" s="139"/>
      <c r="G415" s="139"/>
      <c r="H415" s="35"/>
      <c r="I415" s="139"/>
      <c r="J415" s="81"/>
      <c r="K415" s="81"/>
      <c r="L415" s="81"/>
      <c r="M415" s="81"/>
      <c r="N415" s="81"/>
      <c r="O415" s="139"/>
      <c r="P415" s="81"/>
      <c r="Q415" s="81"/>
      <c r="R415" s="81"/>
      <c r="S415" s="81"/>
      <c r="T415" s="139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212"/>
      <c r="AG415" s="100"/>
    </row>
    <row r="416" spans="1:33" ht="15.75" customHeight="1" x14ac:dyDescent="0.25">
      <c r="A416" s="15">
        <v>0</v>
      </c>
      <c r="B416" s="81"/>
      <c r="C416" s="81"/>
      <c r="D416" s="81"/>
      <c r="E416" s="139"/>
      <c r="F416" s="139"/>
      <c r="G416" s="139"/>
      <c r="H416" s="35"/>
      <c r="I416" s="139"/>
      <c r="J416" s="81"/>
      <c r="K416" s="81"/>
      <c r="L416" s="81"/>
      <c r="M416" s="81"/>
      <c r="N416" s="81"/>
      <c r="O416" s="139"/>
      <c r="P416" s="81"/>
      <c r="Q416" s="81"/>
      <c r="R416" s="81"/>
      <c r="S416" s="81"/>
      <c r="T416" s="139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212"/>
      <c r="AG416" s="100"/>
    </row>
    <row r="417" spans="1:33" ht="15.75" customHeight="1" x14ac:dyDescent="0.25">
      <c r="A417" s="100">
        <v>0</v>
      </c>
      <c r="B417" s="81"/>
      <c r="C417" s="81"/>
      <c r="D417" s="81"/>
      <c r="E417" s="139"/>
      <c r="F417" s="139"/>
      <c r="G417" s="139"/>
      <c r="H417" s="35"/>
      <c r="I417" s="139"/>
      <c r="J417" s="81"/>
      <c r="K417" s="81"/>
      <c r="L417" s="81"/>
      <c r="M417" s="81"/>
      <c r="N417" s="81"/>
      <c r="O417" s="139"/>
      <c r="P417" s="81"/>
      <c r="Q417" s="81"/>
      <c r="R417" s="81"/>
      <c r="S417" s="81"/>
      <c r="T417" s="139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212"/>
      <c r="AG417" s="100"/>
    </row>
    <row r="418" spans="1:33" ht="15.75" customHeight="1" x14ac:dyDescent="0.25">
      <c r="A418" s="100">
        <v>0</v>
      </c>
      <c r="B418" s="81"/>
      <c r="C418" s="81"/>
      <c r="D418" s="81"/>
      <c r="E418" s="139"/>
      <c r="F418" s="139"/>
      <c r="G418" s="139"/>
      <c r="H418" s="35"/>
      <c r="I418" s="139"/>
      <c r="J418" s="81"/>
      <c r="K418" s="81"/>
      <c r="L418" s="81"/>
      <c r="M418" s="81"/>
      <c r="N418" s="81"/>
      <c r="O418" s="139"/>
      <c r="P418" s="81"/>
      <c r="Q418" s="81"/>
      <c r="R418" s="81"/>
      <c r="S418" s="81"/>
      <c r="T418" s="139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212"/>
      <c r="AG418" s="100"/>
    </row>
    <row r="419" spans="1:33" ht="15.75" customHeight="1" x14ac:dyDescent="0.25">
      <c r="A419" s="100">
        <v>0</v>
      </c>
      <c r="B419" s="81"/>
      <c r="C419" s="81"/>
      <c r="D419" s="81"/>
      <c r="E419" s="139"/>
      <c r="F419" s="139"/>
      <c r="G419" s="139"/>
      <c r="H419" s="35"/>
      <c r="I419" s="139"/>
      <c r="J419" s="81"/>
      <c r="K419" s="81"/>
      <c r="L419" s="81"/>
      <c r="M419" s="81"/>
      <c r="N419" s="81"/>
      <c r="O419" s="139"/>
      <c r="P419" s="81"/>
      <c r="Q419" s="81"/>
      <c r="R419" s="81"/>
      <c r="S419" s="81"/>
      <c r="T419" s="139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212"/>
      <c r="AG419" s="100"/>
    </row>
    <row r="420" spans="1:33" ht="15.75" customHeight="1" x14ac:dyDescent="0.3">
      <c r="B420" s="214"/>
      <c r="C420" s="214"/>
      <c r="D420" s="214"/>
      <c r="E420" s="216"/>
      <c r="F420" s="216"/>
      <c r="G420" s="216"/>
      <c r="H420" s="216"/>
      <c r="I420" s="216"/>
      <c r="J420" s="216"/>
      <c r="K420" s="214"/>
      <c r="L420" s="214"/>
      <c r="M420" s="214"/>
      <c r="N420" s="216"/>
      <c r="O420" s="216"/>
      <c r="P420" s="214"/>
      <c r="Q420" s="214"/>
      <c r="R420" s="214"/>
      <c r="S420" s="214"/>
      <c r="T420" s="216"/>
      <c r="U420" s="216"/>
      <c r="V420" s="216"/>
      <c r="W420" s="216"/>
      <c r="X420" s="216"/>
      <c r="Y420" s="216"/>
      <c r="Z420" s="216"/>
      <c r="AA420" s="216"/>
      <c r="AB420" s="216"/>
      <c r="AC420" s="216"/>
      <c r="AD420" s="216"/>
      <c r="AE420" s="216"/>
      <c r="AF420" s="218"/>
      <c r="AG420" s="219"/>
    </row>
    <row r="421" spans="1:33" ht="15.75" customHeight="1" x14ac:dyDescent="0.25"/>
    <row r="422" spans="1:33" ht="15.75" customHeight="1" x14ac:dyDescent="0.25">
      <c r="A422" s="100">
        <v>0</v>
      </c>
      <c r="B422" s="203" t="str">
        <f ca="1">IFERROR(__xludf.DUMMYFUNCTION("Importrange(""https://docs.google.com/spreadsheets/d/18vZAZatIMohviu9xBK-SDMwzZgXckwoJGCi-FyRbvts/edit?gid=682100250#"",""Personnel Cost!A37:AE47"")"),"#REF!")</f>
        <v>#REF!</v>
      </c>
      <c r="C422" s="81"/>
      <c r="D422" s="81"/>
      <c r="E422" s="139"/>
      <c r="F422" s="139"/>
      <c r="G422" s="139"/>
      <c r="H422" s="35"/>
      <c r="I422" s="139"/>
      <c r="J422" s="81"/>
      <c r="K422" s="81"/>
      <c r="L422" s="81"/>
      <c r="M422" s="81"/>
      <c r="N422" s="81"/>
      <c r="O422" s="139"/>
      <c r="P422" s="81"/>
      <c r="Q422" s="81"/>
      <c r="R422" s="81"/>
      <c r="S422" s="81"/>
      <c r="T422" s="139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212"/>
      <c r="AG422" s="100"/>
    </row>
    <row r="423" spans="1:33" ht="15.75" customHeight="1" x14ac:dyDescent="0.25">
      <c r="A423" s="100">
        <v>0</v>
      </c>
      <c r="B423" s="81"/>
      <c r="C423" s="81"/>
      <c r="D423" s="81"/>
      <c r="E423" s="139"/>
      <c r="F423" s="139"/>
      <c r="G423" s="139"/>
      <c r="H423" s="35"/>
      <c r="I423" s="139"/>
      <c r="J423" s="81"/>
      <c r="K423" s="81"/>
      <c r="L423" s="81"/>
      <c r="M423" s="81"/>
      <c r="N423" s="81"/>
      <c r="O423" s="139"/>
      <c r="P423" s="81"/>
      <c r="Q423" s="81"/>
      <c r="R423" s="81"/>
      <c r="S423" s="81"/>
      <c r="T423" s="139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212"/>
      <c r="AG423" s="100"/>
    </row>
    <row r="424" spans="1:33" ht="15.75" customHeight="1" x14ac:dyDescent="0.25">
      <c r="A424" s="100">
        <v>0</v>
      </c>
      <c r="B424" s="81"/>
      <c r="C424" s="81"/>
      <c r="D424" s="81"/>
      <c r="E424" s="139"/>
      <c r="F424" s="139"/>
      <c r="G424" s="139"/>
      <c r="H424" s="35"/>
      <c r="I424" s="139"/>
      <c r="J424" s="81"/>
      <c r="K424" s="81"/>
      <c r="L424" s="81"/>
      <c r="M424" s="81"/>
      <c r="N424" s="81"/>
      <c r="O424" s="139"/>
      <c r="P424" s="81"/>
      <c r="Q424" s="81"/>
      <c r="R424" s="81"/>
      <c r="S424" s="81"/>
      <c r="T424" s="139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212"/>
      <c r="AG424" s="100"/>
    </row>
    <row r="425" spans="1:33" ht="15.75" customHeight="1" x14ac:dyDescent="0.25">
      <c r="A425" s="100">
        <v>0</v>
      </c>
      <c r="B425" s="81"/>
      <c r="C425" s="81"/>
      <c r="D425" s="81"/>
      <c r="E425" s="139"/>
      <c r="F425" s="139"/>
      <c r="G425" s="139"/>
      <c r="H425" s="35"/>
      <c r="I425" s="139"/>
      <c r="J425" s="81"/>
      <c r="K425" s="81"/>
      <c r="L425" s="81"/>
      <c r="M425" s="81"/>
      <c r="N425" s="81"/>
      <c r="O425" s="139"/>
      <c r="P425" s="81"/>
      <c r="Q425" s="81"/>
      <c r="R425" s="81"/>
      <c r="S425" s="81"/>
      <c r="T425" s="139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212"/>
      <c r="AG425" s="100"/>
    </row>
    <row r="426" spans="1:33" ht="15.75" customHeight="1" x14ac:dyDescent="0.25">
      <c r="A426" s="100">
        <v>0</v>
      </c>
      <c r="B426" s="81"/>
      <c r="C426" s="81"/>
      <c r="D426" s="81"/>
      <c r="E426" s="139"/>
      <c r="F426" s="139"/>
      <c r="G426" s="139"/>
      <c r="H426" s="35"/>
      <c r="I426" s="139"/>
      <c r="J426" s="81"/>
      <c r="K426" s="139"/>
      <c r="L426" s="81"/>
      <c r="M426" s="81"/>
      <c r="N426" s="81"/>
      <c r="O426" s="139"/>
      <c r="P426" s="81"/>
      <c r="Q426" s="81"/>
      <c r="R426" s="81"/>
      <c r="S426" s="81"/>
      <c r="T426" s="139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212"/>
      <c r="AG426" s="100"/>
    </row>
    <row r="427" spans="1:33" ht="15.75" customHeight="1" x14ac:dyDescent="0.25">
      <c r="A427" s="100">
        <v>0</v>
      </c>
      <c r="B427" s="81"/>
      <c r="C427" s="81"/>
      <c r="D427" s="81"/>
      <c r="E427" s="139"/>
      <c r="F427" s="139"/>
      <c r="G427" s="139"/>
      <c r="H427" s="35"/>
      <c r="I427" s="139"/>
      <c r="J427" s="81"/>
      <c r="K427" s="81"/>
      <c r="L427" s="81"/>
      <c r="M427" s="81"/>
      <c r="N427" s="81"/>
      <c r="O427" s="139"/>
      <c r="P427" s="81"/>
      <c r="Q427" s="81"/>
      <c r="R427" s="81"/>
      <c r="S427" s="81"/>
      <c r="T427" s="139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212"/>
      <c r="AG427" s="100"/>
    </row>
    <row r="428" spans="1:33" ht="15.75" customHeight="1" x14ac:dyDescent="0.25">
      <c r="A428" s="100">
        <v>0</v>
      </c>
      <c r="B428" s="81"/>
      <c r="C428" s="81"/>
      <c r="D428" s="81"/>
      <c r="E428" s="139"/>
      <c r="F428" s="139"/>
      <c r="G428" s="139"/>
      <c r="H428" s="35"/>
      <c r="I428" s="139"/>
      <c r="J428" s="81"/>
      <c r="K428" s="81"/>
      <c r="L428" s="81"/>
      <c r="M428" s="81"/>
      <c r="N428" s="81"/>
      <c r="O428" s="139"/>
      <c r="P428" s="81"/>
      <c r="Q428" s="81"/>
      <c r="R428" s="81"/>
      <c r="S428" s="81"/>
      <c r="T428" s="139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212"/>
      <c r="AG428" s="100"/>
    </row>
    <row r="429" spans="1:33" ht="15.75" customHeight="1" x14ac:dyDescent="0.25">
      <c r="A429" s="100">
        <v>0</v>
      </c>
      <c r="B429" s="81"/>
      <c r="C429" s="81"/>
      <c r="D429" s="81"/>
      <c r="E429" s="139"/>
      <c r="F429" s="139"/>
      <c r="G429" s="139"/>
      <c r="H429" s="35"/>
      <c r="I429" s="139"/>
      <c r="J429" s="81"/>
      <c r="K429" s="81"/>
      <c r="L429" s="81"/>
      <c r="M429" s="81"/>
      <c r="N429" s="81"/>
      <c r="O429" s="139"/>
      <c r="P429" s="81"/>
      <c r="Q429" s="81"/>
      <c r="R429" s="81"/>
      <c r="S429" s="81"/>
      <c r="T429" s="139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212"/>
      <c r="AG429" s="100"/>
    </row>
    <row r="430" spans="1:33" ht="15.75" customHeight="1" x14ac:dyDescent="0.25">
      <c r="A430" s="100">
        <v>0</v>
      </c>
      <c r="B430" s="81"/>
      <c r="C430" s="81"/>
      <c r="D430" s="81"/>
      <c r="E430" s="139"/>
      <c r="F430" s="139"/>
      <c r="G430" s="139"/>
      <c r="H430" s="35"/>
      <c r="I430" s="139"/>
      <c r="J430" s="81"/>
      <c r="K430" s="81"/>
      <c r="L430" s="81"/>
      <c r="M430" s="81"/>
      <c r="N430" s="81"/>
      <c r="O430" s="139"/>
      <c r="P430" s="81"/>
      <c r="Q430" s="81"/>
      <c r="R430" s="81"/>
      <c r="S430" s="81"/>
      <c r="T430" s="139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212"/>
      <c r="AG430" s="100"/>
    </row>
    <row r="431" spans="1:33" ht="15.75" customHeight="1" x14ac:dyDescent="0.25">
      <c r="A431" s="100">
        <v>0</v>
      </c>
      <c r="B431" s="81"/>
      <c r="C431" s="81"/>
      <c r="D431" s="81"/>
      <c r="E431" s="139"/>
      <c r="F431" s="139"/>
      <c r="G431" s="139"/>
      <c r="H431" s="35"/>
      <c r="I431" s="139"/>
      <c r="J431" s="81"/>
      <c r="K431" s="81"/>
      <c r="L431" s="81"/>
      <c r="M431" s="81"/>
      <c r="N431" s="81"/>
      <c r="O431" s="139"/>
      <c r="P431" s="81"/>
      <c r="Q431" s="81"/>
      <c r="R431" s="81"/>
      <c r="S431" s="81"/>
      <c r="T431" s="139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212"/>
      <c r="AG431" s="100"/>
    </row>
    <row r="432" spans="1:33" ht="15.75" customHeight="1" x14ac:dyDescent="0.3">
      <c r="B432" s="214"/>
      <c r="C432" s="214"/>
      <c r="D432" s="214"/>
      <c r="E432" s="216"/>
      <c r="F432" s="216"/>
      <c r="G432" s="216"/>
      <c r="H432" s="216"/>
      <c r="I432" s="216"/>
      <c r="J432" s="216"/>
      <c r="K432" s="214"/>
      <c r="L432" s="214"/>
      <c r="M432" s="214"/>
      <c r="N432" s="216"/>
      <c r="O432" s="216"/>
      <c r="P432" s="214"/>
      <c r="Q432" s="214"/>
      <c r="R432" s="214"/>
      <c r="S432" s="214"/>
      <c r="T432" s="216"/>
      <c r="U432" s="216"/>
      <c r="V432" s="216"/>
      <c r="W432" s="216"/>
      <c r="X432" s="216"/>
      <c r="Y432" s="216"/>
      <c r="Z432" s="216"/>
      <c r="AA432" s="216"/>
      <c r="AB432" s="216"/>
      <c r="AC432" s="216"/>
      <c r="AD432" s="216"/>
      <c r="AE432" s="216"/>
      <c r="AF432" s="218"/>
      <c r="AG432" s="219"/>
    </row>
    <row r="433" spans="1:33" ht="15.75" customHeight="1" x14ac:dyDescent="0.25"/>
    <row r="434" spans="1:33" ht="15.75" customHeight="1" x14ac:dyDescent="0.25">
      <c r="A434" s="100">
        <v>0</v>
      </c>
      <c r="B434" s="203" t="str">
        <f ca="1">IFERROR(__xludf.DUMMYFUNCTION("Importrange(""https://docs.google.com/spreadsheets/d/18vZAZatIMohviu9xBK-SDMwzZgXckwoJGCi-FyRbvts/edit?gid=682100250#"",""Personnel Cost!A60:AE70"")"),"#REF!")</f>
        <v>#REF!</v>
      </c>
      <c r="C434" s="81"/>
      <c r="D434" s="81"/>
      <c r="E434" s="139"/>
      <c r="F434" s="139"/>
      <c r="G434" s="139"/>
      <c r="H434" s="35"/>
      <c r="I434" s="139"/>
      <c r="J434" s="81"/>
      <c r="K434" s="81"/>
      <c r="L434" s="81"/>
      <c r="M434" s="81"/>
      <c r="N434" s="81"/>
      <c r="O434" s="139"/>
      <c r="P434" s="81"/>
      <c r="Q434" s="81"/>
      <c r="R434" s="81"/>
      <c r="S434" s="81"/>
      <c r="T434" s="139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212"/>
      <c r="AG434" s="100"/>
    </row>
    <row r="435" spans="1:33" ht="15.75" customHeight="1" x14ac:dyDescent="0.25">
      <c r="A435" s="100">
        <v>0</v>
      </c>
      <c r="B435" s="81"/>
      <c r="C435" s="81"/>
      <c r="D435" s="81"/>
      <c r="E435" s="139"/>
      <c r="F435" s="139"/>
      <c r="G435" s="139"/>
      <c r="H435" s="35"/>
      <c r="I435" s="139"/>
      <c r="J435" s="81"/>
      <c r="K435" s="81"/>
      <c r="L435" s="81"/>
      <c r="M435" s="81"/>
      <c r="N435" s="81"/>
      <c r="O435" s="139"/>
      <c r="P435" s="81"/>
      <c r="Q435" s="81"/>
      <c r="R435" s="81"/>
      <c r="S435" s="81"/>
      <c r="T435" s="139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212"/>
      <c r="AG435" s="100"/>
    </row>
    <row r="436" spans="1:33" ht="15.75" customHeight="1" x14ac:dyDescent="0.25">
      <c r="A436" s="100">
        <v>0</v>
      </c>
      <c r="B436" s="81"/>
      <c r="C436" s="81"/>
      <c r="D436" s="81"/>
      <c r="E436" s="139"/>
      <c r="F436" s="139"/>
      <c r="G436" s="139"/>
      <c r="H436" s="35"/>
      <c r="I436" s="139"/>
      <c r="J436" s="81"/>
      <c r="K436" s="81"/>
      <c r="L436" s="81"/>
      <c r="M436" s="81"/>
      <c r="N436" s="81"/>
      <c r="O436" s="139"/>
      <c r="P436" s="81"/>
      <c r="Q436" s="81"/>
      <c r="R436" s="81"/>
      <c r="S436" s="81"/>
      <c r="T436" s="139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212"/>
      <c r="AG436" s="100"/>
    </row>
    <row r="437" spans="1:33" ht="15.75" customHeight="1" x14ac:dyDescent="0.25">
      <c r="A437" s="100">
        <v>0</v>
      </c>
      <c r="B437" s="81"/>
      <c r="C437" s="81"/>
      <c r="D437" s="81"/>
      <c r="E437" s="139"/>
      <c r="F437" s="139"/>
      <c r="G437" s="139"/>
      <c r="H437" s="35"/>
      <c r="I437" s="139"/>
      <c r="J437" s="81"/>
      <c r="K437" s="81"/>
      <c r="L437" s="81"/>
      <c r="M437" s="81"/>
      <c r="N437" s="81"/>
      <c r="O437" s="139"/>
      <c r="P437" s="81"/>
      <c r="Q437" s="81"/>
      <c r="R437" s="81"/>
      <c r="S437" s="81"/>
      <c r="T437" s="139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212"/>
      <c r="AG437" s="100"/>
    </row>
    <row r="438" spans="1:33" ht="15.75" customHeight="1" x14ac:dyDescent="0.25">
      <c r="A438" s="100">
        <v>0</v>
      </c>
      <c r="B438" s="81"/>
      <c r="C438" s="81"/>
      <c r="D438" s="81"/>
      <c r="E438" s="139"/>
      <c r="F438" s="139"/>
      <c r="G438" s="139"/>
      <c r="H438" s="35"/>
      <c r="I438" s="139"/>
      <c r="J438" s="81"/>
      <c r="K438" s="139"/>
      <c r="L438" s="81"/>
      <c r="M438" s="81"/>
      <c r="N438" s="81"/>
      <c r="O438" s="139"/>
      <c r="P438" s="81"/>
      <c r="Q438" s="81"/>
      <c r="R438" s="81"/>
      <c r="S438" s="81"/>
      <c r="T438" s="139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212"/>
      <c r="AG438" s="100"/>
    </row>
    <row r="439" spans="1:33" ht="15.75" customHeight="1" x14ac:dyDescent="0.25">
      <c r="A439" s="100">
        <v>0</v>
      </c>
      <c r="B439" s="81"/>
      <c r="C439" s="81"/>
      <c r="D439" s="81"/>
      <c r="E439" s="139"/>
      <c r="F439" s="139"/>
      <c r="G439" s="139"/>
      <c r="H439" s="35"/>
      <c r="I439" s="139"/>
      <c r="J439" s="81"/>
      <c r="K439" s="81"/>
      <c r="L439" s="81"/>
      <c r="M439" s="81"/>
      <c r="N439" s="81"/>
      <c r="O439" s="139"/>
      <c r="P439" s="81"/>
      <c r="Q439" s="81"/>
      <c r="R439" s="81"/>
      <c r="S439" s="81"/>
      <c r="T439" s="139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212"/>
      <c r="AG439" s="100"/>
    </row>
    <row r="440" spans="1:33" ht="15.75" customHeight="1" x14ac:dyDescent="0.25">
      <c r="A440" s="100">
        <v>0</v>
      </c>
      <c r="B440" s="81"/>
      <c r="C440" s="81"/>
      <c r="D440" s="81"/>
      <c r="E440" s="139"/>
      <c r="F440" s="139"/>
      <c r="G440" s="139"/>
      <c r="H440" s="35"/>
      <c r="I440" s="139"/>
      <c r="J440" s="81"/>
      <c r="K440" s="81"/>
      <c r="L440" s="81"/>
      <c r="M440" s="81"/>
      <c r="N440" s="81"/>
      <c r="O440" s="139"/>
      <c r="P440" s="81"/>
      <c r="Q440" s="81"/>
      <c r="R440" s="81"/>
      <c r="S440" s="81"/>
      <c r="T440" s="139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212"/>
      <c r="AG440" s="100"/>
    </row>
    <row r="441" spans="1:33" ht="15.75" customHeight="1" x14ac:dyDescent="0.25">
      <c r="A441" s="100">
        <v>0</v>
      </c>
      <c r="B441" s="81"/>
      <c r="C441" s="81"/>
      <c r="D441" s="81"/>
      <c r="E441" s="139"/>
      <c r="F441" s="139"/>
      <c r="G441" s="139"/>
      <c r="H441" s="35"/>
      <c r="I441" s="139"/>
      <c r="J441" s="81"/>
      <c r="K441" s="81"/>
      <c r="L441" s="81"/>
      <c r="M441" s="81"/>
      <c r="N441" s="81"/>
      <c r="O441" s="139"/>
      <c r="P441" s="81"/>
      <c r="Q441" s="81"/>
      <c r="R441" s="81"/>
      <c r="S441" s="81"/>
      <c r="T441" s="139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212"/>
      <c r="AG441" s="100"/>
    </row>
    <row r="442" spans="1:33" ht="15.75" customHeight="1" x14ac:dyDescent="0.25">
      <c r="A442" s="100">
        <v>0</v>
      </c>
      <c r="B442" s="81"/>
      <c r="C442" s="81"/>
      <c r="D442" s="81"/>
      <c r="E442" s="139"/>
      <c r="F442" s="139"/>
      <c r="G442" s="139"/>
      <c r="H442" s="35"/>
      <c r="I442" s="139"/>
      <c r="J442" s="81"/>
      <c r="K442" s="81"/>
      <c r="L442" s="81"/>
      <c r="M442" s="81"/>
      <c r="N442" s="81"/>
      <c r="O442" s="139"/>
      <c r="P442" s="81"/>
      <c r="Q442" s="81"/>
      <c r="R442" s="81"/>
      <c r="S442" s="81"/>
      <c r="T442" s="139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212"/>
      <c r="AG442" s="100"/>
    </row>
    <row r="443" spans="1:33" ht="15.75" customHeight="1" x14ac:dyDescent="0.25">
      <c r="A443" s="100">
        <v>0</v>
      </c>
      <c r="B443" s="81"/>
      <c r="C443" s="81"/>
      <c r="D443" s="81"/>
      <c r="E443" s="139"/>
      <c r="F443" s="139"/>
      <c r="G443" s="139"/>
      <c r="H443" s="35"/>
      <c r="I443" s="139"/>
      <c r="J443" s="81"/>
      <c r="K443" s="81"/>
      <c r="L443" s="81"/>
      <c r="M443" s="81"/>
      <c r="N443" s="81"/>
      <c r="O443" s="139"/>
      <c r="P443" s="81"/>
      <c r="Q443" s="81"/>
      <c r="R443" s="81"/>
      <c r="S443" s="81"/>
      <c r="T443" s="139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212"/>
      <c r="AG443" s="100"/>
    </row>
    <row r="444" spans="1:33" ht="15.75" customHeight="1" x14ac:dyDescent="0.3">
      <c r="B444" s="214"/>
      <c r="C444" s="214"/>
      <c r="D444" s="214"/>
      <c r="E444" s="216"/>
      <c r="F444" s="216"/>
      <c r="G444" s="216"/>
      <c r="H444" s="216"/>
      <c r="I444" s="216"/>
      <c r="J444" s="216"/>
      <c r="K444" s="214"/>
      <c r="L444" s="214"/>
      <c r="M444" s="214"/>
      <c r="N444" s="216"/>
      <c r="O444" s="216"/>
      <c r="P444" s="214"/>
      <c r="Q444" s="214"/>
      <c r="R444" s="214"/>
      <c r="S444" s="214"/>
      <c r="T444" s="216"/>
      <c r="U444" s="216"/>
      <c r="V444" s="216"/>
      <c r="W444" s="216"/>
      <c r="X444" s="216"/>
      <c r="Y444" s="216"/>
      <c r="Z444" s="216"/>
      <c r="AA444" s="216"/>
      <c r="AB444" s="216"/>
      <c r="AC444" s="216"/>
      <c r="AD444" s="216"/>
      <c r="AE444" s="216"/>
      <c r="AF444" s="218"/>
      <c r="AG444" s="219"/>
    </row>
    <row r="445" spans="1:33" ht="15.75" customHeight="1" x14ac:dyDescent="0.25"/>
    <row r="446" spans="1:33" ht="15.75" customHeight="1" x14ac:dyDescent="0.25">
      <c r="A446" s="100">
        <v>1</v>
      </c>
      <c r="B446" s="203" t="str">
        <f ca="1">IFERROR(__xludf.DUMMYFUNCTION("Importrange(""https://docs.google.com/spreadsheets/d/1khVbCpLQdg42iMdGNiBpWP0CjONClna8TIo_vqXoc1w/edit?gid=368202807#"",""Personnel Cost!A2:AE18"")"),"#REF!")</f>
        <v>#REF!</v>
      </c>
      <c r="C446" s="81"/>
      <c r="D446" s="81"/>
      <c r="E446" s="139"/>
      <c r="F446" s="139"/>
      <c r="G446" s="139"/>
      <c r="H446" s="35"/>
      <c r="I446" s="139"/>
      <c r="J446" s="81"/>
      <c r="K446" s="81"/>
      <c r="L446" s="81"/>
      <c r="M446" s="247"/>
      <c r="N446" s="139"/>
      <c r="O446" s="139"/>
      <c r="P446" s="139"/>
      <c r="Q446" s="247"/>
      <c r="R446" s="190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210"/>
      <c r="AG446" s="100"/>
    </row>
    <row r="447" spans="1:33" ht="15.75" customHeight="1" x14ac:dyDescent="0.25">
      <c r="A447" s="100">
        <v>1</v>
      </c>
      <c r="B447" s="81"/>
      <c r="C447" s="81"/>
      <c r="D447" s="81"/>
      <c r="E447" s="139"/>
      <c r="F447" s="139"/>
      <c r="G447" s="139"/>
      <c r="H447" s="35"/>
      <c r="I447" s="139"/>
      <c r="J447" s="81"/>
      <c r="K447" s="81"/>
      <c r="L447" s="81"/>
      <c r="M447" s="247"/>
      <c r="N447" s="139"/>
      <c r="O447" s="139"/>
      <c r="P447" s="139"/>
      <c r="Q447" s="247"/>
      <c r="R447" s="190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210"/>
      <c r="AG447" s="100"/>
    </row>
    <row r="448" spans="1:33" ht="15.75" customHeight="1" x14ac:dyDescent="0.25">
      <c r="A448" s="100">
        <v>0</v>
      </c>
      <c r="B448" s="81"/>
      <c r="C448" s="81"/>
      <c r="D448" s="81"/>
      <c r="E448" s="139"/>
      <c r="F448" s="139"/>
      <c r="G448" s="139"/>
      <c r="H448" s="35"/>
      <c r="I448" s="139"/>
      <c r="J448" s="81"/>
      <c r="K448" s="81"/>
      <c r="L448" s="81"/>
      <c r="M448" s="81"/>
      <c r="N448" s="81"/>
      <c r="O448" s="235"/>
      <c r="P448" s="81"/>
      <c r="Q448" s="81"/>
      <c r="R448" s="81"/>
      <c r="S448" s="81"/>
      <c r="T448" s="139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212"/>
      <c r="AG448" s="100"/>
    </row>
    <row r="449" spans="1:33" ht="15.75" customHeight="1" x14ac:dyDescent="0.25">
      <c r="A449" s="100">
        <v>1</v>
      </c>
      <c r="B449" s="81"/>
      <c r="C449" s="81"/>
      <c r="D449" s="81"/>
      <c r="E449" s="139"/>
      <c r="F449" s="139"/>
      <c r="G449" s="139"/>
      <c r="H449" s="35"/>
      <c r="I449" s="139"/>
      <c r="J449" s="81"/>
      <c r="K449" s="81"/>
      <c r="L449" s="81"/>
      <c r="M449" s="247"/>
      <c r="N449" s="139"/>
      <c r="O449" s="235"/>
      <c r="P449" s="235"/>
      <c r="Q449" s="247"/>
      <c r="R449" s="190"/>
      <c r="S449" s="235"/>
      <c r="T449" s="139"/>
      <c r="U449" s="139"/>
      <c r="V449" s="206"/>
      <c r="W449" s="206"/>
      <c r="X449" s="206"/>
      <c r="Y449" s="206"/>
      <c r="Z449" s="206"/>
      <c r="AA449" s="206"/>
      <c r="AB449" s="139"/>
      <c r="AC449" s="139"/>
      <c r="AD449" s="139"/>
      <c r="AE449" s="139"/>
      <c r="AF449" s="210"/>
      <c r="AG449" s="100"/>
    </row>
    <row r="450" spans="1:33" ht="15.75" customHeight="1" x14ac:dyDescent="0.25">
      <c r="A450" s="100">
        <v>1</v>
      </c>
      <c r="B450" s="81"/>
      <c r="C450" s="81"/>
      <c r="D450" s="81"/>
      <c r="E450" s="139"/>
      <c r="F450" s="139"/>
      <c r="G450" s="139"/>
      <c r="H450" s="35"/>
      <c r="I450" s="206"/>
      <c r="J450" s="81"/>
      <c r="K450" s="81"/>
      <c r="L450" s="81"/>
      <c r="M450" s="189"/>
      <c r="N450" s="139"/>
      <c r="O450" s="235"/>
      <c r="P450" s="235"/>
      <c r="Q450" s="207"/>
      <c r="R450" s="190"/>
      <c r="S450" s="235"/>
      <c r="T450" s="139"/>
      <c r="U450" s="139"/>
      <c r="V450" s="206"/>
      <c r="W450" s="209"/>
      <c r="X450" s="209"/>
      <c r="Y450" s="209"/>
      <c r="Z450" s="209"/>
      <c r="AA450" s="209"/>
      <c r="AB450" s="235"/>
      <c r="AC450" s="235"/>
      <c r="AD450" s="235"/>
      <c r="AE450" s="235"/>
      <c r="AF450" s="248"/>
      <c r="AG450" s="100"/>
    </row>
    <row r="451" spans="1:33" ht="15.75" customHeight="1" x14ac:dyDescent="0.25">
      <c r="A451" s="100">
        <v>0</v>
      </c>
      <c r="B451" s="81"/>
      <c r="C451" s="81"/>
      <c r="D451" s="81"/>
      <c r="E451" s="139"/>
      <c r="F451" s="139"/>
      <c r="G451" s="139"/>
      <c r="H451" s="35"/>
      <c r="I451" s="139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139"/>
      <c r="U451" s="81"/>
      <c r="V451" s="64"/>
      <c r="W451" s="64"/>
      <c r="X451" s="64"/>
      <c r="Y451" s="64"/>
      <c r="Z451" s="64"/>
      <c r="AA451" s="64"/>
      <c r="AB451" s="81"/>
      <c r="AC451" s="81"/>
      <c r="AD451" s="81"/>
      <c r="AE451" s="81"/>
      <c r="AF451" s="212"/>
      <c r="AG451" s="100"/>
    </row>
    <row r="452" spans="1:33" ht="15.75" customHeight="1" x14ac:dyDescent="0.25">
      <c r="A452" s="100">
        <v>0</v>
      </c>
      <c r="B452" s="81"/>
      <c r="C452" s="81"/>
      <c r="D452" s="81"/>
      <c r="E452" s="139"/>
      <c r="F452" s="139"/>
      <c r="G452" s="139"/>
      <c r="H452" s="35"/>
      <c r="I452" s="139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139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212"/>
      <c r="AG452" s="100"/>
    </row>
    <row r="453" spans="1:33" ht="15.75" customHeight="1" x14ac:dyDescent="0.25">
      <c r="A453" s="100">
        <v>0</v>
      </c>
      <c r="B453" s="81"/>
      <c r="C453" s="81"/>
      <c r="D453" s="81"/>
      <c r="E453" s="139"/>
      <c r="F453" s="139"/>
      <c r="G453" s="139"/>
      <c r="H453" s="35"/>
      <c r="I453" s="139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139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212"/>
      <c r="AG453" s="100"/>
    </row>
    <row r="454" spans="1:33" ht="15.75" customHeight="1" x14ac:dyDescent="0.25">
      <c r="A454" s="100">
        <v>0</v>
      </c>
      <c r="B454" s="81"/>
      <c r="C454" s="81"/>
      <c r="D454" s="81"/>
      <c r="E454" s="139"/>
      <c r="F454" s="139"/>
      <c r="G454" s="139"/>
      <c r="H454" s="35"/>
      <c r="I454" s="139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139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212"/>
      <c r="AG454" s="100"/>
    </row>
    <row r="455" spans="1:33" ht="15.75" customHeight="1" x14ac:dyDescent="0.25">
      <c r="A455" s="100">
        <v>0</v>
      </c>
      <c r="B455" s="81"/>
      <c r="C455" s="81"/>
      <c r="D455" s="81"/>
      <c r="E455" s="139"/>
      <c r="F455" s="139"/>
      <c r="G455" s="139"/>
      <c r="H455" s="35"/>
      <c r="I455" s="139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139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212"/>
      <c r="AG455" s="100"/>
    </row>
    <row r="456" spans="1:33" ht="15.75" customHeight="1" x14ac:dyDescent="0.25">
      <c r="A456" s="100">
        <v>0</v>
      </c>
      <c r="B456" s="81"/>
      <c r="C456" s="81"/>
      <c r="D456" s="81"/>
      <c r="E456" s="139"/>
      <c r="F456" s="139"/>
      <c r="G456" s="139"/>
      <c r="H456" s="35"/>
      <c r="I456" s="139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139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212"/>
      <c r="AG456" s="100"/>
    </row>
    <row r="457" spans="1:33" ht="15.75" customHeight="1" x14ac:dyDescent="0.25">
      <c r="A457" s="100">
        <v>0</v>
      </c>
      <c r="B457" s="81"/>
      <c r="C457" s="81"/>
      <c r="D457" s="81"/>
      <c r="E457" s="139"/>
      <c r="F457" s="139"/>
      <c r="G457" s="139"/>
      <c r="H457" s="35"/>
      <c r="I457" s="139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139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212"/>
      <c r="AG457" s="100"/>
    </row>
    <row r="458" spans="1:33" ht="15.75" customHeight="1" x14ac:dyDescent="0.25">
      <c r="A458" s="100">
        <v>0</v>
      </c>
      <c r="B458" s="81"/>
      <c r="C458" s="81"/>
      <c r="D458" s="81"/>
      <c r="E458" s="139"/>
      <c r="F458" s="139"/>
      <c r="G458" s="139"/>
      <c r="H458" s="35"/>
      <c r="I458" s="139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139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212"/>
      <c r="AG458" s="100"/>
    </row>
    <row r="459" spans="1:33" ht="15.75" customHeight="1" x14ac:dyDescent="0.25">
      <c r="A459" s="100">
        <v>0</v>
      </c>
      <c r="B459" s="81"/>
      <c r="C459" s="81"/>
      <c r="D459" s="81"/>
      <c r="E459" s="139"/>
      <c r="F459" s="139"/>
      <c r="G459" s="139"/>
      <c r="H459" s="35"/>
      <c r="I459" s="139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139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212"/>
      <c r="AG459" s="100"/>
    </row>
    <row r="460" spans="1:33" ht="15.75" customHeight="1" x14ac:dyDescent="0.25">
      <c r="A460" s="100">
        <v>0</v>
      </c>
      <c r="B460" s="81"/>
      <c r="C460" s="81"/>
      <c r="D460" s="81"/>
      <c r="E460" s="139"/>
      <c r="F460" s="139"/>
      <c r="G460" s="139"/>
      <c r="H460" s="35"/>
      <c r="I460" s="139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139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212"/>
      <c r="AG460" s="100"/>
    </row>
    <row r="461" spans="1:33" ht="15.75" customHeight="1" x14ac:dyDescent="0.25">
      <c r="A461" s="100">
        <v>0</v>
      </c>
      <c r="B461" s="81"/>
      <c r="C461" s="81"/>
      <c r="D461" s="81"/>
      <c r="E461" s="139"/>
      <c r="F461" s="139"/>
      <c r="G461" s="139"/>
      <c r="H461" s="35"/>
      <c r="I461" s="139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139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212"/>
      <c r="AG461" s="100"/>
    </row>
    <row r="462" spans="1:33" ht="15.75" customHeight="1" x14ac:dyDescent="0.3">
      <c r="B462" s="214"/>
      <c r="C462" s="214"/>
      <c r="D462" s="214"/>
      <c r="E462" s="216"/>
      <c r="F462" s="216"/>
      <c r="G462" s="216"/>
      <c r="H462" s="216"/>
      <c r="I462" s="216"/>
      <c r="J462" s="216"/>
      <c r="K462" s="214"/>
      <c r="L462" s="214"/>
      <c r="M462" s="214"/>
      <c r="N462" s="216"/>
      <c r="O462" s="216"/>
      <c r="P462" s="214"/>
      <c r="Q462" s="214"/>
      <c r="R462" s="214"/>
      <c r="S462" s="214"/>
      <c r="T462" s="216"/>
      <c r="U462" s="216"/>
      <c r="V462" s="216"/>
      <c r="W462" s="216"/>
      <c r="X462" s="216"/>
      <c r="Y462" s="216"/>
      <c r="Z462" s="216"/>
      <c r="AA462" s="216"/>
      <c r="AB462" s="216"/>
      <c r="AC462" s="216"/>
      <c r="AD462" s="216"/>
      <c r="AE462" s="216"/>
      <c r="AF462" s="218"/>
      <c r="AG462" s="219"/>
    </row>
    <row r="463" spans="1:33" ht="15.75" customHeight="1" x14ac:dyDescent="0.25"/>
    <row r="464" spans="1:33" ht="15.75" customHeight="1" x14ac:dyDescent="0.25">
      <c r="A464" s="100">
        <v>0</v>
      </c>
      <c r="B464" s="203" t="str">
        <f ca="1">IFERROR(__xludf.DUMMYFUNCTION("Importrange(""https://docs.google.com/spreadsheets/d/1uGN3RWmV0W0z8c5moICgnIXDcrQQTQyUIqpius75pQA/edit?gid=807734710#"",""Personnel Cost!A2:AE15"")"),"#REF!")</f>
        <v>#REF!</v>
      </c>
      <c r="C464" s="81"/>
      <c r="D464" s="81"/>
      <c r="E464" s="139"/>
      <c r="F464" s="139"/>
      <c r="G464" s="139"/>
      <c r="H464" s="35"/>
      <c r="I464" s="206"/>
      <c r="J464" s="139"/>
      <c r="K464" s="139"/>
      <c r="L464" s="139"/>
      <c r="M464" s="249"/>
      <c r="N464" s="139"/>
      <c r="O464" s="139"/>
      <c r="P464" s="81"/>
      <c r="Q464" s="81"/>
      <c r="R464" s="81"/>
      <c r="S464" s="81"/>
      <c r="T464" s="139"/>
      <c r="U464" s="81"/>
      <c r="V464" s="81"/>
      <c r="W464" s="81"/>
      <c r="X464" s="81"/>
      <c r="Y464" s="139"/>
      <c r="Z464" s="139"/>
      <c r="AA464" s="139"/>
      <c r="AB464" s="139"/>
      <c r="AC464" s="139"/>
      <c r="AD464" s="139"/>
      <c r="AE464" s="139"/>
      <c r="AF464" s="210"/>
      <c r="AG464" s="100"/>
    </row>
    <row r="465" spans="1:33" ht="15.75" customHeight="1" x14ac:dyDescent="0.25">
      <c r="A465" s="100">
        <v>0</v>
      </c>
      <c r="B465" s="81"/>
      <c r="C465" s="81"/>
      <c r="D465" s="81"/>
      <c r="E465" s="139"/>
      <c r="F465" s="139"/>
      <c r="G465" s="139"/>
      <c r="H465" s="35"/>
      <c r="I465" s="139"/>
      <c r="J465" s="81"/>
      <c r="K465" s="81"/>
      <c r="L465" s="81"/>
      <c r="M465" s="81"/>
      <c r="N465" s="81"/>
      <c r="O465" s="139"/>
      <c r="P465" s="81"/>
      <c r="Q465" s="81"/>
      <c r="R465" s="81"/>
      <c r="S465" s="81"/>
      <c r="T465" s="139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212"/>
      <c r="AG465" s="100"/>
    </row>
    <row r="466" spans="1:33" ht="15.75" customHeight="1" x14ac:dyDescent="0.25">
      <c r="A466" s="100">
        <v>0</v>
      </c>
      <c r="B466" s="81"/>
      <c r="C466" s="81"/>
      <c r="D466" s="81"/>
      <c r="E466" s="139"/>
      <c r="F466" s="139"/>
      <c r="G466" s="139"/>
      <c r="H466" s="35"/>
      <c r="I466" s="139"/>
      <c r="J466" s="81"/>
      <c r="K466" s="81"/>
      <c r="L466" s="81"/>
      <c r="M466" s="81"/>
      <c r="N466" s="81"/>
      <c r="O466" s="139"/>
      <c r="P466" s="81"/>
      <c r="Q466" s="81"/>
      <c r="R466" s="81"/>
      <c r="S466" s="81"/>
      <c r="T466" s="139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212"/>
      <c r="AG466" s="100"/>
    </row>
    <row r="467" spans="1:33" ht="15.75" customHeight="1" x14ac:dyDescent="0.25">
      <c r="A467" s="100">
        <v>0</v>
      </c>
      <c r="B467" s="81"/>
      <c r="C467" s="81"/>
      <c r="D467" s="81"/>
      <c r="E467" s="139"/>
      <c r="F467" s="139"/>
      <c r="G467" s="139"/>
      <c r="H467" s="35"/>
      <c r="I467" s="139"/>
      <c r="J467" s="81"/>
      <c r="K467" s="81"/>
      <c r="L467" s="81"/>
      <c r="M467" s="81"/>
      <c r="N467" s="81"/>
      <c r="O467" s="139"/>
      <c r="P467" s="81"/>
      <c r="Q467" s="81"/>
      <c r="R467" s="81"/>
      <c r="S467" s="81"/>
      <c r="T467" s="139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212"/>
      <c r="AG467" s="100"/>
    </row>
    <row r="468" spans="1:33" ht="15.75" customHeight="1" x14ac:dyDescent="0.25">
      <c r="A468" s="100">
        <v>0</v>
      </c>
      <c r="B468" s="81"/>
      <c r="C468" s="81"/>
      <c r="D468" s="81"/>
      <c r="E468" s="139"/>
      <c r="F468" s="139"/>
      <c r="G468" s="139"/>
      <c r="H468" s="35"/>
      <c r="I468" s="139"/>
      <c r="J468" s="81"/>
      <c r="K468" s="81"/>
      <c r="L468" s="81"/>
      <c r="M468" s="81"/>
      <c r="N468" s="81"/>
      <c r="O468" s="139"/>
      <c r="P468" s="81"/>
      <c r="Q468" s="81"/>
      <c r="R468" s="81"/>
      <c r="S468" s="81"/>
      <c r="T468" s="139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212"/>
      <c r="AG468" s="100"/>
    </row>
    <row r="469" spans="1:33" ht="15.75" customHeight="1" x14ac:dyDescent="0.25">
      <c r="A469" s="100">
        <v>0</v>
      </c>
      <c r="B469" s="81"/>
      <c r="C469" s="81"/>
      <c r="D469" s="81"/>
      <c r="E469" s="139"/>
      <c r="F469" s="139"/>
      <c r="G469" s="139"/>
      <c r="H469" s="35"/>
      <c r="I469" s="139"/>
      <c r="J469" s="81"/>
      <c r="K469" s="81"/>
      <c r="L469" s="81"/>
      <c r="M469" s="81"/>
      <c r="N469" s="81"/>
      <c r="O469" s="139"/>
      <c r="P469" s="81"/>
      <c r="Q469" s="81"/>
      <c r="R469" s="81"/>
      <c r="S469" s="81"/>
      <c r="T469" s="139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212"/>
      <c r="AG469" s="100"/>
    </row>
    <row r="470" spans="1:33" ht="15.75" customHeight="1" x14ac:dyDescent="0.25">
      <c r="A470" s="100">
        <v>0</v>
      </c>
      <c r="B470" s="81"/>
      <c r="C470" s="81"/>
      <c r="D470" s="81"/>
      <c r="E470" s="139"/>
      <c r="F470" s="139"/>
      <c r="G470" s="139"/>
      <c r="H470" s="35"/>
      <c r="I470" s="139"/>
      <c r="J470" s="81"/>
      <c r="K470" s="81"/>
      <c r="L470" s="81"/>
      <c r="M470" s="81"/>
      <c r="N470" s="81"/>
      <c r="O470" s="139"/>
      <c r="P470" s="81"/>
      <c r="Q470" s="81"/>
      <c r="R470" s="81"/>
      <c r="S470" s="81"/>
      <c r="T470" s="139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212"/>
      <c r="AG470" s="100"/>
    </row>
    <row r="471" spans="1:33" ht="15.75" customHeight="1" x14ac:dyDescent="0.25">
      <c r="A471" s="100">
        <v>0</v>
      </c>
      <c r="B471" s="81"/>
      <c r="C471" s="81"/>
      <c r="D471" s="81"/>
      <c r="E471" s="139"/>
      <c r="F471" s="139"/>
      <c r="G471" s="139"/>
      <c r="H471" s="35"/>
      <c r="I471" s="139"/>
      <c r="J471" s="81"/>
      <c r="K471" s="81"/>
      <c r="L471" s="81"/>
      <c r="M471" s="81"/>
      <c r="N471" s="81"/>
      <c r="O471" s="139"/>
      <c r="P471" s="81"/>
      <c r="Q471" s="81"/>
      <c r="R471" s="81"/>
      <c r="S471" s="81"/>
      <c r="T471" s="139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212"/>
      <c r="AG471" s="100"/>
    </row>
    <row r="472" spans="1:33" ht="15.75" customHeight="1" x14ac:dyDescent="0.25">
      <c r="A472" s="100">
        <v>0</v>
      </c>
      <c r="B472" s="81"/>
      <c r="C472" s="81"/>
      <c r="D472" s="81"/>
      <c r="E472" s="139"/>
      <c r="F472" s="139"/>
      <c r="G472" s="139"/>
      <c r="H472" s="35"/>
      <c r="I472" s="139"/>
      <c r="J472" s="139"/>
      <c r="K472" s="139"/>
      <c r="L472" s="139"/>
      <c r="M472" s="249"/>
      <c r="N472" s="139"/>
      <c r="O472" s="139"/>
      <c r="P472" s="81"/>
      <c r="Q472" s="81"/>
      <c r="R472" s="81"/>
      <c r="S472" s="81"/>
      <c r="T472" s="139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212"/>
      <c r="AG472" s="100"/>
    </row>
    <row r="473" spans="1:33" ht="15.75" customHeight="1" x14ac:dyDescent="0.25">
      <c r="A473" s="100">
        <v>0</v>
      </c>
      <c r="B473" s="81"/>
      <c r="C473" s="81"/>
      <c r="D473" s="81"/>
      <c r="E473" s="139"/>
      <c r="F473" s="139"/>
      <c r="G473" s="139"/>
      <c r="H473" s="35"/>
      <c r="I473" s="139"/>
      <c r="J473" s="81"/>
      <c r="K473" s="81"/>
      <c r="L473" s="81"/>
      <c r="M473" s="81"/>
      <c r="N473" s="81"/>
      <c r="O473" s="139"/>
      <c r="P473" s="81"/>
      <c r="Q473" s="81"/>
      <c r="R473" s="81"/>
      <c r="S473" s="81"/>
      <c r="T473" s="139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212"/>
      <c r="AG473" s="100"/>
    </row>
    <row r="474" spans="1:33" ht="15.75" customHeight="1" x14ac:dyDescent="0.25">
      <c r="A474" s="100">
        <v>0</v>
      </c>
      <c r="B474" s="81"/>
      <c r="C474" s="81"/>
      <c r="D474" s="81"/>
      <c r="E474" s="139"/>
      <c r="F474" s="139"/>
      <c r="G474" s="139"/>
      <c r="H474" s="35"/>
      <c r="I474" s="139"/>
      <c r="J474" s="81"/>
      <c r="K474" s="81"/>
      <c r="L474" s="81"/>
      <c r="M474" s="81"/>
      <c r="N474" s="81"/>
      <c r="O474" s="139"/>
      <c r="P474" s="81"/>
      <c r="Q474" s="81"/>
      <c r="R474" s="81"/>
      <c r="S474" s="81"/>
      <c r="T474" s="139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212"/>
      <c r="AG474" s="100"/>
    </row>
    <row r="475" spans="1:33" ht="15.75" customHeight="1" x14ac:dyDescent="0.25">
      <c r="A475" s="100">
        <v>0</v>
      </c>
      <c r="B475" s="81"/>
      <c r="C475" s="81"/>
      <c r="D475" s="81"/>
      <c r="E475" s="139"/>
      <c r="F475" s="139"/>
      <c r="G475" s="139"/>
      <c r="H475" s="35"/>
      <c r="I475" s="139"/>
      <c r="J475" s="81"/>
      <c r="K475" s="81"/>
      <c r="L475" s="81"/>
      <c r="M475" s="81"/>
      <c r="N475" s="81"/>
      <c r="O475" s="139"/>
      <c r="P475" s="81"/>
      <c r="Q475" s="81"/>
      <c r="R475" s="81"/>
      <c r="S475" s="81"/>
      <c r="T475" s="139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212"/>
      <c r="AG475" s="100"/>
    </row>
    <row r="476" spans="1:33" ht="15.75" customHeight="1" x14ac:dyDescent="0.25">
      <c r="A476" s="100">
        <v>0</v>
      </c>
      <c r="B476" s="81"/>
      <c r="C476" s="81"/>
      <c r="D476" s="81"/>
      <c r="E476" s="139"/>
      <c r="F476" s="139"/>
      <c r="G476" s="139"/>
      <c r="H476" s="35"/>
      <c r="I476" s="139"/>
      <c r="J476" s="81"/>
      <c r="K476" s="81"/>
      <c r="L476" s="81"/>
      <c r="M476" s="81"/>
      <c r="N476" s="81"/>
      <c r="O476" s="139"/>
      <c r="P476" s="81"/>
      <c r="Q476" s="81"/>
      <c r="R476" s="81"/>
      <c r="S476" s="81"/>
      <c r="T476" s="139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212"/>
      <c r="AG476" s="100"/>
    </row>
    <row r="477" spans="1:33" ht="15.75" customHeight="1" x14ac:dyDescent="0.3">
      <c r="B477" s="214"/>
      <c r="C477" s="214"/>
      <c r="D477" s="214"/>
      <c r="E477" s="216"/>
      <c r="F477" s="216"/>
      <c r="G477" s="216"/>
      <c r="H477" s="216"/>
      <c r="I477" s="216"/>
      <c r="J477" s="216"/>
      <c r="K477" s="214"/>
      <c r="L477" s="214"/>
      <c r="M477" s="214"/>
      <c r="N477" s="216"/>
      <c r="O477" s="216"/>
      <c r="P477" s="214"/>
      <c r="Q477" s="214"/>
      <c r="R477" s="214"/>
      <c r="S477" s="214"/>
      <c r="T477" s="216"/>
      <c r="U477" s="216"/>
      <c r="V477" s="216"/>
      <c r="W477" s="216"/>
      <c r="X477" s="216"/>
      <c r="Y477" s="216"/>
      <c r="Z477" s="216"/>
      <c r="AA477" s="216"/>
      <c r="AB477" s="216"/>
      <c r="AC477" s="216"/>
      <c r="AD477" s="216"/>
      <c r="AE477" s="216"/>
      <c r="AF477" s="218"/>
      <c r="AG477" s="219"/>
    </row>
    <row r="478" spans="1:33" ht="15.75" customHeight="1" x14ac:dyDescent="0.25"/>
    <row r="479" spans="1:33" ht="15.75" customHeight="1" x14ac:dyDescent="0.25">
      <c r="A479" s="100">
        <v>1</v>
      </c>
      <c r="B479" s="203" t="str">
        <f ca="1">IFERROR(__xludf.DUMMYFUNCTION("Importrange(""https://docs.google.com/spreadsheets/d/187M0ebOdOEHkJNshJp9MVllVnI5jPHbXrBsVCg-pd5k/edit?gid=250135816#"",""Personnel Cost!A2:AE16"")"),"#REF!")</f>
        <v>#REF!</v>
      </c>
      <c r="C479" s="81"/>
      <c r="D479" s="81"/>
      <c r="E479" s="139"/>
      <c r="F479" s="139"/>
      <c r="G479" s="139"/>
      <c r="H479" s="35"/>
      <c r="I479" s="206"/>
      <c r="J479" s="139"/>
      <c r="K479" s="139"/>
      <c r="L479" s="139"/>
      <c r="M479" s="250"/>
      <c r="N479" s="139"/>
      <c r="O479" s="139"/>
      <c r="P479" s="139"/>
      <c r="Q479" s="250"/>
      <c r="R479" s="190"/>
      <c r="S479" s="139"/>
      <c r="T479" s="139"/>
      <c r="U479" s="139"/>
      <c r="V479" s="139"/>
      <c r="W479" s="206"/>
      <c r="X479" s="206"/>
      <c r="Y479" s="206"/>
      <c r="Z479" s="206"/>
      <c r="AA479" s="206"/>
      <c r="AB479" s="139"/>
      <c r="AC479" s="139"/>
      <c r="AD479" s="139"/>
      <c r="AE479" s="139"/>
      <c r="AF479" s="210"/>
      <c r="AG479" s="100"/>
    </row>
    <row r="480" spans="1:33" ht="15.75" customHeight="1" x14ac:dyDescent="0.25">
      <c r="A480" s="100">
        <v>1</v>
      </c>
      <c r="B480" s="81"/>
      <c r="C480" s="81"/>
      <c r="D480" s="81"/>
      <c r="E480" s="139"/>
      <c r="F480" s="139"/>
      <c r="G480" s="139"/>
      <c r="H480" s="35"/>
      <c r="I480" s="206"/>
      <c r="J480" s="139"/>
      <c r="K480" s="139"/>
      <c r="L480" s="139"/>
      <c r="M480" s="139"/>
      <c r="N480" s="139"/>
      <c r="O480" s="139"/>
      <c r="P480" s="139"/>
      <c r="Q480" s="251"/>
      <c r="R480" s="190"/>
      <c r="S480" s="139"/>
      <c r="T480" s="139"/>
      <c r="U480" s="139"/>
      <c r="V480" s="139"/>
      <c r="W480" s="206"/>
      <c r="X480" s="206"/>
      <c r="Y480" s="206"/>
      <c r="Z480" s="206"/>
      <c r="AA480" s="206"/>
      <c r="AB480" s="139"/>
      <c r="AC480" s="139"/>
      <c r="AD480" s="139"/>
      <c r="AE480" s="139"/>
      <c r="AF480" s="210"/>
      <c r="AG480" s="100"/>
    </row>
    <row r="481" spans="1:33" ht="15.75" customHeight="1" x14ac:dyDescent="0.25">
      <c r="A481" s="100">
        <v>1</v>
      </c>
      <c r="B481" s="81"/>
      <c r="C481" s="81"/>
      <c r="D481" s="81"/>
      <c r="E481" s="139"/>
      <c r="F481" s="139"/>
      <c r="G481" s="139"/>
      <c r="H481" s="35"/>
      <c r="I481" s="206"/>
      <c r="J481" s="139"/>
      <c r="K481" s="139"/>
      <c r="L481" s="139"/>
      <c r="M481" s="139"/>
      <c r="N481" s="139"/>
      <c r="O481" s="139"/>
      <c r="P481" s="139"/>
      <c r="Q481" s="251"/>
      <c r="R481" s="190"/>
      <c r="S481" s="139"/>
      <c r="T481" s="139"/>
      <c r="U481" s="139"/>
      <c r="V481" s="139"/>
      <c r="W481" s="206"/>
      <c r="X481" s="206"/>
      <c r="Y481" s="206"/>
      <c r="Z481" s="206"/>
      <c r="AA481" s="206"/>
      <c r="AB481" s="139"/>
      <c r="AC481" s="139"/>
      <c r="AD481" s="139"/>
      <c r="AE481" s="139"/>
      <c r="AF481" s="210"/>
      <c r="AG481" s="100"/>
    </row>
    <row r="482" spans="1:33" ht="15.75" customHeight="1" x14ac:dyDescent="0.25">
      <c r="A482" s="100">
        <v>1</v>
      </c>
      <c r="B482" s="81"/>
      <c r="C482" s="81"/>
      <c r="D482" s="81"/>
      <c r="E482" s="139"/>
      <c r="F482" s="139"/>
      <c r="G482" s="139"/>
      <c r="H482" s="35"/>
      <c r="I482" s="206"/>
      <c r="J482" s="139"/>
      <c r="K482" s="139"/>
      <c r="L482" s="139"/>
      <c r="M482" s="241"/>
      <c r="N482" s="139"/>
      <c r="O482" s="139"/>
      <c r="P482" s="139"/>
      <c r="Q482" s="207"/>
      <c r="R482" s="208"/>
      <c r="S482" s="139"/>
      <c r="T482" s="139"/>
      <c r="U482" s="139"/>
      <c r="V482" s="139"/>
      <c r="W482" s="206"/>
      <c r="X482" s="206"/>
      <c r="Y482" s="206"/>
      <c r="Z482" s="206"/>
      <c r="AA482" s="206"/>
      <c r="AB482" s="139"/>
      <c r="AC482" s="139"/>
      <c r="AD482" s="139"/>
      <c r="AE482" s="139"/>
      <c r="AF482" s="210"/>
      <c r="AG482" s="100"/>
    </row>
    <row r="483" spans="1:33" ht="15.75" customHeight="1" x14ac:dyDescent="0.25">
      <c r="A483" s="100">
        <v>0</v>
      </c>
      <c r="B483" s="81"/>
      <c r="C483" s="81"/>
      <c r="D483" s="81"/>
      <c r="E483" s="139"/>
      <c r="F483" s="139"/>
      <c r="G483" s="139"/>
      <c r="H483" s="35"/>
      <c r="I483" s="206"/>
      <c r="J483" s="81"/>
      <c r="K483" s="81"/>
      <c r="L483" s="81"/>
      <c r="M483" s="81"/>
      <c r="N483" s="81"/>
      <c r="O483" s="139"/>
      <c r="P483" s="81"/>
      <c r="Q483" s="81"/>
      <c r="R483" s="81"/>
      <c r="S483" s="81"/>
      <c r="T483" s="139"/>
      <c r="U483" s="81"/>
      <c r="V483" s="81"/>
      <c r="W483" s="64"/>
      <c r="X483" s="64"/>
      <c r="Y483" s="64"/>
      <c r="Z483" s="64"/>
      <c r="AA483" s="64"/>
      <c r="AB483" s="81"/>
      <c r="AC483" s="81"/>
      <c r="AD483" s="81"/>
      <c r="AE483" s="81"/>
      <c r="AF483" s="212"/>
      <c r="AG483" s="100"/>
    </row>
    <row r="484" spans="1:33" ht="15.75" customHeight="1" x14ac:dyDescent="0.25">
      <c r="A484" s="100">
        <v>0</v>
      </c>
      <c r="B484" s="81"/>
      <c r="C484" s="81"/>
      <c r="D484" s="81"/>
      <c r="E484" s="139"/>
      <c r="F484" s="139"/>
      <c r="G484" s="139"/>
      <c r="H484" s="35"/>
      <c r="I484" s="139"/>
      <c r="J484" s="81"/>
      <c r="K484" s="81"/>
      <c r="L484" s="81"/>
      <c r="M484" s="81"/>
      <c r="N484" s="81"/>
      <c r="O484" s="139"/>
      <c r="P484" s="81"/>
      <c r="Q484" s="81"/>
      <c r="R484" s="81"/>
      <c r="S484" s="81"/>
      <c r="T484" s="139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212"/>
      <c r="AG484" s="100"/>
    </row>
    <row r="485" spans="1:33" ht="15.75" customHeight="1" x14ac:dyDescent="0.25">
      <c r="A485" s="100">
        <v>0</v>
      </c>
      <c r="B485" s="81"/>
      <c r="C485" s="81"/>
      <c r="D485" s="81"/>
      <c r="E485" s="139"/>
      <c r="F485" s="139"/>
      <c r="G485" s="139"/>
      <c r="H485" s="35"/>
      <c r="I485" s="139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139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212"/>
      <c r="AG485" s="100"/>
    </row>
    <row r="486" spans="1:33" ht="15.75" customHeight="1" x14ac:dyDescent="0.25">
      <c r="A486" s="100">
        <v>0</v>
      </c>
      <c r="B486" s="81"/>
      <c r="C486" s="81"/>
      <c r="D486" s="81"/>
      <c r="E486" s="139"/>
      <c r="F486" s="139"/>
      <c r="G486" s="139"/>
      <c r="H486" s="35"/>
      <c r="I486" s="139"/>
      <c r="J486" s="139"/>
      <c r="K486" s="139"/>
      <c r="L486" s="139"/>
      <c r="M486" s="250"/>
      <c r="N486" s="139"/>
      <c r="O486" s="81"/>
      <c r="P486" s="81"/>
      <c r="Q486" s="81"/>
      <c r="R486" s="81"/>
      <c r="S486" s="81"/>
      <c r="T486" s="139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212"/>
      <c r="AG486" s="100"/>
    </row>
    <row r="487" spans="1:33" ht="15.75" customHeight="1" x14ac:dyDescent="0.25">
      <c r="A487" s="100">
        <v>0</v>
      </c>
      <c r="B487" s="81"/>
      <c r="C487" s="81"/>
      <c r="D487" s="81"/>
      <c r="E487" s="139"/>
      <c r="F487" s="139"/>
      <c r="G487" s="139"/>
      <c r="H487" s="35"/>
      <c r="I487" s="139"/>
      <c r="J487" s="139"/>
      <c r="K487" s="139"/>
      <c r="L487" s="139"/>
      <c r="M487" s="250"/>
      <c r="N487" s="139"/>
      <c r="O487" s="81"/>
      <c r="P487" s="81"/>
      <c r="Q487" s="81"/>
      <c r="R487" s="81"/>
      <c r="S487" s="81"/>
      <c r="T487" s="139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212"/>
      <c r="AG487" s="100"/>
    </row>
    <row r="488" spans="1:33" ht="15.75" customHeight="1" x14ac:dyDescent="0.25">
      <c r="A488" s="100">
        <v>0</v>
      </c>
      <c r="B488" s="81"/>
      <c r="C488" s="81"/>
      <c r="D488" s="81"/>
      <c r="E488" s="139"/>
      <c r="F488" s="139"/>
      <c r="G488" s="139"/>
      <c r="H488" s="35"/>
      <c r="I488" s="139"/>
      <c r="J488" s="139"/>
      <c r="K488" s="139"/>
      <c r="L488" s="139"/>
      <c r="M488" s="250"/>
      <c r="N488" s="139"/>
      <c r="O488" s="81"/>
      <c r="P488" s="81"/>
      <c r="Q488" s="81"/>
      <c r="R488" s="81"/>
      <c r="S488" s="81"/>
      <c r="T488" s="139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212"/>
      <c r="AG488" s="100"/>
    </row>
    <row r="489" spans="1:33" ht="15.75" customHeight="1" x14ac:dyDescent="0.25">
      <c r="A489" s="100">
        <v>0</v>
      </c>
      <c r="B489" s="81"/>
      <c r="C489" s="81"/>
      <c r="D489" s="81"/>
      <c r="E489" s="139"/>
      <c r="F489" s="139"/>
      <c r="G489" s="139"/>
      <c r="H489" s="35"/>
      <c r="I489" s="139"/>
      <c r="J489" s="139"/>
      <c r="K489" s="139"/>
      <c r="L489" s="139"/>
      <c r="M489" s="250"/>
      <c r="N489" s="139"/>
      <c r="O489" s="81"/>
      <c r="P489" s="81"/>
      <c r="Q489" s="81"/>
      <c r="R489" s="81"/>
      <c r="S489" s="81"/>
      <c r="T489" s="139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212"/>
      <c r="AG489" s="100"/>
    </row>
    <row r="490" spans="1:33" ht="15.75" customHeight="1" x14ac:dyDescent="0.25">
      <c r="A490" s="100">
        <v>0</v>
      </c>
      <c r="B490" s="81"/>
      <c r="C490" s="81"/>
      <c r="D490" s="81"/>
      <c r="E490" s="139"/>
      <c r="F490" s="139"/>
      <c r="G490" s="139"/>
      <c r="H490" s="35"/>
      <c r="I490" s="139"/>
      <c r="J490" s="139"/>
      <c r="K490" s="139"/>
      <c r="L490" s="139"/>
      <c r="M490" s="250"/>
      <c r="N490" s="139"/>
      <c r="O490" s="81"/>
      <c r="P490" s="81"/>
      <c r="Q490" s="81"/>
      <c r="R490" s="81"/>
      <c r="S490" s="81"/>
      <c r="T490" s="139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212"/>
      <c r="AG490" s="100"/>
    </row>
    <row r="491" spans="1:33" ht="15.75" customHeight="1" x14ac:dyDescent="0.25">
      <c r="A491" s="100">
        <v>0</v>
      </c>
      <c r="B491" s="81"/>
      <c r="C491" s="81"/>
      <c r="D491" s="81"/>
      <c r="E491" s="139"/>
      <c r="F491" s="139"/>
      <c r="G491" s="139"/>
      <c r="H491" s="35"/>
      <c r="I491" s="139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139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212"/>
      <c r="AG491" s="100"/>
    </row>
    <row r="492" spans="1:33" ht="15.75" customHeight="1" x14ac:dyDescent="0.25">
      <c r="A492" s="100">
        <v>0</v>
      </c>
      <c r="B492" s="81"/>
      <c r="C492" s="81"/>
      <c r="D492" s="81"/>
      <c r="E492" s="139"/>
      <c r="F492" s="139"/>
      <c r="G492" s="139"/>
      <c r="H492" s="35"/>
      <c r="I492" s="139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139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212"/>
      <c r="AG492" s="100"/>
    </row>
    <row r="493" spans="1:33" ht="15.75" customHeight="1" x14ac:dyDescent="0.3">
      <c r="B493" s="214"/>
      <c r="C493" s="214"/>
      <c r="D493" s="214"/>
      <c r="E493" s="216"/>
      <c r="F493" s="216"/>
      <c r="G493" s="216"/>
      <c r="H493" s="216"/>
      <c r="I493" s="216"/>
      <c r="J493" s="216"/>
      <c r="K493" s="214"/>
      <c r="L493" s="214"/>
      <c r="M493" s="214"/>
      <c r="N493" s="216"/>
      <c r="O493" s="216"/>
      <c r="P493" s="214"/>
      <c r="Q493" s="214"/>
      <c r="R493" s="214"/>
      <c r="S493" s="214"/>
      <c r="T493" s="216"/>
      <c r="U493" s="216"/>
      <c r="V493" s="216"/>
      <c r="W493" s="216"/>
      <c r="X493" s="216"/>
      <c r="Y493" s="216"/>
      <c r="Z493" s="216"/>
      <c r="AA493" s="216"/>
      <c r="AB493" s="216"/>
      <c r="AC493" s="216"/>
      <c r="AD493" s="216"/>
      <c r="AE493" s="216"/>
      <c r="AF493" s="218"/>
      <c r="AG493" s="219"/>
    </row>
    <row r="494" spans="1:33" ht="15.75" customHeight="1" x14ac:dyDescent="0.25"/>
    <row r="495" spans="1:33" ht="15.75" customHeight="1" x14ac:dyDescent="0.25">
      <c r="A495" s="15">
        <v>0</v>
      </c>
      <c r="B495" s="203" t="str">
        <f ca="1">IFERROR(__xludf.DUMMYFUNCTION("Importrange(""https://docs.google.com/spreadsheets/d/1f4EgwtfdzX9xpdKxz-aROZhR5WkEpWMine2ja8r4zWQ/edit?gid=613071118#"",""Personnel Cost!A2:AE15"")"),"#REF!")</f>
        <v>#REF!</v>
      </c>
      <c r="C495" s="81"/>
      <c r="D495" s="81"/>
      <c r="E495" s="139"/>
      <c r="F495" s="139"/>
      <c r="G495" s="139"/>
      <c r="H495" s="35"/>
      <c r="I495" s="139"/>
      <c r="J495" s="139"/>
      <c r="K495" s="139"/>
      <c r="L495" s="139"/>
      <c r="M495" s="250"/>
      <c r="N495" s="139"/>
      <c r="O495" s="139"/>
      <c r="P495" s="81"/>
      <c r="Q495" s="252"/>
      <c r="R495" s="81"/>
      <c r="S495" s="81"/>
      <c r="T495" s="139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212"/>
      <c r="AG495" s="100"/>
    </row>
    <row r="496" spans="1:33" ht="15.75" customHeight="1" x14ac:dyDescent="0.25">
      <c r="A496" s="15">
        <v>0</v>
      </c>
      <c r="B496" s="81"/>
      <c r="C496" s="81"/>
      <c r="D496" s="81"/>
      <c r="E496" s="139"/>
      <c r="F496" s="139"/>
      <c r="G496" s="139"/>
      <c r="H496" s="35"/>
      <c r="I496" s="139"/>
      <c r="J496" s="139"/>
      <c r="K496" s="139"/>
      <c r="L496" s="139"/>
      <c r="M496" s="250"/>
      <c r="N496" s="139"/>
      <c r="O496" s="139"/>
      <c r="P496" s="81"/>
      <c r="Q496" s="81"/>
      <c r="R496" s="190"/>
      <c r="S496" s="81"/>
      <c r="T496" s="139"/>
      <c r="U496" s="81"/>
      <c r="V496" s="81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210"/>
      <c r="AG496" s="100"/>
    </row>
    <row r="497" spans="1:33" ht="15.75" customHeight="1" x14ac:dyDescent="0.25">
      <c r="A497" s="100">
        <v>0</v>
      </c>
      <c r="B497" s="81"/>
      <c r="C497" s="81"/>
      <c r="D497" s="81"/>
      <c r="E497" s="139"/>
      <c r="F497" s="139"/>
      <c r="G497" s="139"/>
      <c r="H497" s="35"/>
      <c r="I497" s="139"/>
      <c r="J497" s="139"/>
      <c r="K497" s="139"/>
      <c r="L497" s="139"/>
      <c r="M497" s="250"/>
      <c r="N497" s="139"/>
      <c r="O497" s="139"/>
      <c r="P497" s="81"/>
      <c r="Q497" s="81"/>
      <c r="R497" s="190"/>
      <c r="S497" s="81"/>
      <c r="T497" s="139"/>
      <c r="U497" s="81"/>
      <c r="V497" s="81"/>
      <c r="W497" s="81"/>
      <c r="X497" s="81"/>
      <c r="Y497" s="81"/>
      <c r="Z497" s="81"/>
      <c r="AA497" s="81"/>
      <c r="AB497" s="81"/>
      <c r="AC497" s="81"/>
      <c r="AD497" s="139"/>
      <c r="AE497" s="139"/>
      <c r="AF497" s="210"/>
      <c r="AG497" s="100"/>
    </row>
    <row r="498" spans="1:33" ht="15.75" customHeight="1" x14ac:dyDescent="0.25">
      <c r="A498" s="100">
        <v>0</v>
      </c>
      <c r="B498" s="81"/>
      <c r="C498" s="81"/>
      <c r="D498" s="81"/>
      <c r="E498" s="139"/>
      <c r="F498" s="139"/>
      <c r="G498" s="139"/>
      <c r="H498" s="35"/>
      <c r="I498" s="139"/>
      <c r="J498" s="139"/>
      <c r="K498" s="139"/>
      <c r="L498" s="139"/>
      <c r="M498" s="250"/>
      <c r="N498" s="139"/>
      <c r="O498" s="81"/>
      <c r="P498" s="81"/>
      <c r="Q498" s="81"/>
      <c r="R498" s="81"/>
      <c r="S498" s="81"/>
      <c r="T498" s="139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212"/>
      <c r="AG498" s="100"/>
    </row>
    <row r="499" spans="1:33" ht="15.75" customHeight="1" x14ac:dyDescent="0.25">
      <c r="A499" s="100">
        <v>0</v>
      </c>
      <c r="B499" s="81"/>
      <c r="C499" s="81"/>
      <c r="D499" s="81"/>
      <c r="E499" s="139"/>
      <c r="F499" s="139"/>
      <c r="G499" s="139"/>
      <c r="H499" s="35"/>
      <c r="I499" s="139"/>
      <c r="J499" s="139"/>
      <c r="K499" s="139"/>
      <c r="L499" s="139"/>
      <c r="M499" s="250"/>
      <c r="N499" s="139"/>
      <c r="O499" s="81"/>
      <c r="P499" s="81"/>
      <c r="Q499" s="81"/>
      <c r="R499" s="81"/>
      <c r="S499" s="81"/>
      <c r="T499" s="139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212"/>
      <c r="AG499" s="100"/>
    </row>
    <row r="500" spans="1:33" ht="15.75" customHeight="1" x14ac:dyDescent="0.25">
      <c r="A500" s="100">
        <v>0</v>
      </c>
      <c r="B500" s="81"/>
      <c r="C500" s="81"/>
      <c r="D500" s="81"/>
      <c r="E500" s="139"/>
      <c r="F500" s="139"/>
      <c r="G500" s="139"/>
      <c r="H500" s="35"/>
      <c r="I500" s="139"/>
      <c r="J500" s="139"/>
      <c r="K500" s="139"/>
      <c r="L500" s="139"/>
      <c r="M500" s="250"/>
      <c r="N500" s="139"/>
      <c r="O500" s="81"/>
      <c r="P500" s="81"/>
      <c r="Q500" s="81"/>
      <c r="R500" s="81"/>
      <c r="S500" s="81"/>
      <c r="T500" s="139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212"/>
      <c r="AG500" s="100"/>
    </row>
    <row r="501" spans="1:33" ht="15.75" customHeight="1" x14ac:dyDescent="0.25">
      <c r="A501" s="100">
        <v>0</v>
      </c>
      <c r="B501" s="81"/>
      <c r="C501" s="81"/>
      <c r="D501" s="81"/>
      <c r="E501" s="139"/>
      <c r="F501" s="139"/>
      <c r="G501" s="139"/>
      <c r="H501" s="35"/>
      <c r="I501" s="139"/>
      <c r="J501" s="139"/>
      <c r="K501" s="139"/>
      <c r="L501" s="139"/>
      <c r="M501" s="250"/>
      <c r="N501" s="139"/>
      <c r="O501" s="81"/>
      <c r="P501" s="81"/>
      <c r="Q501" s="81"/>
      <c r="R501" s="190"/>
      <c r="S501" s="81"/>
      <c r="T501" s="139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212"/>
      <c r="AG501" s="100"/>
    </row>
    <row r="502" spans="1:33" ht="15.75" customHeight="1" x14ac:dyDescent="0.25">
      <c r="A502" s="100">
        <v>0</v>
      </c>
      <c r="B502" s="81"/>
      <c r="C502" s="81"/>
      <c r="D502" s="81"/>
      <c r="E502" s="139"/>
      <c r="F502" s="139"/>
      <c r="G502" s="139"/>
      <c r="H502" s="35"/>
      <c r="I502" s="139"/>
      <c r="J502" s="139"/>
      <c r="K502" s="139"/>
      <c r="L502" s="139"/>
      <c r="M502" s="250"/>
      <c r="N502" s="139"/>
      <c r="O502" s="81"/>
      <c r="P502" s="81"/>
      <c r="Q502" s="81"/>
      <c r="R502" s="190"/>
      <c r="S502" s="81"/>
      <c r="T502" s="139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212"/>
      <c r="AG502" s="100"/>
    </row>
    <row r="503" spans="1:33" ht="15.75" customHeight="1" x14ac:dyDescent="0.25">
      <c r="A503" s="100">
        <v>0</v>
      </c>
      <c r="B503" s="81"/>
      <c r="C503" s="81"/>
      <c r="D503" s="81"/>
      <c r="E503" s="139"/>
      <c r="F503" s="139"/>
      <c r="G503" s="139"/>
      <c r="H503" s="35"/>
      <c r="I503" s="139"/>
      <c r="J503" s="139"/>
      <c r="K503" s="139"/>
      <c r="L503" s="139"/>
      <c r="M503" s="250"/>
      <c r="N503" s="139"/>
      <c r="O503" s="81"/>
      <c r="P503" s="81"/>
      <c r="Q503" s="81"/>
      <c r="R503" s="190"/>
      <c r="S503" s="81"/>
      <c r="T503" s="139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212"/>
      <c r="AG503" s="100"/>
    </row>
    <row r="504" spans="1:33" ht="15.75" customHeight="1" x14ac:dyDescent="0.25">
      <c r="A504" s="100">
        <v>0</v>
      </c>
      <c r="B504" s="81"/>
      <c r="C504" s="81"/>
      <c r="D504" s="81"/>
      <c r="E504" s="139"/>
      <c r="F504" s="139"/>
      <c r="G504" s="139"/>
      <c r="H504" s="35"/>
      <c r="I504" s="139"/>
      <c r="J504" s="139"/>
      <c r="K504" s="139"/>
      <c r="L504" s="139"/>
      <c r="M504" s="250"/>
      <c r="N504" s="139"/>
      <c r="O504" s="81"/>
      <c r="P504" s="81"/>
      <c r="Q504" s="81"/>
      <c r="R504" s="81"/>
      <c r="S504" s="81"/>
      <c r="T504" s="139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212"/>
      <c r="AG504" s="100"/>
    </row>
    <row r="505" spans="1:33" ht="15.75" customHeight="1" x14ac:dyDescent="0.25">
      <c r="A505" s="100">
        <v>0</v>
      </c>
      <c r="B505" s="81"/>
      <c r="C505" s="81"/>
      <c r="D505" s="81"/>
      <c r="E505" s="139"/>
      <c r="F505" s="139"/>
      <c r="G505" s="139"/>
      <c r="H505" s="35"/>
      <c r="I505" s="139"/>
      <c r="J505" s="139"/>
      <c r="K505" s="139"/>
      <c r="L505" s="139"/>
      <c r="M505" s="250"/>
      <c r="N505" s="139"/>
      <c r="O505" s="81"/>
      <c r="P505" s="81"/>
      <c r="Q505" s="81"/>
      <c r="R505" s="81"/>
      <c r="S505" s="81"/>
      <c r="T505" s="139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212"/>
      <c r="AG505" s="100"/>
    </row>
    <row r="506" spans="1:33" ht="15.75" customHeight="1" x14ac:dyDescent="0.25">
      <c r="A506" s="100">
        <v>0</v>
      </c>
      <c r="B506" s="81"/>
      <c r="C506" s="81"/>
      <c r="D506" s="81"/>
      <c r="E506" s="139"/>
      <c r="F506" s="139"/>
      <c r="G506" s="139"/>
      <c r="H506" s="35"/>
      <c r="I506" s="139"/>
      <c r="J506" s="139"/>
      <c r="K506" s="139"/>
      <c r="L506" s="139"/>
      <c r="M506" s="250"/>
      <c r="N506" s="139"/>
      <c r="O506" s="81"/>
      <c r="P506" s="81"/>
      <c r="Q506" s="81"/>
      <c r="R506" s="81"/>
      <c r="S506" s="81"/>
      <c r="T506" s="139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212"/>
      <c r="AG506" s="100"/>
    </row>
    <row r="507" spans="1:33" ht="15.75" customHeight="1" x14ac:dyDescent="0.3">
      <c r="B507" s="214"/>
      <c r="C507" s="214"/>
      <c r="D507" s="214"/>
      <c r="E507" s="216"/>
      <c r="F507" s="216"/>
      <c r="G507" s="216"/>
      <c r="H507" s="216"/>
      <c r="I507" s="216"/>
      <c r="J507" s="216"/>
      <c r="K507" s="214"/>
      <c r="L507" s="214"/>
      <c r="M507" s="214"/>
      <c r="N507" s="216"/>
      <c r="O507" s="216"/>
      <c r="P507" s="214"/>
      <c r="Q507" s="214"/>
      <c r="R507" s="214"/>
      <c r="S507" s="214"/>
      <c r="T507" s="216"/>
      <c r="U507" s="216"/>
      <c r="V507" s="216"/>
      <c r="W507" s="216"/>
      <c r="X507" s="216"/>
      <c r="Y507" s="216"/>
      <c r="Z507" s="216"/>
      <c r="AA507" s="216"/>
      <c r="AB507" s="216"/>
      <c r="AC507" s="216"/>
      <c r="AD507" s="216"/>
      <c r="AE507" s="216"/>
      <c r="AF507" s="218"/>
      <c r="AG507" s="219"/>
    </row>
    <row r="508" spans="1:33" ht="15.75" customHeight="1" x14ac:dyDescent="0.25"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</row>
    <row r="509" spans="1:33" ht="15.75" customHeight="1" x14ac:dyDescent="0.25"/>
    <row r="510" spans="1:33" ht="15.75" customHeight="1" x14ac:dyDescent="0.25">
      <c r="A510" s="100">
        <v>1</v>
      </c>
      <c r="B510" s="203" t="str">
        <f ca="1">IFERROR(__xludf.DUMMYFUNCTION("Importrange(""https://docs.google.com/spreadsheets/d/1Cum0B1Ry-0SAtNSXKw6cVKZGzrxU2zPybXDM-rxm-Tk/edit?gid=829197508#"",""Personnel Cost!A2:AE17"")"),"#REF!")</f>
        <v>#REF!</v>
      </c>
      <c r="C510" s="81"/>
      <c r="D510" s="81"/>
      <c r="E510" s="139"/>
      <c r="F510" s="139"/>
      <c r="G510" s="139"/>
      <c r="H510" s="35"/>
      <c r="I510" s="139"/>
      <c r="J510" s="139"/>
      <c r="K510" s="139"/>
      <c r="L510" s="139"/>
      <c r="M510" s="250"/>
      <c r="N510" s="139"/>
      <c r="O510" s="139"/>
      <c r="P510" s="139"/>
      <c r="Q510" s="253"/>
      <c r="R510" s="190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210"/>
      <c r="AG510" s="100"/>
    </row>
    <row r="511" spans="1:33" ht="15.75" customHeight="1" x14ac:dyDescent="0.25">
      <c r="A511" s="100">
        <v>1</v>
      </c>
      <c r="B511" s="81"/>
      <c r="C511" s="81"/>
      <c r="D511" s="81"/>
      <c r="E511" s="139"/>
      <c r="F511" s="139"/>
      <c r="G511" s="139"/>
      <c r="H511" s="35"/>
      <c r="I511" s="139"/>
      <c r="J511" s="139"/>
      <c r="K511" s="139"/>
      <c r="L511" s="139"/>
      <c r="M511" s="250"/>
      <c r="N511" s="139"/>
      <c r="O511" s="139"/>
      <c r="P511" s="139"/>
      <c r="Q511" s="253"/>
      <c r="R511" s="190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210"/>
      <c r="AG511" s="100"/>
    </row>
    <row r="512" spans="1:33" ht="15.75" customHeight="1" x14ac:dyDescent="0.25">
      <c r="A512" s="100">
        <v>1</v>
      </c>
      <c r="B512" s="81"/>
      <c r="C512" s="81"/>
      <c r="D512" s="81"/>
      <c r="E512" s="139"/>
      <c r="F512" s="139"/>
      <c r="G512" s="139"/>
      <c r="H512" s="35"/>
      <c r="I512" s="139"/>
      <c r="J512" s="139"/>
      <c r="K512" s="139"/>
      <c r="L512" s="139"/>
      <c r="M512" s="250"/>
      <c r="N512" s="139"/>
      <c r="O512" s="139"/>
      <c r="P512" s="139"/>
      <c r="Q512" s="207"/>
      <c r="R512" s="208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210"/>
      <c r="AG512" s="100"/>
    </row>
    <row r="513" spans="1:33" ht="15.75" customHeight="1" x14ac:dyDescent="0.25">
      <c r="A513" s="100">
        <v>1</v>
      </c>
      <c r="B513" s="81"/>
      <c r="C513" s="81"/>
      <c r="D513" s="81"/>
      <c r="E513" s="139"/>
      <c r="F513" s="139"/>
      <c r="G513" s="139"/>
      <c r="H513" s="35"/>
      <c r="I513" s="139"/>
      <c r="J513" s="139"/>
      <c r="K513" s="139"/>
      <c r="L513" s="139"/>
      <c r="M513" s="250"/>
      <c r="N513" s="139"/>
      <c r="O513" s="139"/>
      <c r="P513" s="139"/>
      <c r="Q513" s="253"/>
      <c r="R513" s="208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210"/>
      <c r="AG513" s="100"/>
    </row>
    <row r="514" spans="1:33" ht="15.75" customHeight="1" x14ac:dyDescent="0.25">
      <c r="A514" s="100">
        <v>0</v>
      </c>
      <c r="B514" s="81"/>
      <c r="C514" s="81"/>
      <c r="D514" s="81"/>
      <c r="E514" s="139"/>
      <c r="F514" s="139"/>
      <c r="G514" s="139"/>
      <c r="H514" s="35"/>
      <c r="I514" s="139"/>
      <c r="J514" s="139"/>
      <c r="K514" s="139"/>
      <c r="L514" s="139"/>
      <c r="M514" s="250"/>
      <c r="N514" s="139"/>
      <c r="O514" s="81"/>
      <c r="P514" s="81"/>
      <c r="Q514" s="81"/>
      <c r="R514" s="81"/>
      <c r="S514" s="81"/>
      <c r="T514" s="139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212"/>
      <c r="AG514" s="100"/>
    </row>
    <row r="515" spans="1:33" ht="15.75" customHeight="1" x14ac:dyDescent="0.25">
      <c r="A515" s="100">
        <v>0</v>
      </c>
      <c r="B515" s="81"/>
      <c r="C515" s="81"/>
      <c r="D515" s="81"/>
      <c r="E515" s="139"/>
      <c r="F515" s="139"/>
      <c r="G515" s="139"/>
      <c r="H515" s="35"/>
      <c r="I515" s="139"/>
      <c r="J515" s="139"/>
      <c r="K515" s="139"/>
      <c r="L515" s="139"/>
      <c r="M515" s="250"/>
      <c r="N515" s="139"/>
      <c r="O515" s="81"/>
      <c r="P515" s="81"/>
      <c r="Q515" s="81"/>
      <c r="R515" s="81"/>
      <c r="S515" s="81"/>
      <c r="T515" s="139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212"/>
      <c r="AG515" s="100"/>
    </row>
    <row r="516" spans="1:33" ht="15.75" customHeight="1" x14ac:dyDescent="0.25">
      <c r="A516" s="100">
        <v>0</v>
      </c>
      <c r="B516" s="81"/>
      <c r="C516" s="81"/>
      <c r="D516" s="81"/>
      <c r="E516" s="139"/>
      <c r="F516" s="139"/>
      <c r="G516" s="139"/>
      <c r="H516" s="35"/>
      <c r="I516" s="139"/>
      <c r="J516" s="139"/>
      <c r="K516" s="139"/>
      <c r="L516" s="139"/>
      <c r="M516" s="250"/>
      <c r="N516" s="139"/>
      <c r="O516" s="81"/>
      <c r="P516" s="81"/>
      <c r="Q516" s="81"/>
      <c r="R516" s="81"/>
      <c r="S516" s="81"/>
      <c r="T516" s="139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212"/>
      <c r="AG516" s="100"/>
    </row>
    <row r="517" spans="1:33" ht="15.75" customHeight="1" x14ac:dyDescent="0.25">
      <c r="A517" s="100">
        <v>0</v>
      </c>
      <c r="B517" s="81"/>
      <c r="C517" s="81"/>
      <c r="D517" s="81"/>
      <c r="E517" s="139"/>
      <c r="F517" s="139"/>
      <c r="G517" s="139"/>
      <c r="H517" s="35"/>
      <c r="I517" s="139"/>
      <c r="J517" s="139"/>
      <c r="K517" s="139"/>
      <c r="L517" s="139"/>
      <c r="M517" s="250"/>
      <c r="N517" s="139"/>
      <c r="O517" s="81"/>
      <c r="P517" s="81"/>
      <c r="Q517" s="81"/>
      <c r="R517" s="81"/>
      <c r="S517" s="81"/>
      <c r="T517" s="139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212"/>
      <c r="AG517" s="100"/>
    </row>
    <row r="518" spans="1:33" ht="15.75" customHeight="1" x14ac:dyDescent="0.25">
      <c r="A518" s="100">
        <v>0</v>
      </c>
      <c r="B518" s="81"/>
      <c r="C518" s="81"/>
      <c r="D518" s="81"/>
      <c r="E518" s="139"/>
      <c r="F518" s="139"/>
      <c r="G518" s="139"/>
      <c r="H518" s="35"/>
      <c r="I518" s="139"/>
      <c r="J518" s="139"/>
      <c r="K518" s="139"/>
      <c r="L518" s="139"/>
      <c r="M518" s="250"/>
      <c r="N518" s="139"/>
      <c r="O518" s="81"/>
      <c r="P518" s="81"/>
      <c r="Q518" s="81"/>
      <c r="R518" s="81"/>
      <c r="S518" s="81"/>
      <c r="T518" s="139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212"/>
      <c r="AG518" s="100"/>
    </row>
    <row r="519" spans="1:33" ht="15.75" customHeight="1" x14ac:dyDescent="0.25">
      <c r="A519" s="100">
        <v>0</v>
      </c>
      <c r="B519" s="81"/>
      <c r="C519" s="81"/>
      <c r="D519" s="81"/>
      <c r="E519" s="139"/>
      <c r="F519" s="139"/>
      <c r="G519" s="139"/>
      <c r="H519" s="35"/>
      <c r="I519" s="139"/>
      <c r="J519" s="139"/>
      <c r="K519" s="139"/>
      <c r="L519" s="139"/>
      <c r="M519" s="250"/>
      <c r="N519" s="139"/>
      <c r="O519" s="81"/>
      <c r="P519" s="81"/>
      <c r="Q519" s="81"/>
      <c r="R519" s="81"/>
      <c r="S519" s="81"/>
      <c r="T519" s="139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212"/>
      <c r="AG519" s="100"/>
    </row>
    <row r="520" spans="1:33" ht="15.75" customHeight="1" x14ac:dyDescent="0.25">
      <c r="A520" s="100">
        <v>0</v>
      </c>
      <c r="B520" s="81"/>
      <c r="C520" s="81"/>
      <c r="D520" s="81"/>
      <c r="E520" s="139"/>
      <c r="F520" s="139"/>
      <c r="G520" s="139"/>
      <c r="H520" s="35"/>
      <c r="I520" s="139"/>
      <c r="J520" s="139"/>
      <c r="K520" s="139"/>
      <c r="L520" s="139"/>
      <c r="M520" s="250"/>
      <c r="N520" s="139"/>
      <c r="O520" s="81"/>
      <c r="P520" s="81"/>
      <c r="Q520" s="81"/>
      <c r="R520" s="81"/>
      <c r="S520" s="81"/>
      <c r="T520" s="139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212"/>
      <c r="AG520" s="100"/>
    </row>
    <row r="521" spans="1:33" ht="15.75" customHeight="1" x14ac:dyDescent="0.25">
      <c r="A521" s="100">
        <v>0</v>
      </c>
      <c r="B521" s="81"/>
      <c r="C521" s="81"/>
      <c r="D521" s="81"/>
      <c r="E521" s="139"/>
      <c r="F521" s="139"/>
      <c r="G521" s="139"/>
      <c r="H521" s="35"/>
      <c r="I521" s="139"/>
      <c r="J521" s="139"/>
      <c r="K521" s="139"/>
      <c r="L521" s="139"/>
      <c r="M521" s="250"/>
      <c r="N521" s="139"/>
      <c r="O521" s="81"/>
      <c r="P521" s="81"/>
      <c r="Q521" s="81"/>
      <c r="R521" s="81"/>
      <c r="S521" s="81"/>
      <c r="T521" s="139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212"/>
      <c r="AG521" s="100"/>
    </row>
    <row r="522" spans="1:33" ht="15.75" customHeight="1" x14ac:dyDescent="0.25">
      <c r="A522" s="100">
        <v>0</v>
      </c>
      <c r="B522" s="81"/>
      <c r="C522" s="81"/>
      <c r="D522" s="81"/>
      <c r="E522" s="139"/>
      <c r="F522" s="139"/>
      <c r="G522" s="139"/>
      <c r="H522" s="35"/>
      <c r="I522" s="139"/>
      <c r="J522" s="139"/>
      <c r="K522" s="139"/>
      <c r="L522" s="139"/>
      <c r="M522" s="250"/>
      <c r="N522" s="139"/>
      <c r="O522" s="81"/>
      <c r="P522" s="81"/>
      <c r="Q522" s="81"/>
      <c r="R522" s="81"/>
      <c r="S522" s="81"/>
      <c r="T522" s="139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212"/>
      <c r="AG522" s="100"/>
    </row>
    <row r="523" spans="1:33" ht="15.75" customHeight="1" x14ac:dyDescent="0.25">
      <c r="A523" s="100">
        <v>0</v>
      </c>
      <c r="B523" s="81"/>
      <c r="C523" s="81"/>
      <c r="D523" s="81"/>
      <c r="E523" s="139"/>
      <c r="F523" s="139"/>
      <c r="G523" s="139"/>
      <c r="H523" s="35"/>
      <c r="I523" s="139"/>
      <c r="J523" s="139"/>
      <c r="K523" s="139"/>
      <c r="L523" s="139"/>
      <c r="M523" s="250"/>
      <c r="N523" s="139"/>
      <c r="O523" s="81"/>
      <c r="P523" s="81"/>
      <c r="Q523" s="81"/>
      <c r="R523" s="81"/>
      <c r="S523" s="81"/>
      <c r="T523" s="139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212"/>
      <c r="AG523" s="100"/>
    </row>
    <row r="524" spans="1:33" ht="15.75" customHeight="1" x14ac:dyDescent="0.25">
      <c r="A524" s="100">
        <v>0</v>
      </c>
      <c r="B524" s="81"/>
      <c r="C524" s="81"/>
      <c r="D524" s="81"/>
      <c r="E524" s="139"/>
      <c r="F524" s="139"/>
      <c r="G524" s="139"/>
      <c r="H524" s="35"/>
      <c r="I524" s="139"/>
      <c r="J524" s="139"/>
      <c r="K524" s="139"/>
      <c r="L524" s="139"/>
      <c r="M524" s="250"/>
      <c r="N524" s="139"/>
      <c r="O524" s="81"/>
      <c r="P524" s="81"/>
      <c r="Q524" s="81"/>
      <c r="R524" s="81"/>
      <c r="S524" s="81"/>
      <c r="T524" s="139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212"/>
      <c r="AG524" s="100"/>
    </row>
    <row r="525" spans="1:33" ht="15.75" customHeight="1" x14ac:dyDescent="0.3">
      <c r="B525" s="214"/>
      <c r="C525" s="214"/>
      <c r="D525" s="214"/>
      <c r="E525" s="216"/>
      <c r="F525" s="216"/>
      <c r="G525" s="216"/>
      <c r="H525" s="216"/>
      <c r="I525" s="216"/>
      <c r="J525" s="216"/>
      <c r="K525" s="214"/>
      <c r="L525" s="214"/>
      <c r="M525" s="214"/>
      <c r="N525" s="216"/>
      <c r="O525" s="216"/>
      <c r="P525" s="214"/>
      <c r="Q525" s="214"/>
      <c r="R525" s="214"/>
      <c r="S525" s="214"/>
      <c r="T525" s="216"/>
      <c r="U525" s="216"/>
      <c r="V525" s="216"/>
      <c r="W525" s="216"/>
      <c r="X525" s="216"/>
      <c r="Y525" s="216"/>
      <c r="Z525" s="216"/>
      <c r="AA525" s="216"/>
      <c r="AB525" s="216"/>
      <c r="AC525" s="216"/>
      <c r="AD525" s="216"/>
      <c r="AE525" s="216"/>
      <c r="AF525" s="218"/>
      <c r="AG525" s="219"/>
    </row>
    <row r="526" spans="1:33" ht="15.75" customHeight="1" x14ac:dyDescent="0.25"/>
    <row r="527" spans="1:33" ht="15.75" customHeight="1" x14ac:dyDescent="0.25">
      <c r="A527" s="15">
        <v>1</v>
      </c>
      <c r="B527" s="203" t="str">
        <f ca="1">IFERROR(__xludf.DUMMYFUNCTION("Importrange(""https://docs.google.com/spreadsheets/d/1e2_qUKtg_neEsFPnlilywB6I8MsEXPaqfvV-RQXJgsY/edit?gid=1794961553#"",""Personnel Cost!A2:AE15"")"),"#REF!")</f>
        <v>#REF!</v>
      </c>
      <c r="C527" s="81"/>
      <c r="D527" s="81"/>
      <c r="E527" s="139"/>
      <c r="F527" s="139"/>
      <c r="G527" s="139"/>
      <c r="H527" s="35"/>
      <c r="I527" s="139"/>
      <c r="J527" s="139"/>
      <c r="K527" s="139"/>
      <c r="L527" s="139"/>
      <c r="M527" s="250"/>
      <c r="N527" s="139"/>
      <c r="O527" s="139"/>
      <c r="P527" s="139"/>
      <c r="Q527" s="254"/>
      <c r="R527" s="190"/>
      <c r="S527" s="235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210"/>
      <c r="AG527" s="100"/>
    </row>
    <row r="528" spans="1:33" ht="15.75" customHeight="1" x14ac:dyDescent="0.25">
      <c r="A528" s="100">
        <v>0</v>
      </c>
      <c r="B528" s="81"/>
      <c r="C528" s="81"/>
      <c r="D528" s="81"/>
      <c r="E528" s="139"/>
      <c r="F528" s="139"/>
      <c r="G528" s="139"/>
      <c r="H528" s="35"/>
      <c r="I528" s="139"/>
      <c r="J528" s="139"/>
      <c r="K528" s="139"/>
      <c r="L528" s="139"/>
      <c r="M528" s="250"/>
      <c r="N528" s="139"/>
      <c r="O528" s="81"/>
      <c r="P528" s="81"/>
      <c r="Q528" s="81"/>
      <c r="R528" s="81"/>
      <c r="S528" s="81"/>
      <c r="T528" s="139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212"/>
      <c r="AG528" s="100"/>
    </row>
    <row r="529" spans="1:33" ht="15.75" customHeight="1" x14ac:dyDescent="0.25">
      <c r="A529" s="100">
        <v>0</v>
      </c>
      <c r="B529" s="81"/>
      <c r="C529" s="81"/>
      <c r="D529" s="81"/>
      <c r="E529" s="139"/>
      <c r="F529" s="139"/>
      <c r="G529" s="139"/>
      <c r="H529" s="35"/>
      <c r="I529" s="139"/>
      <c r="J529" s="139"/>
      <c r="K529" s="139"/>
      <c r="L529" s="139"/>
      <c r="M529" s="250"/>
      <c r="N529" s="139"/>
      <c r="O529" s="81"/>
      <c r="P529" s="81"/>
      <c r="Q529" s="81"/>
      <c r="R529" s="81"/>
      <c r="S529" s="81"/>
      <c r="T529" s="139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212"/>
      <c r="AG529" s="100"/>
    </row>
    <row r="530" spans="1:33" ht="15.75" customHeight="1" x14ac:dyDescent="0.25">
      <c r="A530" s="100">
        <v>0</v>
      </c>
      <c r="B530" s="81"/>
      <c r="C530" s="81"/>
      <c r="D530" s="81"/>
      <c r="E530" s="139"/>
      <c r="F530" s="139"/>
      <c r="G530" s="139"/>
      <c r="H530" s="35"/>
      <c r="I530" s="139"/>
      <c r="J530" s="139"/>
      <c r="K530" s="139"/>
      <c r="L530" s="139"/>
      <c r="M530" s="250"/>
      <c r="N530" s="139"/>
      <c r="O530" s="81"/>
      <c r="P530" s="81"/>
      <c r="Q530" s="81"/>
      <c r="R530" s="81"/>
      <c r="S530" s="81"/>
      <c r="T530" s="139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212"/>
      <c r="AG530" s="100"/>
    </row>
    <row r="531" spans="1:33" ht="15.75" customHeight="1" x14ac:dyDescent="0.25">
      <c r="A531" s="100">
        <v>0</v>
      </c>
      <c r="B531" s="81"/>
      <c r="C531" s="81"/>
      <c r="D531" s="81"/>
      <c r="E531" s="139"/>
      <c r="F531" s="139"/>
      <c r="G531" s="139"/>
      <c r="H531" s="35"/>
      <c r="I531" s="139"/>
      <c r="J531" s="139"/>
      <c r="K531" s="139"/>
      <c r="L531" s="139"/>
      <c r="M531" s="250"/>
      <c r="N531" s="139"/>
      <c r="O531" s="81"/>
      <c r="P531" s="81"/>
      <c r="Q531" s="81"/>
      <c r="R531" s="81"/>
      <c r="S531" s="81"/>
      <c r="T531" s="139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212"/>
      <c r="AG531" s="100"/>
    </row>
    <row r="532" spans="1:33" ht="15.75" customHeight="1" x14ac:dyDescent="0.25">
      <c r="A532" s="100">
        <v>0</v>
      </c>
      <c r="B532" s="81"/>
      <c r="C532" s="81"/>
      <c r="D532" s="81"/>
      <c r="E532" s="139"/>
      <c r="F532" s="139"/>
      <c r="G532" s="139"/>
      <c r="H532" s="35"/>
      <c r="I532" s="139"/>
      <c r="J532" s="139"/>
      <c r="K532" s="139"/>
      <c r="L532" s="139"/>
      <c r="M532" s="250"/>
      <c r="N532" s="139"/>
      <c r="O532" s="81"/>
      <c r="P532" s="81"/>
      <c r="Q532" s="81"/>
      <c r="R532" s="81"/>
      <c r="S532" s="81"/>
      <c r="T532" s="139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212"/>
      <c r="AG532" s="100"/>
    </row>
    <row r="533" spans="1:33" ht="15.75" customHeight="1" x14ac:dyDescent="0.25">
      <c r="A533" s="100">
        <v>0</v>
      </c>
      <c r="B533" s="81"/>
      <c r="C533" s="81"/>
      <c r="D533" s="81"/>
      <c r="E533" s="139"/>
      <c r="F533" s="139"/>
      <c r="G533" s="139"/>
      <c r="H533" s="35"/>
      <c r="I533" s="139"/>
      <c r="J533" s="139"/>
      <c r="K533" s="139"/>
      <c r="L533" s="139"/>
      <c r="M533" s="250"/>
      <c r="N533" s="139"/>
      <c r="O533" s="81"/>
      <c r="P533" s="81"/>
      <c r="Q533" s="81"/>
      <c r="R533" s="81"/>
      <c r="S533" s="81"/>
      <c r="T533" s="139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212"/>
      <c r="AG533" s="100"/>
    </row>
    <row r="534" spans="1:33" ht="15.75" customHeight="1" x14ac:dyDescent="0.25">
      <c r="A534" s="100">
        <v>0</v>
      </c>
      <c r="B534" s="81"/>
      <c r="C534" s="81"/>
      <c r="D534" s="81"/>
      <c r="E534" s="139"/>
      <c r="F534" s="139"/>
      <c r="G534" s="139"/>
      <c r="H534" s="35"/>
      <c r="I534" s="139"/>
      <c r="J534" s="139"/>
      <c r="K534" s="139"/>
      <c r="L534" s="139"/>
      <c r="M534" s="250"/>
      <c r="N534" s="139"/>
      <c r="O534" s="81"/>
      <c r="P534" s="81"/>
      <c r="Q534" s="81"/>
      <c r="R534" s="81"/>
      <c r="S534" s="81"/>
      <c r="T534" s="139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212"/>
      <c r="AG534" s="100"/>
    </row>
    <row r="535" spans="1:33" ht="15.75" customHeight="1" x14ac:dyDescent="0.25">
      <c r="A535" s="100">
        <v>0</v>
      </c>
      <c r="B535" s="81"/>
      <c r="C535" s="81"/>
      <c r="D535" s="81"/>
      <c r="E535" s="139"/>
      <c r="F535" s="139"/>
      <c r="G535" s="139"/>
      <c r="H535" s="35"/>
      <c r="I535" s="139"/>
      <c r="J535" s="139"/>
      <c r="K535" s="139"/>
      <c r="L535" s="139"/>
      <c r="M535" s="250"/>
      <c r="N535" s="139"/>
      <c r="O535" s="81"/>
      <c r="P535" s="81"/>
      <c r="Q535" s="81"/>
      <c r="R535" s="81"/>
      <c r="S535" s="81"/>
      <c r="T535" s="139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212"/>
      <c r="AG535" s="100"/>
    </row>
    <row r="536" spans="1:33" ht="15.75" customHeight="1" x14ac:dyDescent="0.25">
      <c r="A536" s="100">
        <v>0</v>
      </c>
      <c r="B536" s="81"/>
      <c r="C536" s="81"/>
      <c r="D536" s="81"/>
      <c r="E536" s="139"/>
      <c r="F536" s="139"/>
      <c r="G536" s="139"/>
      <c r="H536" s="35"/>
      <c r="I536" s="139"/>
      <c r="J536" s="139"/>
      <c r="K536" s="139"/>
      <c r="L536" s="139"/>
      <c r="M536" s="250"/>
      <c r="N536" s="139"/>
      <c r="O536" s="81"/>
      <c r="P536" s="81"/>
      <c r="Q536" s="81"/>
      <c r="R536" s="81"/>
      <c r="S536" s="81"/>
      <c r="T536" s="139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212"/>
      <c r="AG536" s="100"/>
    </row>
    <row r="537" spans="1:33" ht="15.75" customHeight="1" x14ac:dyDescent="0.25">
      <c r="A537" s="100">
        <v>0</v>
      </c>
      <c r="B537" s="81"/>
      <c r="C537" s="81"/>
      <c r="D537" s="81"/>
      <c r="E537" s="139"/>
      <c r="F537" s="139"/>
      <c r="G537" s="139"/>
      <c r="H537" s="35"/>
      <c r="I537" s="139"/>
      <c r="J537" s="139"/>
      <c r="K537" s="139"/>
      <c r="L537" s="139"/>
      <c r="M537" s="250"/>
      <c r="N537" s="139"/>
      <c r="O537" s="81"/>
      <c r="P537" s="81"/>
      <c r="Q537" s="81"/>
      <c r="R537" s="81"/>
      <c r="S537" s="81"/>
      <c r="T537" s="139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212"/>
      <c r="AG537" s="100"/>
    </row>
    <row r="538" spans="1:33" ht="15.75" customHeight="1" x14ac:dyDescent="0.25">
      <c r="A538" s="100">
        <v>0</v>
      </c>
      <c r="B538" s="81"/>
      <c r="C538" s="81"/>
      <c r="D538" s="81"/>
      <c r="E538" s="139"/>
      <c r="F538" s="139"/>
      <c r="G538" s="139"/>
      <c r="H538" s="35"/>
      <c r="I538" s="139"/>
      <c r="J538" s="139"/>
      <c r="K538" s="139"/>
      <c r="L538" s="139"/>
      <c r="M538" s="250"/>
      <c r="N538" s="139"/>
      <c r="O538" s="81"/>
      <c r="P538" s="81"/>
      <c r="Q538" s="81"/>
      <c r="R538" s="81"/>
      <c r="S538" s="81"/>
      <c r="T538" s="139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212"/>
      <c r="AG538" s="100"/>
    </row>
    <row r="539" spans="1:33" ht="15.75" customHeight="1" x14ac:dyDescent="0.25">
      <c r="A539" s="100">
        <v>0</v>
      </c>
      <c r="B539" s="81"/>
      <c r="C539" s="81"/>
      <c r="D539" s="81"/>
      <c r="E539" s="139"/>
      <c r="F539" s="139"/>
      <c r="G539" s="139"/>
      <c r="H539" s="35"/>
      <c r="I539" s="139"/>
      <c r="J539" s="139"/>
      <c r="K539" s="139"/>
      <c r="L539" s="139"/>
      <c r="M539" s="250"/>
      <c r="N539" s="139"/>
      <c r="O539" s="81"/>
      <c r="P539" s="81"/>
      <c r="Q539" s="81"/>
      <c r="R539" s="81"/>
      <c r="S539" s="81"/>
      <c r="T539" s="139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212"/>
      <c r="AG539" s="100"/>
    </row>
    <row r="540" spans="1:33" ht="15.75" customHeight="1" x14ac:dyDescent="0.3">
      <c r="B540" s="214"/>
      <c r="C540" s="214"/>
      <c r="D540" s="214"/>
      <c r="E540" s="216"/>
      <c r="F540" s="216"/>
      <c r="G540" s="216"/>
      <c r="H540" s="216"/>
      <c r="I540" s="216"/>
      <c r="J540" s="216"/>
      <c r="K540" s="214"/>
      <c r="L540" s="214"/>
      <c r="M540" s="214"/>
      <c r="N540" s="216"/>
      <c r="O540" s="216"/>
      <c r="P540" s="214"/>
      <c r="Q540" s="214"/>
      <c r="R540" s="214"/>
      <c r="S540" s="214"/>
      <c r="T540" s="216"/>
      <c r="U540" s="216"/>
      <c r="V540" s="216"/>
      <c r="W540" s="216"/>
      <c r="X540" s="216"/>
      <c r="Y540" s="216"/>
      <c r="Z540" s="216"/>
      <c r="AA540" s="216"/>
      <c r="AB540" s="216"/>
      <c r="AC540" s="216"/>
      <c r="AD540" s="216"/>
      <c r="AE540" s="216"/>
      <c r="AF540" s="218"/>
      <c r="AG540" s="219"/>
    </row>
    <row r="541" spans="1:33" ht="15.75" customHeight="1" x14ac:dyDescent="0.25"/>
    <row r="542" spans="1:33" ht="15.75" customHeight="1" x14ac:dyDescent="0.25">
      <c r="A542" s="15">
        <v>1</v>
      </c>
      <c r="B542" s="203" t="str">
        <f ca="1">IFERROR(__xludf.DUMMYFUNCTION("Importrange(""https://docs.google.com/spreadsheets/d/1p6ZtJ5szrZS8kDD4oSwZnwf_Sc5ROwnACl5fPYC84_c/edit?gid=1949688134#"",""Personnel Cost!A2:AE15"")"),"#REF!")</f>
        <v>#REF!</v>
      </c>
      <c r="C542" s="81"/>
      <c r="D542" s="81"/>
      <c r="E542" s="139"/>
      <c r="F542" s="139"/>
      <c r="G542" s="139"/>
      <c r="H542" s="35"/>
      <c r="I542" s="139"/>
      <c r="J542" s="139"/>
      <c r="K542" s="139"/>
      <c r="L542" s="139"/>
      <c r="M542" s="250"/>
      <c r="N542" s="139"/>
      <c r="O542" s="139"/>
      <c r="P542" s="139"/>
      <c r="Q542" s="207"/>
      <c r="R542" s="139"/>
      <c r="S542" s="139"/>
      <c r="T542" s="139"/>
      <c r="U542" s="139"/>
      <c r="V542" s="139"/>
      <c r="W542" s="139"/>
      <c r="X542" s="206"/>
      <c r="Y542" s="206"/>
      <c r="Z542" s="206"/>
      <c r="AA542" s="206"/>
      <c r="AB542" s="206"/>
      <c r="AC542" s="139"/>
      <c r="AD542" s="139"/>
      <c r="AE542" s="139"/>
      <c r="AF542" s="139"/>
      <c r="AG542" s="100"/>
    </row>
    <row r="543" spans="1:33" ht="15.75" customHeight="1" x14ac:dyDescent="0.25">
      <c r="A543" s="100">
        <v>1</v>
      </c>
      <c r="B543" s="81"/>
      <c r="C543" s="81"/>
      <c r="D543" s="81"/>
      <c r="E543" s="139"/>
      <c r="F543" s="139"/>
      <c r="G543" s="139"/>
      <c r="H543" s="35"/>
      <c r="I543" s="139"/>
      <c r="J543" s="139"/>
      <c r="K543" s="139"/>
      <c r="L543" s="139"/>
      <c r="M543" s="250"/>
      <c r="N543" s="139"/>
      <c r="O543" s="139"/>
      <c r="P543" s="81"/>
      <c r="Q543" s="81"/>
      <c r="R543" s="81"/>
      <c r="S543" s="81"/>
      <c r="T543" s="139"/>
      <c r="U543" s="81"/>
      <c r="V543" s="81"/>
      <c r="W543" s="139"/>
      <c r="X543" s="206"/>
      <c r="Y543" s="206"/>
      <c r="Z543" s="206"/>
      <c r="AA543" s="206"/>
      <c r="AB543" s="206"/>
      <c r="AC543" s="139"/>
      <c r="AD543" s="139"/>
      <c r="AE543" s="139"/>
      <c r="AF543" s="139"/>
      <c r="AG543" s="100"/>
    </row>
    <row r="544" spans="1:33" ht="15.75" customHeight="1" x14ac:dyDescent="0.25">
      <c r="A544" s="100">
        <v>0</v>
      </c>
      <c r="B544" s="81"/>
      <c r="C544" s="81"/>
      <c r="D544" s="81"/>
      <c r="E544" s="139"/>
      <c r="F544" s="139"/>
      <c r="G544" s="139"/>
      <c r="H544" s="35"/>
      <c r="I544" s="206"/>
      <c r="J544" s="139"/>
      <c r="K544" s="139"/>
      <c r="L544" s="139"/>
      <c r="M544" s="250"/>
      <c r="N544" s="139"/>
      <c r="O544" s="139"/>
      <c r="P544" s="81"/>
      <c r="Q544" s="81"/>
      <c r="R544" s="81"/>
      <c r="S544" s="81"/>
      <c r="T544" s="139"/>
      <c r="U544" s="81"/>
      <c r="V544" s="81"/>
      <c r="W544" s="81"/>
      <c r="X544" s="64"/>
      <c r="Y544" s="64"/>
      <c r="Z544" s="64"/>
      <c r="AA544" s="64"/>
      <c r="AB544" s="64"/>
      <c r="AC544" s="139"/>
      <c r="AD544" s="139"/>
      <c r="AE544" s="139"/>
      <c r="AF544" s="139"/>
      <c r="AG544" s="100"/>
    </row>
    <row r="545" spans="1:33" ht="15.75" customHeight="1" x14ac:dyDescent="0.25">
      <c r="A545" s="100">
        <v>0</v>
      </c>
      <c r="B545" s="81"/>
      <c r="C545" s="81"/>
      <c r="D545" s="81"/>
      <c r="E545" s="139"/>
      <c r="F545" s="139"/>
      <c r="G545" s="139"/>
      <c r="H545" s="35"/>
      <c r="I545" s="139"/>
      <c r="J545" s="139"/>
      <c r="K545" s="139"/>
      <c r="L545" s="139"/>
      <c r="M545" s="250"/>
      <c r="N545" s="139"/>
      <c r="O545" s="139"/>
      <c r="P545" s="81"/>
      <c r="Q545" s="81"/>
      <c r="R545" s="81"/>
      <c r="S545" s="81"/>
      <c r="T545" s="139"/>
      <c r="U545" s="81"/>
      <c r="V545" s="81"/>
      <c r="W545" s="81"/>
      <c r="X545" s="64"/>
      <c r="Y545" s="64"/>
      <c r="Z545" s="64"/>
      <c r="AA545" s="64"/>
      <c r="AB545" s="64"/>
      <c r="AC545" s="81"/>
      <c r="AD545" s="81"/>
      <c r="AE545" s="81"/>
      <c r="AF545" s="81"/>
      <c r="AG545" s="100"/>
    </row>
    <row r="546" spans="1:33" ht="15.75" customHeight="1" x14ac:dyDescent="0.25">
      <c r="A546" s="100">
        <v>0</v>
      </c>
      <c r="B546" s="81"/>
      <c r="C546" s="81"/>
      <c r="D546" s="81"/>
      <c r="E546" s="139"/>
      <c r="F546" s="139"/>
      <c r="G546" s="139"/>
      <c r="H546" s="35"/>
      <c r="I546" s="139"/>
      <c r="J546" s="139"/>
      <c r="K546" s="139"/>
      <c r="L546" s="139"/>
      <c r="M546" s="250"/>
      <c r="N546" s="139"/>
      <c r="O546" s="139"/>
      <c r="P546" s="81"/>
      <c r="Q546" s="81"/>
      <c r="R546" s="81"/>
      <c r="S546" s="81"/>
      <c r="T546" s="139"/>
      <c r="U546" s="81"/>
      <c r="V546" s="81"/>
      <c r="W546" s="81"/>
      <c r="X546" s="64"/>
      <c r="Y546" s="64"/>
      <c r="Z546" s="64"/>
      <c r="AA546" s="64"/>
      <c r="AB546" s="64"/>
      <c r="AC546" s="81"/>
      <c r="AD546" s="81"/>
      <c r="AE546" s="81"/>
      <c r="AF546" s="81"/>
      <c r="AG546" s="100"/>
    </row>
    <row r="547" spans="1:33" ht="15.75" customHeight="1" x14ac:dyDescent="0.25">
      <c r="A547" s="100">
        <v>0</v>
      </c>
      <c r="B547" s="81"/>
      <c r="C547" s="81"/>
      <c r="D547" s="81"/>
      <c r="E547" s="139"/>
      <c r="F547" s="139"/>
      <c r="G547" s="139"/>
      <c r="H547" s="35"/>
      <c r="I547" s="139"/>
      <c r="J547" s="139"/>
      <c r="K547" s="139"/>
      <c r="L547" s="139"/>
      <c r="M547" s="250"/>
      <c r="N547" s="139"/>
      <c r="O547" s="139"/>
      <c r="P547" s="81"/>
      <c r="Q547" s="81"/>
      <c r="R547" s="81"/>
      <c r="S547" s="81"/>
      <c r="T547" s="139"/>
      <c r="U547" s="81"/>
      <c r="V547" s="81"/>
      <c r="W547" s="81"/>
      <c r="X547" s="64"/>
      <c r="Y547" s="64"/>
      <c r="Z547" s="64"/>
      <c r="AA547" s="64"/>
      <c r="AB547" s="64"/>
      <c r="AC547" s="81"/>
      <c r="AD547" s="81"/>
      <c r="AE547" s="81"/>
      <c r="AF547" s="81"/>
      <c r="AG547" s="100"/>
    </row>
    <row r="548" spans="1:33" ht="15.75" customHeight="1" x14ac:dyDescent="0.25">
      <c r="A548" s="100">
        <v>0</v>
      </c>
      <c r="B548" s="81"/>
      <c r="C548" s="81"/>
      <c r="D548" s="81"/>
      <c r="E548" s="139"/>
      <c r="F548" s="139"/>
      <c r="G548" s="139"/>
      <c r="H548" s="35"/>
      <c r="I548" s="139"/>
      <c r="J548" s="139"/>
      <c r="K548" s="139"/>
      <c r="L548" s="139"/>
      <c r="M548" s="250"/>
      <c r="N548" s="139"/>
      <c r="O548" s="81"/>
      <c r="P548" s="81"/>
      <c r="Q548" s="81"/>
      <c r="R548" s="81"/>
      <c r="S548" s="81"/>
      <c r="T548" s="139"/>
      <c r="U548" s="81"/>
      <c r="V548" s="81"/>
      <c r="W548" s="81"/>
      <c r="X548" s="64"/>
      <c r="Y548" s="64"/>
      <c r="Z548" s="64"/>
      <c r="AA548" s="64"/>
      <c r="AB548" s="64"/>
      <c r="AC548" s="81"/>
      <c r="AD548" s="81"/>
      <c r="AE548" s="81"/>
      <c r="AF548" s="81"/>
      <c r="AG548" s="100"/>
    </row>
    <row r="549" spans="1:33" ht="15.75" customHeight="1" x14ac:dyDescent="0.25">
      <c r="A549" s="100">
        <v>0</v>
      </c>
      <c r="B549" s="81"/>
      <c r="C549" s="81"/>
      <c r="D549" s="81"/>
      <c r="E549" s="139"/>
      <c r="F549" s="139"/>
      <c r="G549" s="139"/>
      <c r="H549" s="35"/>
      <c r="I549" s="139"/>
      <c r="J549" s="139"/>
      <c r="K549" s="139"/>
      <c r="L549" s="139"/>
      <c r="M549" s="250"/>
      <c r="N549" s="139"/>
      <c r="O549" s="81"/>
      <c r="P549" s="81"/>
      <c r="Q549" s="81"/>
      <c r="R549" s="81"/>
      <c r="S549" s="81"/>
      <c r="T549" s="139"/>
      <c r="U549" s="81"/>
      <c r="V549" s="81"/>
      <c r="W549" s="81"/>
      <c r="X549" s="64"/>
      <c r="Y549" s="64"/>
      <c r="Z549" s="64"/>
      <c r="AA549" s="64"/>
      <c r="AB549" s="64"/>
      <c r="AC549" s="81"/>
      <c r="AD549" s="81"/>
      <c r="AE549" s="81"/>
      <c r="AF549" s="81"/>
      <c r="AG549" s="100"/>
    </row>
    <row r="550" spans="1:33" ht="15.75" customHeight="1" x14ac:dyDescent="0.25">
      <c r="A550" s="100">
        <v>0</v>
      </c>
      <c r="B550" s="81"/>
      <c r="C550" s="81"/>
      <c r="D550" s="81"/>
      <c r="E550" s="139"/>
      <c r="F550" s="139"/>
      <c r="G550" s="139"/>
      <c r="H550" s="35"/>
      <c r="I550" s="139"/>
      <c r="J550" s="139"/>
      <c r="K550" s="139"/>
      <c r="L550" s="139"/>
      <c r="M550" s="250"/>
      <c r="N550" s="139"/>
      <c r="O550" s="81"/>
      <c r="P550" s="81"/>
      <c r="Q550" s="81"/>
      <c r="R550" s="81"/>
      <c r="S550" s="81"/>
      <c r="T550" s="139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100"/>
    </row>
    <row r="551" spans="1:33" ht="15.75" customHeight="1" x14ac:dyDescent="0.25">
      <c r="A551" s="100">
        <v>0</v>
      </c>
      <c r="B551" s="81"/>
      <c r="C551" s="81"/>
      <c r="D551" s="81"/>
      <c r="E551" s="139"/>
      <c r="F551" s="139"/>
      <c r="G551" s="139"/>
      <c r="H551" s="35"/>
      <c r="I551" s="139"/>
      <c r="J551" s="139"/>
      <c r="K551" s="139"/>
      <c r="L551" s="139"/>
      <c r="M551" s="250"/>
      <c r="N551" s="139"/>
      <c r="O551" s="81"/>
      <c r="P551" s="81"/>
      <c r="Q551" s="81"/>
      <c r="R551" s="81"/>
      <c r="S551" s="81"/>
      <c r="T551" s="139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100"/>
    </row>
    <row r="552" spans="1:33" ht="15.75" customHeight="1" x14ac:dyDescent="0.25">
      <c r="A552" s="100">
        <v>0</v>
      </c>
      <c r="B552" s="81"/>
      <c r="C552" s="81"/>
      <c r="D552" s="81"/>
      <c r="E552" s="139"/>
      <c r="F552" s="139"/>
      <c r="G552" s="139"/>
      <c r="H552" s="35"/>
      <c r="I552" s="139"/>
      <c r="J552" s="139"/>
      <c r="K552" s="139"/>
      <c r="L552" s="139"/>
      <c r="M552" s="250"/>
      <c r="N552" s="139"/>
      <c r="O552" s="81"/>
      <c r="P552" s="81"/>
      <c r="Q552" s="81"/>
      <c r="R552" s="81"/>
      <c r="S552" s="81"/>
      <c r="T552" s="139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100"/>
    </row>
    <row r="553" spans="1:33" ht="15.75" customHeight="1" x14ac:dyDescent="0.25">
      <c r="A553" s="100">
        <v>0</v>
      </c>
      <c r="B553" s="81"/>
      <c r="C553" s="81"/>
      <c r="D553" s="81"/>
      <c r="E553" s="139"/>
      <c r="F553" s="139"/>
      <c r="G553" s="139"/>
      <c r="H553" s="35"/>
      <c r="I553" s="139"/>
      <c r="J553" s="139"/>
      <c r="K553" s="139"/>
      <c r="L553" s="139"/>
      <c r="M553" s="250"/>
      <c r="N553" s="139"/>
      <c r="O553" s="81"/>
      <c r="P553" s="81"/>
      <c r="Q553" s="81"/>
      <c r="R553" s="81"/>
      <c r="S553" s="81"/>
      <c r="T553" s="139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100"/>
    </row>
    <row r="554" spans="1:33" ht="15.75" customHeight="1" x14ac:dyDescent="0.25">
      <c r="A554" s="100">
        <v>0</v>
      </c>
      <c r="B554" s="81"/>
      <c r="C554" s="81"/>
      <c r="D554" s="81"/>
      <c r="E554" s="139"/>
      <c r="F554" s="139"/>
      <c r="G554" s="139"/>
      <c r="H554" s="35"/>
      <c r="I554" s="139"/>
      <c r="J554" s="139"/>
      <c r="K554" s="139"/>
      <c r="L554" s="139"/>
      <c r="M554" s="250"/>
      <c r="N554" s="139"/>
      <c r="O554" s="81"/>
      <c r="P554" s="81"/>
      <c r="Q554" s="81"/>
      <c r="R554" s="81"/>
      <c r="S554" s="81"/>
      <c r="T554" s="139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100"/>
    </row>
    <row r="555" spans="1:33" ht="15.75" customHeight="1" x14ac:dyDescent="0.3">
      <c r="B555" s="214"/>
      <c r="C555" s="214"/>
      <c r="D555" s="214"/>
      <c r="E555" s="216"/>
      <c r="F555" s="216"/>
      <c r="G555" s="216"/>
      <c r="H555" s="216"/>
      <c r="I555" s="216"/>
      <c r="J555" s="216"/>
      <c r="K555" s="214"/>
      <c r="L555" s="214"/>
      <c r="M555" s="214"/>
      <c r="N555" s="216"/>
      <c r="O555" s="216"/>
      <c r="P555" s="214"/>
      <c r="Q555" s="214"/>
      <c r="R555" s="214"/>
      <c r="S555" s="214"/>
      <c r="T555" s="216"/>
      <c r="U555" s="216"/>
      <c r="V555" s="216"/>
      <c r="W555" s="216"/>
      <c r="X555" s="216"/>
      <c r="Y555" s="216"/>
      <c r="Z555" s="216"/>
      <c r="AA555" s="216"/>
      <c r="AB555" s="216"/>
      <c r="AC555" s="216"/>
      <c r="AD555" s="216"/>
      <c r="AE555" s="216"/>
      <c r="AF555" s="216"/>
      <c r="AG555" s="219"/>
    </row>
    <row r="556" spans="1:33" ht="15.75" customHeight="1" x14ac:dyDescent="0.25"/>
    <row r="557" spans="1:33" ht="15.75" customHeight="1" x14ac:dyDescent="0.25">
      <c r="A557" s="100">
        <v>1</v>
      </c>
      <c r="B557" s="203" t="str">
        <f ca="1">IFERROR(__xludf.DUMMYFUNCTION("Importrange(""https://docs.google.com/spreadsheets/d/14HKL2WN3MTVApzupNKaJIrGP9GHjEVMHftqdMkvr8S4/edit?gid=1794961553#"",""Personnel Cost!A2:AE15"")"),"#REF!")</f>
        <v>#REF!</v>
      </c>
      <c r="C557" s="81"/>
      <c r="D557" s="81"/>
      <c r="E557" s="139"/>
      <c r="F557" s="139"/>
      <c r="G557" s="81"/>
      <c r="H557" s="81"/>
      <c r="I557" s="81"/>
      <c r="J557" s="81"/>
      <c r="K557" s="81"/>
      <c r="L557" s="81"/>
      <c r="M557" s="227"/>
      <c r="N557" s="139"/>
      <c r="O557" s="139"/>
      <c r="P557" s="139"/>
      <c r="Q557" s="207"/>
      <c r="R557" s="190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</row>
    <row r="558" spans="1:33" ht="15.75" customHeight="1" x14ac:dyDescent="0.25">
      <c r="A558" s="100">
        <v>0</v>
      </c>
      <c r="B558" s="81"/>
      <c r="C558" s="81"/>
      <c r="D558" s="81"/>
      <c r="E558" s="139"/>
      <c r="F558" s="139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139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</row>
    <row r="559" spans="1:33" ht="15.75" customHeight="1" x14ac:dyDescent="0.25">
      <c r="A559" s="100">
        <v>0</v>
      </c>
      <c r="B559" s="81"/>
      <c r="C559" s="81"/>
      <c r="D559" s="81"/>
      <c r="E559" s="139"/>
      <c r="F559" s="139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139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</row>
    <row r="560" spans="1:33" ht="15.75" customHeight="1" x14ac:dyDescent="0.25">
      <c r="A560" s="100">
        <v>0</v>
      </c>
      <c r="B560" s="81"/>
      <c r="C560" s="81"/>
      <c r="D560" s="81"/>
      <c r="E560" s="139"/>
      <c r="F560" s="139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139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</row>
    <row r="561" spans="1:33" ht="15.75" customHeight="1" x14ac:dyDescent="0.25">
      <c r="A561" s="100">
        <v>0</v>
      </c>
      <c r="B561" s="81"/>
      <c r="C561" s="81"/>
      <c r="D561" s="81"/>
      <c r="E561" s="139"/>
      <c r="F561" s="139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139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</row>
    <row r="562" spans="1:33" ht="15.75" customHeight="1" x14ac:dyDescent="0.25">
      <c r="A562" s="100">
        <v>0</v>
      </c>
      <c r="B562" s="81"/>
      <c r="C562" s="81"/>
      <c r="D562" s="81"/>
      <c r="E562" s="139"/>
      <c r="F562" s="139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139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</row>
    <row r="563" spans="1:33" ht="15.75" customHeight="1" x14ac:dyDescent="0.25">
      <c r="A563" s="100">
        <v>0</v>
      </c>
      <c r="B563" s="81"/>
      <c r="C563" s="81"/>
      <c r="D563" s="81"/>
      <c r="E563" s="139"/>
      <c r="F563" s="139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139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</row>
    <row r="564" spans="1:33" ht="15.75" customHeight="1" x14ac:dyDescent="0.25">
      <c r="A564" s="100">
        <v>0</v>
      </c>
      <c r="B564" s="81"/>
      <c r="C564" s="81"/>
      <c r="D564" s="81"/>
      <c r="E564" s="139"/>
      <c r="F564" s="139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139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</row>
    <row r="565" spans="1:33" ht="15.75" customHeight="1" x14ac:dyDescent="0.25">
      <c r="A565" s="100">
        <v>0</v>
      </c>
      <c r="B565" s="81"/>
      <c r="C565" s="81"/>
      <c r="D565" s="81"/>
      <c r="E565" s="139"/>
      <c r="F565" s="139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139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</row>
    <row r="566" spans="1:33" ht="15.75" customHeight="1" x14ac:dyDescent="0.25">
      <c r="A566" s="100">
        <v>0</v>
      </c>
      <c r="B566" s="81"/>
      <c r="C566" s="81"/>
      <c r="D566" s="81"/>
      <c r="E566" s="139"/>
      <c r="F566" s="139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139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</row>
    <row r="567" spans="1:33" ht="15.75" customHeight="1" x14ac:dyDescent="0.25">
      <c r="A567" s="100">
        <v>0</v>
      </c>
      <c r="B567" s="81"/>
      <c r="C567" s="81"/>
      <c r="D567" s="81"/>
      <c r="E567" s="139"/>
      <c r="F567" s="139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139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</row>
    <row r="568" spans="1:33" ht="15.75" customHeight="1" x14ac:dyDescent="0.25">
      <c r="A568" s="100">
        <v>0</v>
      </c>
      <c r="B568" s="81"/>
      <c r="C568" s="81"/>
      <c r="D568" s="81"/>
      <c r="E568" s="139"/>
      <c r="F568" s="139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139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</row>
    <row r="569" spans="1:33" ht="15.75" customHeight="1" x14ac:dyDescent="0.25">
      <c r="A569" s="100">
        <v>0</v>
      </c>
      <c r="B569" s="81"/>
      <c r="C569" s="81"/>
      <c r="D569" s="81"/>
      <c r="E569" s="139"/>
      <c r="F569" s="139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139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</row>
    <row r="570" spans="1:33" ht="15.75" customHeight="1" x14ac:dyDescent="0.3">
      <c r="B570" s="214"/>
      <c r="C570" s="214"/>
      <c r="D570" s="214"/>
      <c r="E570" s="216"/>
      <c r="F570" s="216"/>
      <c r="G570" s="216"/>
      <c r="H570" s="216"/>
      <c r="I570" s="216"/>
      <c r="J570" s="216"/>
      <c r="K570" s="214"/>
      <c r="L570" s="214"/>
      <c r="M570" s="214"/>
      <c r="N570" s="216"/>
      <c r="O570" s="216"/>
      <c r="P570" s="214"/>
      <c r="Q570" s="214"/>
      <c r="R570" s="214"/>
      <c r="S570" s="214"/>
      <c r="T570" s="216"/>
      <c r="U570" s="216"/>
      <c r="V570" s="216"/>
      <c r="W570" s="216"/>
      <c r="X570" s="216"/>
      <c r="Y570" s="216"/>
      <c r="Z570" s="216"/>
      <c r="AA570" s="216"/>
      <c r="AB570" s="216"/>
      <c r="AC570" s="216"/>
      <c r="AD570" s="216"/>
      <c r="AE570" s="216"/>
      <c r="AF570" s="216"/>
      <c r="AG570" s="219"/>
    </row>
    <row r="571" spans="1:33" ht="15.75" customHeight="1" x14ac:dyDescent="0.25"/>
    <row r="572" spans="1:33" ht="15.75" customHeight="1" x14ac:dyDescent="0.25"/>
    <row r="573" spans="1:33" ht="15.75" customHeight="1" x14ac:dyDescent="0.25"/>
    <row r="574" spans="1:33" ht="15.75" customHeight="1" x14ac:dyDescent="0.3">
      <c r="A574" s="255">
        <f>SUM(A2:A570)</f>
        <v>58</v>
      </c>
      <c r="B574" s="256"/>
      <c r="C574" s="256"/>
      <c r="D574" s="256"/>
      <c r="E574" s="256"/>
      <c r="F574" s="256"/>
      <c r="G574" s="256"/>
      <c r="H574" s="257" t="s">
        <v>56</v>
      </c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8">
        <f>T15+T27+T39+T57+T69+T81+T96+T108+T120+T135+T148+T160+T175+T187+T199+T213+T225+T237+T253+T265+T277+T292+T304+T316+T332+T344+T356+T378+T390+T402+T420+T432+T444+T462+T477+T493+T507+T525+T540+T555+T570</f>
        <v>0</v>
      </c>
      <c r="U574" s="258">
        <f t="shared" ref="U574:AF574" si="0">U15+U27+U39+U57+U69+U81+U96+U108+U120+U135+U148+U160+U175+U187+U199+U213+U225+U237+U253+U265+U277+U292+U304+U316+U332+U344+U356+U378+U390+U402+U420+U432+U444+U462+U477+U493+U507+U525+U540+U555</f>
        <v>0</v>
      </c>
      <c r="V574" s="258">
        <f t="shared" si="0"/>
        <v>0</v>
      </c>
      <c r="W574" s="258">
        <f t="shared" si="0"/>
        <v>0</v>
      </c>
      <c r="X574" s="258">
        <f t="shared" si="0"/>
        <v>0</v>
      </c>
      <c r="Y574" s="258">
        <f t="shared" si="0"/>
        <v>0</v>
      </c>
      <c r="Z574" s="258">
        <f t="shared" si="0"/>
        <v>0</v>
      </c>
      <c r="AA574" s="258">
        <f t="shared" si="0"/>
        <v>0</v>
      </c>
      <c r="AB574" s="258">
        <f t="shared" si="0"/>
        <v>0</v>
      </c>
      <c r="AC574" s="258">
        <f t="shared" si="0"/>
        <v>0</v>
      </c>
      <c r="AD574" s="258">
        <f t="shared" si="0"/>
        <v>0</v>
      </c>
      <c r="AE574" s="258">
        <f t="shared" si="0"/>
        <v>0</v>
      </c>
      <c r="AF574" s="258">
        <f t="shared" si="0"/>
        <v>0</v>
      </c>
    </row>
    <row r="575" spans="1:33" ht="15.75" customHeight="1" x14ac:dyDescent="0.25">
      <c r="A575" s="100">
        <f>SUM(A578:A596)+SUM(A598:A616)</f>
        <v>0</v>
      </c>
      <c r="T575" s="145">
        <f>SUM(T578:T616)</f>
        <v>0</v>
      </c>
    </row>
    <row r="576" spans="1:33" ht="15.75" customHeight="1" x14ac:dyDescent="0.25">
      <c r="A576" s="100">
        <f>A574-A575</f>
        <v>58</v>
      </c>
      <c r="C576" s="259" t="s">
        <v>102</v>
      </c>
      <c r="T576" s="260">
        <f>T574-T575</f>
        <v>0</v>
      </c>
    </row>
    <row r="577" spans="1:20" ht="15.75" customHeight="1" x14ac:dyDescent="0.25"/>
    <row r="578" spans="1:20" ht="15.75" customHeight="1" x14ac:dyDescent="0.3">
      <c r="A578" s="81">
        <f t="shared" ref="A578:A596" si="1">SUMIFS($A$2:$A$570,$F$2:$F$570,F578,$H$2:$H$570,H578)</f>
        <v>0</v>
      </c>
      <c r="B578" s="81"/>
      <c r="C578" s="81"/>
      <c r="D578" s="81">
        <f t="shared" ref="D578:D596" si="2">A578</f>
        <v>0</v>
      </c>
      <c r="E578" s="139" t="s">
        <v>178</v>
      </c>
      <c r="F578" s="81" t="s">
        <v>179</v>
      </c>
      <c r="G578" s="139" t="s">
        <v>180</v>
      </c>
      <c r="H578" s="35">
        <v>2024</v>
      </c>
      <c r="T578" s="261">
        <f t="shared" ref="T578:T596" si="3">SUMIFS($T$2:$T$570,$F$2:$F$570,F578,$H$2:$H$570,H578)</f>
        <v>0</v>
      </c>
    </row>
    <row r="579" spans="1:20" ht="15.75" customHeight="1" x14ac:dyDescent="0.3">
      <c r="A579" s="81">
        <f t="shared" si="1"/>
        <v>0</v>
      </c>
      <c r="B579" s="81"/>
      <c r="C579" s="81"/>
      <c r="D579" s="81">
        <f t="shared" si="2"/>
        <v>0</v>
      </c>
      <c r="E579" s="139" t="s">
        <v>178</v>
      </c>
      <c r="F579" s="139" t="s">
        <v>181</v>
      </c>
      <c r="G579" s="139" t="s">
        <v>180</v>
      </c>
      <c r="H579" s="35">
        <v>2024</v>
      </c>
      <c r="T579" s="261">
        <f t="shared" si="3"/>
        <v>0</v>
      </c>
    </row>
    <row r="580" spans="1:20" ht="15.75" customHeight="1" x14ac:dyDescent="0.3">
      <c r="A580" s="81">
        <f t="shared" si="1"/>
        <v>0</v>
      </c>
      <c r="B580" s="81"/>
      <c r="C580" s="81"/>
      <c r="D580" s="81">
        <f t="shared" si="2"/>
        <v>0</v>
      </c>
      <c r="E580" s="139" t="s">
        <v>178</v>
      </c>
      <c r="F580" s="139" t="s">
        <v>182</v>
      </c>
      <c r="G580" s="139" t="s">
        <v>180</v>
      </c>
      <c r="H580" s="35">
        <v>2024</v>
      </c>
      <c r="T580" s="261">
        <f t="shared" si="3"/>
        <v>0</v>
      </c>
    </row>
    <row r="581" spans="1:20" ht="15.75" customHeight="1" x14ac:dyDescent="0.3">
      <c r="A581" s="81">
        <f t="shared" si="1"/>
        <v>0</v>
      </c>
      <c r="B581" s="81"/>
      <c r="C581" s="81"/>
      <c r="D581" s="81">
        <f t="shared" si="2"/>
        <v>0</v>
      </c>
      <c r="E581" s="139" t="s">
        <v>178</v>
      </c>
      <c r="F581" s="139" t="s">
        <v>183</v>
      </c>
      <c r="G581" s="139" t="s">
        <v>180</v>
      </c>
      <c r="H581" s="35">
        <v>2024</v>
      </c>
      <c r="T581" s="261">
        <f t="shared" si="3"/>
        <v>0</v>
      </c>
    </row>
    <row r="582" spans="1:20" ht="15.75" customHeight="1" x14ac:dyDescent="0.3">
      <c r="A582" s="81">
        <f t="shared" si="1"/>
        <v>0</v>
      </c>
      <c r="B582" s="81"/>
      <c r="C582" s="81"/>
      <c r="D582" s="81">
        <f t="shared" si="2"/>
        <v>0</v>
      </c>
      <c r="E582" s="139" t="s">
        <v>178</v>
      </c>
      <c r="F582" s="139" t="s">
        <v>184</v>
      </c>
      <c r="G582" s="139" t="s">
        <v>180</v>
      </c>
      <c r="H582" s="35">
        <v>2024</v>
      </c>
      <c r="T582" s="261">
        <f t="shared" si="3"/>
        <v>0</v>
      </c>
    </row>
    <row r="583" spans="1:20" ht="15.75" customHeight="1" x14ac:dyDescent="0.3">
      <c r="A583" s="81">
        <f t="shared" si="1"/>
        <v>0</v>
      </c>
      <c r="B583" s="81"/>
      <c r="C583" s="81"/>
      <c r="D583" s="81">
        <f t="shared" si="2"/>
        <v>0</v>
      </c>
      <c r="E583" s="139" t="s">
        <v>178</v>
      </c>
      <c r="F583" s="139" t="s">
        <v>185</v>
      </c>
      <c r="G583" s="139" t="s">
        <v>180</v>
      </c>
      <c r="H583" s="35">
        <v>2024</v>
      </c>
      <c r="T583" s="261">
        <f t="shared" si="3"/>
        <v>0</v>
      </c>
    </row>
    <row r="584" spans="1:20" ht="15.75" customHeight="1" x14ac:dyDescent="0.3">
      <c r="A584" s="81">
        <f t="shared" si="1"/>
        <v>0</v>
      </c>
      <c r="B584" s="81"/>
      <c r="C584" s="81"/>
      <c r="D584" s="81">
        <f t="shared" si="2"/>
        <v>0</v>
      </c>
      <c r="E584" s="139" t="s">
        <v>178</v>
      </c>
      <c r="F584" s="139" t="s">
        <v>186</v>
      </c>
      <c r="G584" s="139" t="s">
        <v>180</v>
      </c>
      <c r="H584" s="35">
        <v>2024</v>
      </c>
      <c r="T584" s="261">
        <f t="shared" si="3"/>
        <v>0</v>
      </c>
    </row>
    <row r="585" spans="1:20" ht="15.75" customHeight="1" x14ac:dyDescent="0.3">
      <c r="A585" s="81">
        <f t="shared" si="1"/>
        <v>0</v>
      </c>
      <c r="B585" s="81"/>
      <c r="C585" s="81"/>
      <c r="D585" s="81">
        <f t="shared" si="2"/>
        <v>0</v>
      </c>
      <c r="E585" s="139" t="s">
        <v>178</v>
      </c>
      <c r="F585" s="139" t="s">
        <v>187</v>
      </c>
      <c r="G585" s="139" t="s">
        <v>180</v>
      </c>
      <c r="H585" s="35">
        <v>2024</v>
      </c>
      <c r="T585" s="261">
        <f t="shared" si="3"/>
        <v>0</v>
      </c>
    </row>
    <row r="586" spans="1:20" ht="15.75" customHeight="1" x14ac:dyDescent="0.3">
      <c r="A586" s="81">
        <f t="shared" si="1"/>
        <v>0</v>
      </c>
      <c r="B586" s="81"/>
      <c r="C586" s="81"/>
      <c r="D586" s="81">
        <f t="shared" si="2"/>
        <v>0</v>
      </c>
      <c r="E586" s="139" t="s">
        <v>178</v>
      </c>
      <c r="F586" s="139" t="s">
        <v>188</v>
      </c>
      <c r="G586" s="139" t="s">
        <v>180</v>
      </c>
      <c r="H586" s="35">
        <v>2024</v>
      </c>
      <c r="I586" s="100"/>
      <c r="T586" s="261">
        <f t="shared" si="3"/>
        <v>0</v>
      </c>
    </row>
    <row r="587" spans="1:20" ht="15.75" customHeight="1" x14ac:dyDescent="0.3">
      <c r="A587" s="81">
        <f t="shared" si="1"/>
        <v>0</v>
      </c>
      <c r="B587" s="81"/>
      <c r="C587" s="81"/>
      <c r="D587" s="81">
        <f t="shared" si="2"/>
        <v>0</v>
      </c>
      <c r="E587" s="139" t="s">
        <v>178</v>
      </c>
      <c r="F587" s="139" t="s">
        <v>189</v>
      </c>
      <c r="G587" s="139" t="s">
        <v>180</v>
      </c>
      <c r="H587" s="35">
        <v>2024</v>
      </c>
      <c r="T587" s="261">
        <f t="shared" si="3"/>
        <v>0</v>
      </c>
    </row>
    <row r="588" spans="1:20" ht="15.75" customHeight="1" x14ac:dyDescent="0.3">
      <c r="A588" s="81">
        <f t="shared" si="1"/>
        <v>0</v>
      </c>
      <c r="B588" s="81"/>
      <c r="C588" s="81"/>
      <c r="D588" s="81">
        <f t="shared" si="2"/>
        <v>0</v>
      </c>
      <c r="E588" s="139" t="s">
        <v>178</v>
      </c>
      <c r="F588" s="139" t="s">
        <v>190</v>
      </c>
      <c r="G588" s="139" t="s">
        <v>180</v>
      </c>
      <c r="H588" s="35">
        <v>2024</v>
      </c>
      <c r="T588" s="261">
        <f t="shared" si="3"/>
        <v>0</v>
      </c>
    </row>
    <row r="589" spans="1:20" ht="15.75" customHeight="1" x14ac:dyDescent="0.3">
      <c r="A589" s="81">
        <f t="shared" si="1"/>
        <v>0</v>
      </c>
      <c r="B589" s="81"/>
      <c r="C589" s="81"/>
      <c r="D589" s="81">
        <f t="shared" si="2"/>
        <v>0</v>
      </c>
      <c r="E589" s="139" t="s">
        <v>191</v>
      </c>
      <c r="F589" s="139" t="s">
        <v>192</v>
      </c>
      <c r="G589" s="139" t="s">
        <v>180</v>
      </c>
      <c r="H589" s="35">
        <v>2024</v>
      </c>
      <c r="T589" s="261">
        <f t="shared" si="3"/>
        <v>0</v>
      </c>
    </row>
    <row r="590" spans="1:20" ht="15.75" customHeight="1" x14ac:dyDescent="0.3">
      <c r="A590" s="81">
        <f t="shared" si="1"/>
        <v>0</v>
      </c>
      <c r="B590" s="81"/>
      <c r="C590" s="81"/>
      <c r="D590" s="81">
        <f t="shared" si="2"/>
        <v>0</v>
      </c>
      <c r="E590" s="139" t="s">
        <v>191</v>
      </c>
      <c r="F590" s="139" t="s">
        <v>193</v>
      </c>
      <c r="G590" s="139" t="s">
        <v>180</v>
      </c>
      <c r="H590" s="35">
        <v>2024</v>
      </c>
      <c r="T590" s="261">
        <f t="shared" si="3"/>
        <v>0</v>
      </c>
    </row>
    <row r="591" spans="1:20" ht="15.75" customHeight="1" x14ac:dyDescent="0.3">
      <c r="A591" s="81">
        <f t="shared" si="1"/>
        <v>0</v>
      </c>
      <c r="B591" s="81"/>
      <c r="C591" s="81"/>
      <c r="D591" s="81">
        <f t="shared" si="2"/>
        <v>0</v>
      </c>
      <c r="E591" s="139" t="s">
        <v>191</v>
      </c>
      <c r="F591" s="139" t="s">
        <v>194</v>
      </c>
      <c r="G591" s="139" t="s">
        <v>180</v>
      </c>
      <c r="H591" s="35">
        <v>2024</v>
      </c>
      <c r="T591" s="261">
        <f t="shared" si="3"/>
        <v>0</v>
      </c>
    </row>
    <row r="592" spans="1:20" ht="15.75" customHeight="1" x14ac:dyDescent="0.3">
      <c r="A592" s="81">
        <f t="shared" si="1"/>
        <v>0</v>
      </c>
      <c r="B592" s="81"/>
      <c r="C592" s="81"/>
      <c r="D592" s="81">
        <f t="shared" si="2"/>
        <v>0</v>
      </c>
      <c r="E592" s="139" t="s">
        <v>191</v>
      </c>
      <c r="F592" s="139" t="s">
        <v>195</v>
      </c>
      <c r="G592" s="139" t="s">
        <v>180</v>
      </c>
      <c r="H592" s="35">
        <v>2024</v>
      </c>
      <c r="T592" s="261">
        <f t="shared" si="3"/>
        <v>0</v>
      </c>
    </row>
    <row r="593" spans="1:20" ht="15.75" customHeight="1" x14ac:dyDescent="0.3">
      <c r="A593" s="81">
        <f t="shared" si="1"/>
        <v>0</v>
      </c>
      <c r="B593" s="81"/>
      <c r="C593" s="81"/>
      <c r="D593" s="81">
        <f t="shared" si="2"/>
        <v>0</v>
      </c>
      <c r="E593" s="139" t="s">
        <v>196</v>
      </c>
      <c r="F593" s="139" t="s">
        <v>197</v>
      </c>
      <c r="G593" s="139" t="s">
        <v>180</v>
      </c>
      <c r="H593" s="35">
        <v>2024</v>
      </c>
      <c r="T593" s="261">
        <f t="shared" si="3"/>
        <v>0</v>
      </c>
    </row>
    <row r="594" spans="1:20" ht="15.75" customHeight="1" x14ac:dyDescent="0.3">
      <c r="A594" s="81">
        <f t="shared" si="1"/>
        <v>0</v>
      </c>
      <c r="B594" s="81"/>
      <c r="C594" s="81"/>
      <c r="D594" s="81">
        <f t="shared" si="2"/>
        <v>0</v>
      </c>
      <c r="E594" s="139" t="s">
        <v>196</v>
      </c>
      <c r="F594" s="139" t="s">
        <v>198</v>
      </c>
      <c r="G594" s="139" t="s">
        <v>180</v>
      </c>
      <c r="H594" s="35">
        <v>2024</v>
      </c>
      <c r="T594" s="261">
        <f t="shared" si="3"/>
        <v>0</v>
      </c>
    </row>
    <row r="595" spans="1:20" ht="15.75" customHeight="1" x14ac:dyDescent="0.3">
      <c r="A595" s="81">
        <f t="shared" si="1"/>
        <v>0</v>
      </c>
      <c r="B595" s="81"/>
      <c r="C595" s="81"/>
      <c r="D595" s="81">
        <f t="shared" si="2"/>
        <v>0</v>
      </c>
      <c r="E595" s="139" t="s">
        <v>196</v>
      </c>
      <c r="F595" s="139" t="s">
        <v>199</v>
      </c>
      <c r="G595" s="139" t="s">
        <v>180</v>
      </c>
      <c r="H595" s="35">
        <v>2024</v>
      </c>
      <c r="T595" s="261">
        <f t="shared" si="3"/>
        <v>0</v>
      </c>
    </row>
    <row r="596" spans="1:20" ht="15.75" customHeight="1" x14ac:dyDescent="0.3">
      <c r="A596" s="81">
        <f t="shared" si="1"/>
        <v>0</v>
      </c>
      <c r="B596" s="81"/>
      <c r="C596" s="81"/>
      <c r="D596" s="81">
        <f t="shared" si="2"/>
        <v>0</v>
      </c>
      <c r="E596" s="139" t="s">
        <v>196</v>
      </c>
      <c r="F596" s="139" t="s">
        <v>200</v>
      </c>
      <c r="G596" s="139" t="s">
        <v>180</v>
      </c>
      <c r="H596" s="35">
        <v>2024</v>
      </c>
      <c r="T596" s="261">
        <f t="shared" si="3"/>
        <v>0</v>
      </c>
    </row>
    <row r="597" spans="1:20" ht="15.75" customHeight="1" x14ac:dyDescent="0.3">
      <c r="A597" s="256">
        <f>SUM(A578:A596)</f>
        <v>0</v>
      </c>
      <c r="B597" s="262" t="s">
        <v>201</v>
      </c>
      <c r="C597" s="263"/>
      <c r="D597" s="263">
        <f>SUM(D578:D596)</f>
        <v>0</v>
      </c>
      <c r="E597" s="256"/>
      <c r="F597" s="256"/>
      <c r="G597" s="256"/>
      <c r="H597" s="256"/>
      <c r="T597" s="261"/>
    </row>
    <row r="598" spans="1:20" ht="15.75" customHeight="1" x14ac:dyDescent="0.3">
      <c r="A598" s="100">
        <f t="shared" ref="A598:A616" si="4">SUMIFS($A$2:$A$570,$F$2:$F$570,F598,$H$2:$H$570,H598)</f>
        <v>0</v>
      </c>
      <c r="D598" s="100">
        <f t="shared" ref="D598:D616" si="5">D578+A598</f>
        <v>0</v>
      </c>
      <c r="E598" s="139" t="s">
        <v>178</v>
      </c>
      <c r="F598" s="81" t="s">
        <v>179</v>
      </c>
      <c r="G598" s="139" t="s">
        <v>180</v>
      </c>
      <c r="H598" s="264">
        <v>2025</v>
      </c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1">
        <f t="shared" ref="T598:T616" si="6">SUMIFS($T$2:$T$555,$F$2:$F$555,F598,$H$2:$H$555,H598)</f>
        <v>0</v>
      </c>
    </row>
    <row r="599" spans="1:20" ht="15.75" customHeight="1" x14ac:dyDescent="0.3">
      <c r="A599" s="100">
        <f t="shared" si="4"/>
        <v>0</v>
      </c>
      <c r="D599" s="100">
        <f t="shared" si="5"/>
        <v>0</v>
      </c>
      <c r="E599" s="139" t="s">
        <v>178</v>
      </c>
      <c r="F599" s="139" t="s">
        <v>181</v>
      </c>
      <c r="G599" s="139" t="s">
        <v>180</v>
      </c>
      <c r="H599" s="264">
        <v>2025</v>
      </c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1">
        <f t="shared" si="6"/>
        <v>0</v>
      </c>
    </row>
    <row r="600" spans="1:20" ht="15.75" customHeight="1" x14ac:dyDescent="0.3">
      <c r="A600" s="100">
        <f t="shared" si="4"/>
        <v>0</v>
      </c>
      <c r="D600" s="100">
        <f t="shared" si="5"/>
        <v>0</v>
      </c>
      <c r="E600" s="139" t="s">
        <v>178</v>
      </c>
      <c r="F600" s="139" t="s">
        <v>182</v>
      </c>
      <c r="G600" s="139" t="s">
        <v>180</v>
      </c>
      <c r="H600" s="264">
        <v>2025</v>
      </c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1">
        <f t="shared" si="6"/>
        <v>0</v>
      </c>
    </row>
    <row r="601" spans="1:20" ht="15.75" customHeight="1" x14ac:dyDescent="0.3">
      <c r="A601" s="100">
        <f t="shared" si="4"/>
        <v>0</v>
      </c>
      <c r="D601" s="100">
        <f t="shared" si="5"/>
        <v>0</v>
      </c>
      <c r="E601" s="139" t="s">
        <v>178</v>
      </c>
      <c r="F601" s="139" t="s">
        <v>183</v>
      </c>
      <c r="G601" s="139" t="s">
        <v>180</v>
      </c>
      <c r="H601" s="264">
        <v>2025</v>
      </c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1">
        <f t="shared" si="6"/>
        <v>0</v>
      </c>
    </row>
    <row r="602" spans="1:20" ht="15.75" customHeight="1" x14ac:dyDescent="0.3">
      <c r="A602" s="100">
        <f t="shared" si="4"/>
        <v>0</v>
      </c>
      <c r="D602" s="100">
        <f t="shared" si="5"/>
        <v>0</v>
      </c>
      <c r="E602" s="139" t="s">
        <v>178</v>
      </c>
      <c r="F602" s="139" t="s">
        <v>184</v>
      </c>
      <c r="G602" s="139" t="s">
        <v>180</v>
      </c>
      <c r="H602" s="264">
        <v>2025</v>
      </c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1">
        <f t="shared" si="6"/>
        <v>0</v>
      </c>
    </row>
    <row r="603" spans="1:20" ht="15.75" customHeight="1" x14ac:dyDescent="0.3">
      <c r="A603" s="100">
        <f t="shared" si="4"/>
        <v>0</v>
      </c>
      <c r="D603" s="100">
        <f t="shared" si="5"/>
        <v>0</v>
      </c>
      <c r="E603" s="139" t="s">
        <v>178</v>
      </c>
      <c r="F603" s="139" t="s">
        <v>185</v>
      </c>
      <c r="G603" s="139" t="s">
        <v>180</v>
      </c>
      <c r="H603" s="264">
        <v>2025</v>
      </c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1">
        <f t="shared" si="6"/>
        <v>0</v>
      </c>
    </row>
    <row r="604" spans="1:20" ht="15.75" customHeight="1" x14ac:dyDescent="0.3">
      <c r="A604" s="100">
        <f t="shared" si="4"/>
        <v>0</v>
      </c>
      <c r="D604" s="100">
        <f t="shared" si="5"/>
        <v>0</v>
      </c>
      <c r="E604" s="139" t="s">
        <v>178</v>
      </c>
      <c r="F604" s="139" t="s">
        <v>186</v>
      </c>
      <c r="G604" s="139" t="s">
        <v>180</v>
      </c>
      <c r="H604" s="264">
        <v>2025</v>
      </c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1">
        <f t="shared" si="6"/>
        <v>0</v>
      </c>
    </row>
    <row r="605" spans="1:20" ht="15.75" customHeight="1" x14ac:dyDescent="0.3">
      <c r="A605" s="100">
        <f t="shared" si="4"/>
        <v>0</v>
      </c>
      <c r="D605" s="100">
        <f t="shared" si="5"/>
        <v>0</v>
      </c>
      <c r="E605" s="139" t="s">
        <v>178</v>
      </c>
      <c r="F605" s="139" t="s">
        <v>187</v>
      </c>
      <c r="G605" s="139" t="s">
        <v>180</v>
      </c>
      <c r="H605" s="264">
        <v>2025</v>
      </c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1">
        <f t="shared" si="6"/>
        <v>0</v>
      </c>
    </row>
    <row r="606" spans="1:20" ht="15.75" customHeight="1" x14ac:dyDescent="0.3">
      <c r="A606" s="100">
        <f t="shared" si="4"/>
        <v>0</v>
      </c>
      <c r="D606" s="100">
        <f t="shared" si="5"/>
        <v>0</v>
      </c>
      <c r="E606" s="139" t="s">
        <v>178</v>
      </c>
      <c r="F606" s="139" t="s">
        <v>188</v>
      </c>
      <c r="G606" s="139" t="s">
        <v>180</v>
      </c>
      <c r="H606" s="264">
        <v>2025</v>
      </c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1">
        <f t="shared" si="6"/>
        <v>0</v>
      </c>
    </row>
    <row r="607" spans="1:20" ht="15.75" customHeight="1" x14ac:dyDescent="0.3">
      <c r="A607" s="100">
        <f t="shared" si="4"/>
        <v>0</v>
      </c>
      <c r="D607" s="100">
        <f t="shared" si="5"/>
        <v>0</v>
      </c>
      <c r="E607" s="139" t="s">
        <v>178</v>
      </c>
      <c r="F607" s="139" t="s">
        <v>189</v>
      </c>
      <c r="G607" s="139" t="s">
        <v>180</v>
      </c>
      <c r="H607" s="264">
        <v>2025</v>
      </c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1">
        <f t="shared" si="6"/>
        <v>0</v>
      </c>
    </row>
    <row r="608" spans="1:20" ht="15.75" customHeight="1" x14ac:dyDescent="0.3">
      <c r="A608" s="100">
        <f t="shared" si="4"/>
        <v>0</v>
      </c>
      <c r="D608" s="100">
        <f t="shared" si="5"/>
        <v>0</v>
      </c>
      <c r="E608" s="139" t="s">
        <v>178</v>
      </c>
      <c r="F608" s="139" t="s">
        <v>190</v>
      </c>
      <c r="G608" s="139" t="s">
        <v>180</v>
      </c>
      <c r="H608" s="264">
        <v>2025</v>
      </c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1">
        <f t="shared" si="6"/>
        <v>0</v>
      </c>
    </row>
    <row r="609" spans="1:20" ht="15.75" customHeight="1" x14ac:dyDescent="0.3">
      <c r="A609" s="100">
        <f t="shared" si="4"/>
        <v>0</v>
      </c>
      <c r="D609" s="100">
        <f t="shared" si="5"/>
        <v>0</v>
      </c>
      <c r="E609" s="139" t="s">
        <v>191</v>
      </c>
      <c r="F609" s="139" t="s">
        <v>192</v>
      </c>
      <c r="G609" s="139" t="s">
        <v>180</v>
      </c>
      <c r="H609" s="264">
        <v>2025</v>
      </c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1">
        <f t="shared" si="6"/>
        <v>0</v>
      </c>
    </row>
    <row r="610" spans="1:20" ht="15.75" customHeight="1" x14ac:dyDescent="0.3">
      <c r="A610" s="100">
        <f t="shared" si="4"/>
        <v>0</v>
      </c>
      <c r="D610" s="100">
        <f t="shared" si="5"/>
        <v>0</v>
      </c>
      <c r="E610" s="139" t="s">
        <v>191</v>
      </c>
      <c r="F610" s="102" t="s">
        <v>193</v>
      </c>
      <c r="G610" s="139" t="s">
        <v>180</v>
      </c>
      <c r="H610" s="264">
        <v>2025</v>
      </c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1">
        <f t="shared" si="6"/>
        <v>0</v>
      </c>
    </row>
    <row r="611" spans="1:20" ht="15.75" customHeight="1" x14ac:dyDescent="0.3">
      <c r="A611" s="100">
        <f t="shared" si="4"/>
        <v>0</v>
      </c>
      <c r="D611" s="100">
        <f t="shared" si="5"/>
        <v>0</v>
      </c>
      <c r="E611" s="139" t="s">
        <v>191</v>
      </c>
      <c r="F611" s="102" t="s">
        <v>194</v>
      </c>
      <c r="G611" s="139" t="s">
        <v>180</v>
      </c>
      <c r="H611" s="264">
        <v>2025</v>
      </c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1">
        <f t="shared" si="6"/>
        <v>0</v>
      </c>
    </row>
    <row r="612" spans="1:20" ht="15.75" customHeight="1" x14ac:dyDescent="0.3">
      <c r="A612" s="100">
        <f t="shared" si="4"/>
        <v>0</v>
      </c>
      <c r="D612" s="100">
        <f t="shared" si="5"/>
        <v>0</v>
      </c>
      <c r="E612" s="139" t="s">
        <v>191</v>
      </c>
      <c r="F612" s="102" t="s">
        <v>195</v>
      </c>
      <c r="G612" s="139" t="s">
        <v>180</v>
      </c>
      <c r="H612" s="264">
        <v>2025</v>
      </c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1">
        <f t="shared" si="6"/>
        <v>0</v>
      </c>
    </row>
    <row r="613" spans="1:20" ht="15.75" customHeight="1" x14ac:dyDescent="0.3">
      <c r="A613" s="100">
        <f t="shared" si="4"/>
        <v>0</v>
      </c>
      <c r="D613" s="100">
        <f t="shared" si="5"/>
        <v>0</v>
      </c>
      <c r="E613" s="139" t="s">
        <v>196</v>
      </c>
      <c r="F613" s="102" t="s">
        <v>197</v>
      </c>
      <c r="G613" s="139" t="s">
        <v>180</v>
      </c>
      <c r="H613" s="264">
        <v>2025</v>
      </c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1">
        <f t="shared" si="6"/>
        <v>0</v>
      </c>
    </row>
    <row r="614" spans="1:20" ht="15.75" customHeight="1" x14ac:dyDescent="0.3">
      <c r="A614" s="100">
        <f t="shared" si="4"/>
        <v>0</v>
      </c>
      <c r="D614" s="100">
        <f t="shared" si="5"/>
        <v>0</v>
      </c>
      <c r="E614" s="139" t="s">
        <v>196</v>
      </c>
      <c r="F614" s="102" t="s">
        <v>198</v>
      </c>
      <c r="G614" s="139" t="s">
        <v>180</v>
      </c>
      <c r="H614" s="264">
        <v>2025</v>
      </c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1">
        <f t="shared" si="6"/>
        <v>0</v>
      </c>
    </row>
    <row r="615" spans="1:20" ht="15.75" customHeight="1" x14ac:dyDescent="0.3">
      <c r="A615" s="100">
        <f t="shared" si="4"/>
        <v>0</v>
      </c>
      <c r="D615" s="100">
        <f t="shared" si="5"/>
        <v>0</v>
      </c>
      <c r="E615" s="139" t="s">
        <v>196</v>
      </c>
      <c r="F615" s="102" t="s">
        <v>199</v>
      </c>
      <c r="G615" s="139" t="s">
        <v>180</v>
      </c>
      <c r="H615" s="264">
        <v>2025</v>
      </c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1">
        <f t="shared" si="6"/>
        <v>0</v>
      </c>
    </row>
    <row r="616" spans="1:20" ht="15.75" customHeight="1" x14ac:dyDescent="0.3">
      <c r="A616" s="100">
        <f t="shared" si="4"/>
        <v>0</v>
      </c>
      <c r="D616" s="100">
        <f t="shared" si="5"/>
        <v>0</v>
      </c>
      <c r="E616" s="139" t="s">
        <v>196</v>
      </c>
      <c r="F616" s="139" t="s">
        <v>200</v>
      </c>
      <c r="G616" s="139" t="s">
        <v>180</v>
      </c>
      <c r="H616" s="264">
        <v>2025</v>
      </c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1">
        <f t="shared" si="6"/>
        <v>0</v>
      </c>
    </row>
    <row r="617" spans="1:20" ht="15.75" customHeight="1" x14ac:dyDescent="0.25">
      <c r="A617" s="256">
        <f>SUM(A598:A616)</f>
        <v>0</v>
      </c>
      <c r="B617" s="262" t="s">
        <v>202</v>
      </c>
      <c r="C617" s="262"/>
      <c r="D617" s="262">
        <f>SUM(D598:D616)</f>
        <v>0</v>
      </c>
      <c r="E617" s="256"/>
      <c r="F617" s="256"/>
      <c r="G617" s="256"/>
      <c r="H617" s="256"/>
    </row>
    <row r="618" spans="1:20" ht="15.75" customHeight="1" x14ac:dyDescent="0.25"/>
    <row r="619" spans="1:20" ht="15.75" customHeight="1" x14ac:dyDescent="0.25"/>
    <row r="620" spans="1:20" ht="15.75" customHeight="1" x14ac:dyDescent="0.25"/>
    <row r="621" spans="1:20" ht="15.75" customHeight="1" x14ac:dyDescent="0.25"/>
    <row r="622" spans="1:20" ht="15.75" customHeight="1" x14ac:dyDescent="0.25"/>
    <row r="623" spans="1:20" ht="15.75" customHeight="1" x14ac:dyDescent="0.25"/>
    <row r="624" spans="1:20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55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23"/>
  <sheetViews>
    <sheetView tabSelected="1" workbookViewId="0">
      <pane ySplit="2" topLeftCell="A3" activePane="bottomLeft" state="frozen"/>
      <selection pane="bottomLeft" activeCell="F5" sqref="F5"/>
    </sheetView>
  </sheetViews>
  <sheetFormatPr defaultColWidth="12.6328125" defaultRowHeight="15" customHeight="1" x14ac:dyDescent="0.25"/>
  <cols>
    <col min="1" max="1" width="8" customWidth="1"/>
    <col min="2" max="2" width="5.90625" customWidth="1"/>
    <col min="3" max="3" width="13" customWidth="1"/>
    <col min="4" max="4" width="24.36328125" customWidth="1"/>
    <col min="6" max="6" width="28.08984375" customWidth="1"/>
    <col min="7" max="7" width="33.36328125" customWidth="1"/>
    <col min="8" max="8" width="12.6328125" customWidth="1"/>
  </cols>
  <sheetData>
    <row r="1" spans="1:21" ht="15" customHeight="1" x14ac:dyDescent="0.25">
      <c r="A1" s="124" t="s">
        <v>4</v>
      </c>
      <c r="B1" s="23" t="s">
        <v>130</v>
      </c>
      <c r="C1" s="23" t="s">
        <v>131</v>
      </c>
      <c r="D1" s="19" t="s">
        <v>132</v>
      </c>
      <c r="E1" s="23" t="s">
        <v>133</v>
      </c>
      <c r="F1" s="19" t="s">
        <v>8</v>
      </c>
      <c r="G1" s="23" t="s">
        <v>10</v>
      </c>
      <c r="H1" s="23" t="s">
        <v>12</v>
      </c>
      <c r="I1" s="7" t="s">
        <v>2</v>
      </c>
      <c r="J1" s="8">
        <v>46023</v>
      </c>
      <c r="K1" s="8">
        <v>46054</v>
      </c>
      <c r="L1" s="8">
        <v>46082</v>
      </c>
      <c r="M1" s="8">
        <v>46113</v>
      </c>
      <c r="N1" s="8">
        <v>46143</v>
      </c>
      <c r="O1" s="8">
        <v>46174</v>
      </c>
      <c r="P1" s="8">
        <v>46204</v>
      </c>
      <c r="Q1" s="8">
        <v>46235</v>
      </c>
      <c r="R1" s="8">
        <v>46266</v>
      </c>
      <c r="S1" s="8">
        <v>46296</v>
      </c>
      <c r="T1" s="8">
        <v>46327</v>
      </c>
      <c r="U1" s="8">
        <v>46357</v>
      </c>
    </row>
    <row r="2" spans="1:21" ht="15" customHeight="1" x14ac:dyDescent="0.85">
      <c r="A2" s="130"/>
      <c r="B2" s="131"/>
      <c r="C2" s="131"/>
      <c r="D2" s="131"/>
      <c r="E2" s="131"/>
      <c r="F2" s="131"/>
      <c r="G2" s="131"/>
      <c r="H2" s="5"/>
      <c r="I2" s="20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22" t="s">
        <v>9</v>
      </c>
      <c r="S2" s="22" t="s">
        <v>9</v>
      </c>
      <c r="T2" s="22" t="s">
        <v>9</v>
      </c>
      <c r="U2" s="22" t="s">
        <v>9</v>
      </c>
    </row>
    <row r="3" spans="1:21" ht="15" customHeight="1" x14ac:dyDescent="0.25">
      <c r="A3" s="4" t="s">
        <v>42</v>
      </c>
      <c r="B3" s="4" t="s">
        <v>204</v>
      </c>
      <c r="C3" s="191" t="s">
        <v>16</v>
      </c>
      <c r="D3" s="191" t="s">
        <v>205</v>
      </c>
      <c r="E3" s="191" t="s">
        <v>165</v>
      </c>
      <c r="F3" s="191" t="s">
        <v>37</v>
      </c>
      <c r="G3" s="191" t="s">
        <v>37</v>
      </c>
      <c r="H3" s="191" t="s">
        <v>38</v>
      </c>
      <c r="I3" s="191">
        <f t="shared" ref="I3:I22" si="0">SUM(J3:U3)</f>
        <v>2861160</v>
      </c>
      <c r="J3" s="191">
        <v>138430</v>
      </c>
      <c r="K3" s="191">
        <v>138430</v>
      </c>
      <c r="L3" s="191">
        <v>213430</v>
      </c>
      <c r="M3" s="191">
        <v>213430</v>
      </c>
      <c r="N3" s="191">
        <v>213430</v>
      </c>
      <c r="O3" s="191">
        <v>213430</v>
      </c>
      <c r="P3" s="191">
        <v>288430</v>
      </c>
      <c r="Q3" s="191">
        <v>288430</v>
      </c>
      <c r="R3" s="191">
        <v>288430</v>
      </c>
      <c r="S3" s="191">
        <v>288430</v>
      </c>
      <c r="T3" s="191">
        <v>288430</v>
      </c>
      <c r="U3" s="191">
        <v>288430</v>
      </c>
    </row>
    <row r="4" spans="1:21" ht="15" customHeight="1" x14ac:dyDescent="0.25">
      <c r="A4" s="4" t="s">
        <v>42</v>
      </c>
      <c r="B4" s="4" t="s">
        <v>204</v>
      </c>
      <c r="C4" s="191" t="s">
        <v>16</v>
      </c>
      <c r="D4" s="191" t="s">
        <v>205</v>
      </c>
      <c r="E4" s="191" t="s">
        <v>165</v>
      </c>
      <c r="F4" s="191" t="s">
        <v>75</v>
      </c>
      <c r="G4" s="191" t="s">
        <v>72</v>
      </c>
      <c r="H4" s="191" t="s">
        <v>76</v>
      </c>
      <c r="I4" s="4">
        <f t="shared" si="0"/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" customHeight="1" x14ac:dyDescent="0.25">
      <c r="A5" s="4" t="s">
        <v>42</v>
      </c>
      <c r="B5" s="4" t="s">
        <v>204</v>
      </c>
      <c r="C5" s="191" t="s">
        <v>16</v>
      </c>
      <c r="D5" s="191" t="s">
        <v>205</v>
      </c>
      <c r="E5" s="191" t="s">
        <v>165</v>
      </c>
      <c r="F5" s="191" t="s">
        <v>116</v>
      </c>
      <c r="G5" s="191" t="s">
        <v>77</v>
      </c>
      <c r="H5" s="266">
        <v>91302</v>
      </c>
      <c r="I5" s="4">
        <f t="shared" si="0"/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5" customHeight="1" x14ac:dyDescent="0.25">
      <c r="A6" s="4" t="s">
        <v>42</v>
      </c>
      <c r="B6" s="4" t="s">
        <v>204</v>
      </c>
      <c r="C6" s="191" t="s">
        <v>16</v>
      </c>
      <c r="D6" s="191" t="s">
        <v>205</v>
      </c>
      <c r="E6" s="4" t="s">
        <v>206</v>
      </c>
      <c r="F6" s="4" t="s">
        <v>84</v>
      </c>
      <c r="G6" s="4" t="s">
        <v>85</v>
      </c>
      <c r="H6" s="4">
        <v>92101</v>
      </c>
      <c r="I6" s="4">
        <f t="shared" si="0"/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" customHeight="1" x14ac:dyDescent="0.25">
      <c r="A7" s="4" t="s">
        <v>42</v>
      </c>
      <c r="B7" s="4" t="s">
        <v>204</v>
      </c>
      <c r="C7" s="191" t="s">
        <v>16</v>
      </c>
      <c r="D7" s="267" t="s">
        <v>205</v>
      </c>
      <c r="E7" s="4" t="s">
        <v>207</v>
      </c>
      <c r="F7" s="4" t="s">
        <v>86</v>
      </c>
      <c r="G7" s="4" t="s">
        <v>88</v>
      </c>
      <c r="H7" s="4">
        <v>93101</v>
      </c>
      <c r="I7" s="4">
        <f t="shared" si="0"/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" customHeight="1" x14ac:dyDescent="0.25">
      <c r="A8" s="4" t="s">
        <v>42</v>
      </c>
      <c r="B8" s="4" t="s">
        <v>204</v>
      </c>
      <c r="C8" s="191" t="s">
        <v>16</v>
      </c>
      <c r="D8" s="267" t="s">
        <v>205</v>
      </c>
      <c r="E8" s="4" t="s">
        <v>207</v>
      </c>
      <c r="F8" s="4" t="s">
        <v>86</v>
      </c>
      <c r="G8" s="4" t="s">
        <v>89</v>
      </c>
      <c r="H8" s="4">
        <v>93102</v>
      </c>
      <c r="I8" s="4">
        <f t="shared" si="0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5" customHeight="1" x14ac:dyDescent="0.25">
      <c r="A9" s="4" t="s">
        <v>42</v>
      </c>
      <c r="B9" s="4" t="s">
        <v>204</v>
      </c>
      <c r="C9" s="191" t="s">
        <v>16</v>
      </c>
      <c r="D9" s="267" t="s">
        <v>205</v>
      </c>
      <c r="E9" s="4" t="s">
        <v>207</v>
      </c>
      <c r="F9" s="4" t="s">
        <v>86</v>
      </c>
      <c r="G9" s="4" t="s">
        <v>90</v>
      </c>
      <c r="H9" s="4">
        <v>93103</v>
      </c>
      <c r="I9" s="4">
        <f t="shared" si="0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5" customHeight="1" x14ac:dyDescent="0.25">
      <c r="A10" s="4" t="s">
        <v>42</v>
      </c>
      <c r="B10" s="4" t="s">
        <v>204</v>
      </c>
      <c r="C10" s="191" t="s">
        <v>16</v>
      </c>
      <c r="D10" s="267" t="s">
        <v>205</v>
      </c>
      <c r="E10" s="4" t="s">
        <v>207</v>
      </c>
      <c r="F10" s="4" t="s">
        <v>86</v>
      </c>
      <c r="G10" s="4" t="s">
        <v>91</v>
      </c>
      <c r="H10" s="4">
        <v>93104</v>
      </c>
      <c r="I10" s="4">
        <f t="shared" si="0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5" customHeight="1" x14ac:dyDescent="0.25">
      <c r="A11" s="4" t="s">
        <v>42</v>
      </c>
      <c r="B11" s="4" t="s">
        <v>204</v>
      </c>
      <c r="C11" s="191" t="s">
        <v>16</v>
      </c>
      <c r="D11" s="267" t="s">
        <v>205</v>
      </c>
      <c r="E11" s="4" t="s">
        <v>207</v>
      </c>
      <c r="F11" s="4" t="s">
        <v>86</v>
      </c>
      <c r="G11" s="4" t="s">
        <v>92</v>
      </c>
      <c r="H11" s="4">
        <v>93105</v>
      </c>
      <c r="I11" s="4">
        <f t="shared" si="0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" customHeight="1" x14ac:dyDescent="0.25">
      <c r="A12" s="4" t="s">
        <v>42</v>
      </c>
      <c r="B12" s="4" t="s">
        <v>204</v>
      </c>
      <c r="C12" s="191" t="s">
        <v>16</v>
      </c>
      <c r="D12" s="267" t="s">
        <v>205</v>
      </c>
      <c r="E12" s="4" t="s">
        <v>207</v>
      </c>
      <c r="F12" s="4" t="s">
        <v>86</v>
      </c>
      <c r="G12" s="4" t="s">
        <v>93</v>
      </c>
      <c r="H12" s="4">
        <v>93106</v>
      </c>
      <c r="I12" s="4">
        <f t="shared" si="0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" customHeight="1" x14ac:dyDescent="0.25">
      <c r="A13" s="4" t="s">
        <v>42</v>
      </c>
      <c r="B13" s="4" t="s">
        <v>204</v>
      </c>
      <c r="C13" s="191" t="s">
        <v>16</v>
      </c>
      <c r="D13" s="267" t="s">
        <v>205</v>
      </c>
      <c r="E13" s="4" t="s">
        <v>207</v>
      </c>
      <c r="F13" s="4" t="s">
        <v>94</v>
      </c>
      <c r="G13" s="4" t="s">
        <v>95</v>
      </c>
      <c r="H13" s="4">
        <v>93201</v>
      </c>
      <c r="I13" s="4">
        <f t="shared" si="0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 x14ac:dyDescent="0.25">
      <c r="A14" s="4" t="s">
        <v>42</v>
      </c>
      <c r="B14" s="4" t="s">
        <v>204</v>
      </c>
      <c r="C14" s="191" t="s">
        <v>16</v>
      </c>
      <c r="D14" s="267" t="s">
        <v>205</v>
      </c>
      <c r="E14" s="4" t="s">
        <v>207</v>
      </c>
      <c r="F14" s="4" t="s">
        <v>94</v>
      </c>
      <c r="G14" s="4" t="s">
        <v>99</v>
      </c>
      <c r="H14" s="4">
        <v>93204</v>
      </c>
      <c r="I14" s="4">
        <f t="shared" si="0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 x14ac:dyDescent="0.25">
      <c r="A15" s="4" t="s">
        <v>42</v>
      </c>
      <c r="B15" s="4" t="s">
        <v>204</v>
      </c>
      <c r="C15" s="191" t="s">
        <v>16</v>
      </c>
      <c r="D15" s="267" t="s">
        <v>205</v>
      </c>
      <c r="E15" s="4" t="s">
        <v>207</v>
      </c>
      <c r="F15" s="4" t="s">
        <v>100</v>
      </c>
      <c r="G15" s="4" t="s">
        <v>101</v>
      </c>
      <c r="H15" s="4">
        <v>93301</v>
      </c>
      <c r="I15" s="4">
        <f t="shared" si="0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 x14ac:dyDescent="0.25">
      <c r="A16" s="4" t="s">
        <v>42</v>
      </c>
      <c r="B16" s="4" t="s">
        <v>204</v>
      </c>
      <c r="C16" s="191" t="s">
        <v>16</v>
      </c>
      <c r="D16" s="267" t="s">
        <v>205</v>
      </c>
      <c r="E16" s="4" t="s">
        <v>207</v>
      </c>
      <c r="F16" s="4" t="s">
        <v>100</v>
      </c>
      <c r="G16" s="4" t="s">
        <v>103</v>
      </c>
      <c r="H16" s="4">
        <v>93302</v>
      </c>
      <c r="I16" s="4">
        <f t="shared" si="0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" customHeight="1" x14ac:dyDescent="0.25">
      <c r="A17" s="4" t="s">
        <v>42</v>
      </c>
      <c r="B17" s="4" t="s">
        <v>204</v>
      </c>
      <c r="C17" s="191" t="s">
        <v>16</v>
      </c>
      <c r="D17" s="267" t="s">
        <v>205</v>
      </c>
      <c r="E17" s="4" t="s">
        <v>207</v>
      </c>
      <c r="F17" s="4" t="s">
        <v>100</v>
      </c>
      <c r="G17" s="4" t="s">
        <v>104</v>
      </c>
      <c r="H17" s="4">
        <v>93303</v>
      </c>
      <c r="I17" s="4">
        <f t="shared" si="0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 x14ac:dyDescent="0.25">
      <c r="A18" s="4" t="s">
        <v>42</v>
      </c>
      <c r="B18" s="4" t="s">
        <v>204</v>
      </c>
      <c r="C18" s="191" t="s">
        <v>16</v>
      </c>
      <c r="D18" s="267" t="s">
        <v>205</v>
      </c>
      <c r="E18" s="4" t="s">
        <v>207</v>
      </c>
      <c r="F18" s="4" t="s">
        <v>105</v>
      </c>
      <c r="G18" s="4" t="s">
        <v>110</v>
      </c>
      <c r="H18" s="4">
        <v>93401</v>
      </c>
      <c r="I18" s="4">
        <f t="shared" si="0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 x14ac:dyDescent="0.25">
      <c r="A19" s="4" t="s">
        <v>42</v>
      </c>
      <c r="B19" s="4" t="s">
        <v>204</v>
      </c>
      <c r="C19" s="191" t="s">
        <v>16</v>
      </c>
      <c r="D19" s="267" t="s">
        <v>205</v>
      </c>
      <c r="E19" s="4" t="s">
        <v>207</v>
      </c>
      <c r="F19" s="4" t="s">
        <v>105</v>
      </c>
      <c r="G19" s="4" t="s">
        <v>113</v>
      </c>
      <c r="H19" s="4">
        <v>93404</v>
      </c>
      <c r="I19" s="4">
        <f t="shared" si="0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 x14ac:dyDescent="0.25">
      <c r="A20" s="4" t="s">
        <v>42</v>
      </c>
      <c r="B20" s="4" t="s">
        <v>204</v>
      </c>
      <c r="C20" s="191" t="s">
        <v>16</v>
      </c>
      <c r="D20" s="267" t="s">
        <v>205</v>
      </c>
      <c r="E20" s="4" t="s">
        <v>207</v>
      </c>
      <c r="F20" s="4" t="s">
        <v>105</v>
      </c>
      <c r="G20" s="4" t="s">
        <v>114</v>
      </c>
      <c r="H20" s="4">
        <v>93405</v>
      </c>
      <c r="I20" s="4">
        <f t="shared" si="0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 x14ac:dyDescent="0.25">
      <c r="A21" s="4" t="s">
        <v>42</v>
      </c>
      <c r="B21" s="4" t="s">
        <v>204</v>
      </c>
      <c r="C21" s="191" t="s">
        <v>16</v>
      </c>
      <c r="D21" s="267" t="s">
        <v>205</v>
      </c>
      <c r="E21" s="4" t="s">
        <v>208</v>
      </c>
      <c r="F21" s="4" t="s">
        <v>126</v>
      </c>
      <c r="G21" s="4" t="s">
        <v>134</v>
      </c>
      <c r="H21" s="4">
        <v>93703</v>
      </c>
      <c r="I21" s="4">
        <f t="shared" si="0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 x14ac:dyDescent="0.25">
      <c r="A22" s="4" t="s">
        <v>42</v>
      </c>
      <c r="B22" s="4" t="s">
        <v>204</v>
      </c>
      <c r="C22" s="191" t="s">
        <v>16</v>
      </c>
      <c r="D22" s="191" t="s">
        <v>209</v>
      </c>
      <c r="E22" s="4" t="s">
        <v>135</v>
      </c>
      <c r="F22" s="4" t="s">
        <v>135</v>
      </c>
      <c r="G22" s="4" t="s">
        <v>138</v>
      </c>
      <c r="H22" s="4">
        <v>11301</v>
      </c>
      <c r="I22" s="4">
        <f t="shared" si="0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3">
      <c r="A23" s="170"/>
      <c r="B23" s="170"/>
      <c r="C23" s="170"/>
      <c r="D23" s="170"/>
      <c r="E23" s="170"/>
      <c r="F23" s="170"/>
      <c r="G23" s="170"/>
      <c r="H23" s="170" t="s">
        <v>168</v>
      </c>
      <c r="I23" s="269">
        <f t="shared" ref="I23:U23" si="1">SUM(I3:I22)</f>
        <v>2861160</v>
      </c>
      <c r="J23" s="269">
        <f t="shared" si="1"/>
        <v>138430</v>
      </c>
      <c r="K23" s="269">
        <f t="shared" si="1"/>
        <v>138430</v>
      </c>
      <c r="L23" s="269">
        <f t="shared" si="1"/>
        <v>213430</v>
      </c>
      <c r="M23" s="269">
        <f t="shared" si="1"/>
        <v>213430</v>
      </c>
      <c r="N23" s="269">
        <f t="shared" si="1"/>
        <v>213430</v>
      </c>
      <c r="O23" s="269">
        <f t="shared" si="1"/>
        <v>213430</v>
      </c>
      <c r="P23" s="269">
        <f t="shared" si="1"/>
        <v>288430</v>
      </c>
      <c r="Q23" s="269">
        <f t="shared" si="1"/>
        <v>288430</v>
      </c>
      <c r="R23" s="269">
        <f t="shared" si="1"/>
        <v>288430</v>
      </c>
      <c r="S23" s="269">
        <f t="shared" si="1"/>
        <v>288430</v>
      </c>
      <c r="T23" s="269">
        <f t="shared" si="1"/>
        <v>288430</v>
      </c>
      <c r="U23" s="269">
        <f t="shared" si="1"/>
        <v>288430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46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" customHeight="1" x14ac:dyDescent="0.25"/>
  <cols>
    <col min="1" max="1" width="8" customWidth="1"/>
    <col min="2" max="2" width="7.08984375" customWidth="1"/>
    <col min="3" max="3" width="13" customWidth="1"/>
    <col min="4" max="4" width="27.36328125" customWidth="1"/>
    <col min="5" max="5" width="14.6328125" customWidth="1"/>
    <col min="6" max="6" width="28.08984375" customWidth="1"/>
    <col min="7" max="7" width="33.36328125" customWidth="1"/>
  </cols>
  <sheetData>
    <row r="1" spans="1:24" ht="27" customHeight="1" x14ac:dyDescent="0.25">
      <c r="A1" s="124" t="s">
        <v>4</v>
      </c>
      <c r="B1" s="23" t="s">
        <v>130</v>
      </c>
      <c r="C1" s="23" t="s">
        <v>131</v>
      </c>
      <c r="D1" s="19" t="s">
        <v>132</v>
      </c>
      <c r="E1" s="23" t="s">
        <v>133</v>
      </c>
      <c r="F1" s="19" t="s">
        <v>8</v>
      </c>
      <c r="G1" s="23" t="s">
        <v>10</v>
      </c>
      <c r="H1" s="23" t="s">
        <v>12</v>
      </c>
      <c r="I1" s="7" t="s">
        <v>2</v>
      </c>
      <c r="J1" s="8">
        <v>46023</v>
      </c>
      <c r="K1" s="8">
        <v>46054</v>
      </c>
      <c r="L1" s="8">
        <v>46082</v>
      </c>
      <c r="M1" s="8">
        <v>46113</v>
      </c>
      <c r="N1" s="8">
        <v>46143</v>
      </c>
      <c r="O1" s="8">
        <v>46174</v>
      </c>
      <c r="P1" s="8">
        <v>46204</v>
      </c>
      <c r="Q1" s="8">
        <v>46235</v>
      </c>
      <c r="R1" s="8">
        <v>46266</v>
      </c>
      <c r="S1" s="8">
        <v>46296</v>
      </c>
      <c r="T1" s="8">
        <v>46327</v>
      </c>
      <c r="U1" s="8">
        <v>46357</v>
      </c>
      <c r="V1" s="273"/>
      <c r="W1" s="273"/>
      <c r="X1" s="128"/>
    </row>
    <row r="2" spans="1:24" ht="15.75" customHeight="1" x14ac:dyDescent="0.85">
      <c r="A2" s="130"/>
      <c r="B2" s="131"/>
      <c r="C2" s="131"/>
      <c r="D2" s="131"/>
      <c r="E2" s="131"/>
      <c r="F2" s="131"/>
      <c r="G2" s="131"/>
      <c r="H2" s="5"/>
      <c r="I2" s="20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22" t="s">
        <v>9</v>
      </c>
      <c r="S2" s="22" t="s">
        <v>9</v>
      </c>
      <c r="T2" s="22" t="s">
        <v>9</v>
      </c>
      <c r="U2" s="22" t="s">
        <v>9</v>
      </c>
      <c r="V2" s="274"/>
      <c r="W2" s="274"/>
    </row>
    <row r="3" spans="1:24" ht="15.75" customHeight="1" x14ac:dyDescent="0.25">
      <c r="A3" s="137" t="str">
        <f ca="1">IFERROR(__xludf.DUMMYFUNCTION("importrange(""https://docs.google.com/spreadsheets/d/1Clq-Icsz5xw9FO2t6n4tkuHY-j2QyNCDBsZt_H6_EVk/edit?gid=1674898821#"",""Summary!A3:V23"")"),"Indonesia")</f>
        <v>Indonesia</v>
      </c>
      <c r="B3" s="81" t="str">
        <f ca="1">IFERROR(__xludf.DUMMYFUNCTION("""COMPUTED_VALUE"""),"YNHI")</f>
        <v>YNHI</v>
      </c>
      <c r="C3" s="139" t="str">
        <f ca="1">IFERROR(__xludf.DUMMYFUNCTION("""COMPUTED_VALUE"""),"Digital Product")</f>
        <v>Digital Product</v>
      </c>
      <c r="D3" s="139" t="str">
        <f ca="1">IFERROR(__xludf.DUMMYFUNCTION("""COMPUTED_VALUE"""),"Country Product")</f>
        <v>Country Product</v>
      </c>
      <c r="E3" s="139" t="str">
        <f ca="1">IFERROR(__xludf.DUMMYFUNCTION("""COMPUTED_VALUE"""),"Payroll Cost")</f>
        <v>Payroll Cost</v>
      </c>
      <c r="F3" s="139" t="str">
        <f ca="1">IFERROR(__xludf.DUMMYFUNCTION("""COMPUTED_VALUE"""),"Salaries and Wages")</f>
        <v>Salaries and Wages</v>
      </c>
      <c r="G3" s="139" t="str">
        <f ca="1">IFERROR(__xludf.DUMMYFUNCTION("""COMPUTED_VALUE"""),"Salaries and Wages")</f>
        <v>Salaries and Wages</v>
      </c>
      <c r="H3" s="141" t="str">
        <f ca="1">IFERROR(__xludf.DUMMYFUNCTION("""COMPUTED_VALUE"""),"91101-91107")</f>
        <v>91101-91107</v>
      </c>
      <c r="I3" s="140">
        <f ca="1">IFERROR(__xludf.DUMMYFUNCTION("""COMPUTED_VALUE"""),1493996046)</f>
        <v>1493996046</v>
      </c>
      <c r="J3" s="140">
        <f ca="1">IFERROR(__xludf.DUMMYFUNCTION("""COMPUTED_VALUE"""),41305816)</f>
        <v>41305816</v>
      </c>
      <c r="K3" s="140">
        <f ca="1">IFERROR(__xludf.DUMMYFUNCTION("""COMPUTED_VALUE"""),65126640)</f>
        <v>65126640</v>
      </c>
      <c r="L3" s="140">
        <f ca="1">IFERROR(__xludf.DUMMYFUNCTION("""COMPUTED_VALUE"""),49190727)</f>
        <v>49190727</v>
      </c>
      <c r="M3" s="143">
        <f ca="1">IFERROR(__xludf.DUMMYFUNCTION("""COMPUTED_VALUE"""),125491607)</f>
        <v>125491607</v>
      </c>
      <c r="N3" s="140">
        <f ca="1">IFERROR(__xludf.DUMMYFUNCTION("""COMPUTED_VALUE"""),136956567)</f>
        <v>136956567</v>
      </c>
      <c r="O3" s="140">
        <f ca="1">IFERROR(__xludf.DUMMYFUNCTION("""COMPUTED_VALUE"""),153703527)</f>
        <v>153703527</v>
      </c>
      <c r="P3" s="140">
        <f ca="1">IFERROR(__xludf.DUMMYFUNCTION("""COMPUTED_VALUE"""),153703527)</f>
        <v>153703527</v>
      </c>
      <c r="Q3" s="140">
        <f ca="1">IFERROR(__xludf.DUMMYFUNCTION("""COMPUTED_VALUE"""),153703527)</f>
        <v>153703527</v>
      </c>
      <c r="R3" s="140">
        <f ca="1">IFERROR(__xludf.DUMMYFUNCTION("""COMPUTED_VALUE"""),153703527)</f>
        <v>153703527</v>
      </c>
      <c r="S3" s="140">
        <f ca="1">IFERROR(__xludf.DUMMYFUNCTION("""COMPUTED_VALUE"""),153703527)</f>
        <v>153703527</v>
      </c>
      <c r="T3" s="140">
        <f ca="1">IFERROR(__xludf.DUMMYFUNCTION("""COMPUTED_VALUE"""),153703527)</f>
        <v>153703527</v>
      </c>
      <c r="U3" s="140">
        <f ca="1">IFERROR(__xludf.DUMMYFUNCTION("""COMPUTED_VALUE"""),153703527)</f>
        <v>153703527</v>
      </c>
      <c r="V3" s="100"/>
      <c r="W3" s="100"/>
    </row>
    <row r="4" spans="1:24" ht="12.5" x14ac:dyDescent="0.25">
      <c r="A4" s="81" t="str">
        <f ca="1">IFERROR(__xludf.DUMMYFUNCTION("""COMPUTED_VALUE"""),"Indonesia")</f>
        <v>Indonesia</v>
      </c>
      <c r="B4" s="81" t="str">
        <f ca="1">IFERROR(__xludf.DUMMYFUNCTION("""COMPUTED_VALUE"""),"YNHI")</f>
        <v>YNHI</v>
      </c>
      <c r="C4" s="139" t="str">
        <f ca="1">IFERROR(__xludf.DUMMYFUNCTION("""COMPUTED_VALUE"""),"Digital Product")</f>
        <v>Digital Product</v>
      </c>
      <c r="D4" s="139" t="str">
        <f ca="1">IFERROR(__xludf.DUMMYFUNCTION("""COMPUTED_VALUE"""),"Country Product")</f>
        <v>Country Product</v>
      </c>
      <c r="E4" s="139" t="str">
        <f ca="1">IFERROR(__xludf.DUMMYFUNCTION("""COMPUTED_VALUE"""),"Payroll Cost")</f>
        <v>Payroll Cost</v>
      </c>
      <c r="F4" s="139" t="str">
        <f ca="1">IFERROR(__xludf.DUMMYFUNCTION("""COMPUTED_VALUE"""),"Health and Retirement Benefits")</f>
        <v>Health and Retirement Benefits</v>
      </c>
      <c r="G4" s="139" t="str">
        <f ca="1">IFERROR(__xludf.DUMMYFUNCTION("""COMPUTED_VALUE"""),"Gratuity &amp; Bonus")</f>
        <v>Gratuity &amp; Bonus</v>
      </c>
      <c r="H4" s="141" t="str">
        <f ca="1">IFERROR(__xludf.DUMMYFUNCTION("""COMPUTED_VALUE"""),"91201-91207")</f>
        <v>91201-91207</v>
      </c>
      <c r="I4" s="140">
        <f ca="1">IFERROR(__xludf.DUMMYFUNCTION("""COMPUTED_VALUE"""),0)</f>
        <v>0</v>
      </c>
      <c r="J4" s="140">
        <f ca="1">IFERROR(__xludf.DUMMYFUNCTION("""COMPUTED_VALUE"""),0)</f>
        <v>0</v>
      </c>
      <c r="K4" s="140">
        <f ca="1">IFERROR(__xludf.DUMMYFUNCTION("""COMPUTED_VALUE"""),0)</f>
        <v>0</v>
      </c>
      <c r="L4" s="140">
        <f ca="1">IFERROR(__xludf.DUMMYFUNCTION("""COMPUTED_VALUE"""),0)</f>
        <v>0</v>
      </c>
      <c r="M4" s="143">
        <f ca="1">IFERROR(__xludf.DUMMYFUNCTION("""COMPUTED_VALUE"""),0)</f>
        <v>0</v>
      </c>
      <c r="N4" s="140">
        <f ca="1">IFERROR(__xludf.DUMMYFUNCTION("""COMPUTED_VALUE"""),0)</f>
        <v>0</v>
      </c>
      <c r="O4" s="140">
        <f ca="1">IFERROR(__xludf.DUMMYFUNCTION("""COMPUTED_VALUE"""),0)</f>
        <v>0</v>
      </c>
      <c r="P4" s="140">
        <f ca="1">IFERROR(__xludf.DUMMYFUNCTION("""COMPUTED_VALUE"""),0)</f>
        <v>0</v>
      </c>
      <c r="Q4" s="140">
        <f ca="1">IFERROR(__xludf.DUMMYFUNCTION("""COMPUTED_VALUE"""),0)</f>
        <v>0</v>
      </c>
      <c r="R4" s="140">
        <f ca="1">IFERROR(__xludf.DUMMYFUNCTION("""COMPUTED_VALUE"""),0)</f>
        <v>0</v>
      </c>
      <c r="S4" s="140">
        <f ca="1">IFERROR(__xludf.DUMMYFUNCTION("""COMPUTED_VALUE"""),0)</f>
        <v>0</v>
      </c>
      <c r="T4" s="140">
        <f ca="1">IFERROR(__xludf.DUMMYFUNCTION("""COMPUTED_VALUE"""),0)</f>
        <v>0</v>
      </c>
      <c r="U4" s="140">
        <f ca="1">IFERROR(__xludf.DUMMYFUNCTION("""COMPUTED_VALUE"""),0)</f>
        <v>0</v>
      </c>
      <c r="V4" s="69"/>
    </row>
    <row r="5" spans="1:24" ht="12.5" x14ac:dyDescent="0.25">
      <c r="A5" s="81" t="str">
        <f ca="1">IFERROR(__xludf.DUMMYFUNCTION("""COMPUTED_VALUE"""),"Indonesia")</f>
        <v>Indonesia</v>
      </c>
      <c r="B5" s="81" t="str">
        <f ca="1">IFERROR(__xludf.DUMMYFUNCTION("""COMPUTED_VALUE"""),"YNHI")</f>
        <v>YNHI</v>
      </c>
      <c r="C5" s="139" t="str">
        <f ca="1">IFERROR(__xludf.DUMMYFUNCTION("""COMPUTED_VALUE"""),"Digital Product")</f>
        <v>Digital Product</v>
      </c>
      <c r="D5" s="139" t="str">
        <f ca="1">IFERROR(__xludf.DUMMYFUNCTION("""COMPUTED_VALUE"""),"Country Product")</f>
        <v>Country Product</v>
      </c>
      <c r="E5" s="139" t="str">
        <f ca="1">IFERROR(__xludf.DUMMYFUNCTION("""COMPUTED_VALUE"""),"Payroll Cost")</f>
        <v>Payroll Cost</v>
      </c>
      <c r="F5" s="139" t="str">
        <f ca="1">IFERROR(__xludf.DUMMYFUNCTION("""COMPUTED_VALUE"""),"Other Staff Expenses")</f>
        <v>Other Staff Expenses</v>
      </c>
      <c r="G5" s="139" t="str">
        <f ca="1">IFERROR(__xludf.DUMMYFUNCTION("""COMPUTED_VALUE"""),"Staff Training, Learning &amp; Development Exp")</f>
        <v>Staff Training, Learning &amp; Development Exp</v>
      </c>
      <c r="H5" s="152">
        <f ca="1">IFERROR(__xludf.DUMMYFUNCTION("""COMPUTED_VALUE"""),91302)</f>
        <v>91302</v>
      </c>
      <c r="I5" s="140">
        <f ca="1">IFERROR(__xludf.DUMMYFUNCTION("""COMPUTED_VALUE"""),0)</f>
        <v>0</v>
      </c>
      <c r="J5" s="140">
        <f ca="1">IFERROR(__xludf.DUMMYFUNCTION("""COMPUTED_VALUE"""),0)</f>
        <v>0</v>
      </c>
      <c r="K5" s="140">
        <f ca="1">IFERROR(__xludf.DUMMYFUNCTION("""COMPUTED_VALUE"""),0)</f>
        <v>0</v>
      </c>
      <c r="L5" s="140">
        <f ca="1">IFERROR(__xludf.DUMMYFUNCTION("""COMPUTED_VALUE"""),0)</f>
        <v>0</v>
      </c>
      <c r="M5" s="143">
        <f ca="1">IFERROR(__xludf.DUMMYFUNCTION("""COMPUTED_VALUE"""),0)</f>
        <v>0</v>
      </c>
      <c r="N5" s="140">
        <f ca="1">IFERROR(__xludf.DUMMYFUNCTION("""COMPUTED_VALUE"""),0)</f>
        <v>0</v>
      </c>
      <c r="O5" s="140">
        <f ca="1">IFERROR(__xludf.DUMMYFUNCTION("""COMPUTED_VALUE"""),0)</f>
        <v>0</v>
      </c>
      <c r="P5" s="140">
        <f ca="1">IFERROR(__xludf.DUMMYFUNCTION("""COMPUTED_VALUE"""),0)</f>
        <v>0</v>
      </c>
      <c r="Q5" s="140">
        <f ca="1">IFERROR(__xludf.DUMMYFUNCTION("""COMPUTED_VALUE"""),0)</f>
        <v>0</v>
      </c>
      <c r="R5" s="140">
        <f ca="1">IFERROR(__xludf.DUMMYFUNCTION("""COMPUTED_VALUE"""),0)</f>
        <v>0</v>
      </c>
      <c r="S5" s="140">
        <f ca="1">IFERROR(__xludf.DUMMYFUNCTION("""COMPUTED_VALUE"""),0)</f>
        <v>0</v>
      </c>
      <c r="T5" s="140">
        <f ca="1">IFERROR(__xludf.DUMMYFUNCTION("""COMPUTED_VALUE"""),0)</f>
        <v>0</v>
      </c>
      <c r="U5" s="140">
        <f ca="1">IFERROR(__xludf.DUMMYFUNCTION("""COMPUTED_VALUE"""),0)</f>
        <v>0</v>
      </c>
      <c r="V5" s="69"/>
    </row>
    <row r="6" spans="1:24" ht="12.5" x14ac:dyDescent="0.25">
      <c r="A6" s="81" t="str">
        <f ca="1">IFERROR(__xludf.DUMMYFUNCTION("""COMPUTED_VALUE"""),"Indonesia")</f>
        <v>Indonesia</v>
      </c>
      <c r="B6" s="81" t="str">
        <f ca="1">IFERROR(__xludf.DUMMYFUNCTION("""COMPUTED_VALUE"""),"YNHI")</f>
        <v>YNHI</v>
      </c>
      <c r="C6" s="139" t="str">
        <f ca="1">IFERROR(__xludf.DUMMYFUNCTION("""COMPUTED_VALUE"""),"Digital Product")</f>
        <v>Digital Product</v>
      </c>
      <c r="D6" s="139" t="str">
        <f ca="1">IFERROR(__xludf.DUMMYFUNCTION("""COMPUTED_VALUE"""),"Country Product")</f>
        <v>Country Product</v>
      </c>
      <c r="E6" s="81" t="str">
        <f ca="1">IFERROR(__xludf.DUMMYFUNCTION("""COMPUTED_VALUE"""),"Direct Consultants")</f>
        <v>Direct Consultants</v>
      </c>
      <c r="F6" s="81" t="str">
        <f ca="1">IFERROR(__xludf.DUMMYFUNCTION("""COMPUTED_VALUE"""),"Resource Persons")</f>
        <v>Resource Persons</v>
      </c>
      <c r="G6" s="81" t="str">
        <f ca="1">IFERROR(__xludf.DUMMYFUNCTION("""COMPUTED_VALUE"""),"Program Resource Consultant (EHA)")</f>
        <v>Program Resource Consultant (EHA)</v>
      </c>
      <c r="H6" s="35">
        <f ca="1">IFERROR(__xludf.DUMMYFUNCTION("""COMPUTED_VALUE"""),92101)</f>
        <v>92101</v>
      </c>
      <c r="I6" s="140">
        <f ca="1">IFERROR(__xludf.DUMMYFUNCTION("""COMPUTED_VALUE"""),1249960000)</f>
        <v>1249960000</v>
      </c>
      <c r="J6" s="140">
        <f ca="1">IFERROR(__xludf.DUMMYFUNCTION("""COMPUTED_VALUE"""),57220000)</f>
        <v>57220000</v>
      </c>
      <c r="K6" s="140">
        <f ca="1">IFERROR(__xludf.DUMMYFUNCTION("""COMPUTED_VALUE"""),72040000)</f>
        <v>72040000</v>
      </c>
      <c r="L6" s="140">
        <f ca="1">IFERROR(__xludf.DUMMYFUNCTION("""COMPUTED_VALUE"""),73740000)</f>
        <v>73740000</v>
      </c>
      <c r="M6" s="143">
        <f ca="1">IFERROR(__xludf.DUMMYFUNCTION("""COMPUTED_VALUE"""),93740000)</f>
        <v>93740000</v>
      </c>
      <c r="N6" s="140">
        <f ca="1">IFERROR(__xludf.DUMMYFUNCTION("""COMPUTED_VALUE"""),93740000)</f>
        <v>93740000</v>
      </c>
      <c r="O6" s="140">
        <f ca="1">IFERROR(__xludf.DUMMYFUNCTION("""COMPUTED_VALUE"""),113740000)</f>
        <v>113740000</v>
      </c>
      <c r="P6" s="140">
        <f ca="1">IFERROR(__xludf.DUMMYFUNCTION("""COMPUTED_VALUE"""),114690000)</f>
        <v>114690000</v>
      </c>
      <c r="Q6" s="140">
        <f ca="1">IFERROR(__xludf.DUMMYFUNCTION("""COMPUTED_VALUE"""),124690000)</f>
        <v>124690000</v>
      </c>
      <c r="R6" s="140">
        <f ca="1">IFERROR(__xludf.DUMMYFUNCTION("""COMPUTED_VALUE"""),126590000)</f>
        <v>126590000</v>
      </c>
      <c r="S6" s="140">
        <f ca="1">IFERROR(__xludf.DUMMYFUNCTION("""COMPUTED_VALUE"""),126590000)</f>
        <v>126590000</v>
      </c>
      <c r="T6" s="140">
        <f ca="1">IFERROR(__xludf.DUMMYFUNCTION("""COMPUTED_VALUE"""),126590000)</f>
        <v>126590000</v>
      </c>
      <c r="U6" s="140">
        <f ca="1">IFERROR(__xludf.DUMMYFUNCTION("""COMPUTED_VALUE"""),126590000)</f>
        <v>126590000</v>
      </c>
      <c r="V6" s="69"/>
    </row>
    <row r="7" spans="1:24" ht="12.5" x14ac:dyDescent="0.25">
      <c r="A7" s="81" t="str">
        <f ca="1">IFERROR(__xludf.DUMMYFUNCTION("""COMPUTED_VALUE"""),"Indonesia")</f>
        <v>Indonesia</v>
      </c>
      <c r="B7" s="81" t="str">
        <f ca="1">IFERROR(__xludf.DUMMYFUNCTION("""COMPUTED_VALUE"""),"YNHI")</f>
        <v>YNHI</v>
      </c>
      <c r="C7" s="139" t="str">
        <f ca="1">IFERROR(__xludf.DUMMYFUNCTION("""COMPUTED_VALUE"""),"Digital Product")</f>
        <v>Digital Product</v>
      </c>
      <c r="D7" s="81" t="str">
        <f ca="1">IFERROR(__xludf.DUMMYFUNCTION("""COMPUTED_VALUE"""),"Country Product")</f>
        <v>Country Product</v>
      </c>
      <c r="E7" s="81" t="str">
        <f ca="1">IFERROR(__xludf.DUMMYFUNCTION("""COMPUTED_VALUE"""),"Direct Cost")</f>
        <v>Direct Cost</v>
      </c>
      <c r="F7" s="81" t="str">
        <f ca="1">IFERROR(__xludf.DUMMYFUNCTION("""COMPUTED_VALUE"""),"Travel &amp; Lodging Expenses")</f>
        <v>Travel &amp; Lodging Expenses</v>
      </c>
      <c r="G7" s="81" t="str">
        <f ca="1">IFERROR(__xludf.DUMMYFUNCTION("""COMPUTED_VALUE"""),"Hotel Accomodation")</f>
        <v>Hotel Accomodation</v>
      </c>
      <c r="H7" s="35">
        <f ca="1">IFERROR(__xludf.DUMMYFUNCTION("""COMPUTED_VALUE"""),93101)</f>
        <v>93101</v>
      </c>
      <c r="I7" s="140">
        <f ca="1">IFERROR(__xludf.DUMMYFUNCTION("""COMPUTED_VALUE"""),51350000)</f>
        <v>51350000</v>
      </c>
      <c r="J7" s="140">
        <f ca="1">IFERROR(__xludf.DUMMYFUNCTION("""COMPUTED_VALUE"""),5200000)</f>
        <v>5200000</v>
      </c>
      <c r="K7" s="140">
        <f ca="1">IFERROR(__xludf.DUMMYFUNCTION("""COMPUTED_VALUE"""),4550000)</f>
        <v>4550000</v>
      </c>
      <c r="L7" s="140">
        <f ca="1">IFERROR(__xludf.DUMMYFUNCTION("""COMPUTED_VALUE"""),0)</f>
        <v>0</v>
      </c>
      <c r="M7" s="143">
        <f ca="1">IFERROR(__xludf.DUMMYFUNCTION("""COMPUTED_VALUE"""),0)</f>
        <v>0</v>
      </c>
      <c r="N7" s="140">
        <f ca="1">IFERROR(__xludf.DUMMYFUNCTION("""COMPUTED_VALUE"""),2600000)</f>
        <v>2600000</v>
      </c>
      <c r="O7" s="140">
        <f ca="1">IFERROR(__xludf.DUMMYFUNCTION("""COMPUTED_VALUE"""),2600000)</f>
        <v>2600000</v>
      </c>
      <c r="P7" s="140">
        <f ca="1">IFERROR(__xludf.DUMMYFUNCTION("""COMPUTED_VALUE"""),5200000)</f>
        <v>5200000</v>
      </c>
      <c r="Q7" s="140">
        <f ca="1">IFERROR(__xludf.DUMMYFUNCTION("""COMPUTED_VALUE"""),2600000)</f>
        <v>2600000</v>
      </c>
      <c r="R7" s="140">
        <f ca="1">IFERROR(__xludf.DUMMYFUNCTION("""COMPUTED_VALUE"""),5200000)</f>
        <v>5200000</v>
      </c>
      <c r="S7" s="140">
        <f ca="1">IFERROR(__xludf.DUMMYFUNCTION("""COMPUTED_VALUE"""),7800000)</f>
        <v>7800000</v>
      </c>
      <c r="T7" s="140">
        <f ca="1">IFERROR(__xludf.DUMMYFUNCTION("""COMPUTED_VALUE"""),7800000)</f>
        <v>7800000</v>
      </c>
      <c r="U7" s="140">
        <f ca="1">IFERROR(__xludf.DUMMYFUNCTION("""COMPUTED_VALUE"""),7800000)</f>
        <v>7800000</v>
      </c>
      <c r="V7" s="69"/>
    </row>
    <row r="8" spans="1:24" ht="12.5" x14ac:dyDescent="0.25">
      <c r="A8" s="81" t="str">
        <f ca="1">IFERROR(__xludf.DUMMYFUNCTION("""COMPUTED_VALUE"""),"Indonesia")</f>
        <v>Indonesia</v>
      </c>
      <c r="B8" s="81" t="str">
        <f ca="1">IFERROR(__xludf.DUMMYFUNCTION("""COMPUTED_VALUE"""),"YNHI")</f>
        <v>YNHI</v>
      </c>
      <c r="C8" s="139" t="str">
        <f ca="1">IFERROR(__xludf.DUMMYFUNCTION("""COMPUTED_VALUE"""),"Digital Product")</f>
        <v>Digital Product</v>
      </c>
      <c r="D8" s="81" t="str">
        <f ca="1">IFERROR(__xludf.DUMMYFUNCTION("""COMPUTED_VALUE"""),"Country Product")</f>
        <v>Country Product</v>
      </c>
      <c r="E8" s="81" t="str">
        <f ca="1">IFERROR(__xludf.DUMMYFUNCTION("""COMPUTED_VALUE"""),"Direct Cost")</f>
        <v>Direct Cost</v>
      </c>
      <c r="F8" s="81" t="str">
        <f ca="1">IFERROR(__xludf.DUMMYFUNCTION("""COMPUTED_VALUE"""),"Travel &amp; Lodging Expenses")</f>
        <v>Travel &amp; Lodging Expenses</v>
      </c>
      <c r="G8" s="81" t="str">
        <f ca="1">IFERROR(__xludf.DUMMYFUNCTION("""COMPUTED_VALUE"""),"Food Expenses")</f>
        <v>Food Expenses</v>
      </c>
      <c r="H8" s="35">
        <f ca="1">IFERROR(__xludf.DUMMYFUNCTION("""COMPUTED_VALUE"""),93102)</f>
        <v>93102</v>
      </c>
      <c r="I8" s="140">
        <f ca="1">IFERROR(__xludf.DUMMYFUNCTION("""COMPUTED_VALUE"""),26100000)</f>
        <v>26100000</v>
      </c>
      <c r="J8" s="140">
        <f ca="1">IFERROR(__xludf.DUMMYFUNCTION("""COMPUTED_VALUE"""),3000000)</f>
        <v>3000000</v>
      </c>
      <c r="K8" s="140">
        <f ca="1">IFERROR(__xludf.DUMMYFUNCTION("""COMPUTED_VALUE"""),2100000)</f>
        <v>2100000</v>
      </c>
      <c r="L8" s="140">
        <f ca="1">IFERROR(__xludf.DUMMYFUNCTION("""COMPUTED_VALUE"""),600000)</f>
        <v>600000</v>
      </c>
      <c r="M8" s="143">
        <f ca="1">IFERROR(__xludf.DUMMYFUNCTION("""COMPUTED_VALUE"""),0)</f>
        <v>0</v>
      </c>
      <c r="N8" s="140">
        <f ca="1">IFERROR(__xludf.DUMMYFUNCTION("""COMPUTED_VALUE"""),1800000)</f>
        <v>1800000</v>
      </c>
      <c r="O8" s="140">
        <f ca="1">IFERROR(__xludf.DUMMYFUNCTION("""COMPUTED_VALUE"""),1200000)</f>
        <v>1200000</v>
      </c>
      <c r="P8" s="140">
        <f ca="1">IFERROR(__xludf.DUMMYFUNCTION("""COMPUTED_VALUE"""),3000000)</f>
        <v>3000000</v>
      </c>
      <c r="Q8" s="140">
        <f ca="1">IFERROR(__xludf.DUMMYFUNCTION("""COMPUTED_VALUE"""),1200000)</f>
        <v>1200000</v>
      </c>
      <c r="R8" s="140">
        <f ca="1">IFERROR(__xludf.DUMMYFUNCTION("""COMPUTED_VALUE"""),2400000)</f>
        <v>2400000</v>
      </c>
      <c r="S8" s="140">
        <f ca="1">IFERROR(__xludf.DUMMYFUNCTION("""COMPUTED_VALUE"""),3600000)</f>
        <v>3600000</v>
      </c>
      <c r="T8" s="140">
        <f ca="1">IFERROR(__xludf.DUMMYFUNCTION("""COMPUTED_VALUE"""),3600000)</f>
        <v>3600000</v>
      </c>
      <c r="U8" s="140">
        <f ca="1">IFERROR(__xludf.DUMMYFUNCTION("""COMPUTED_VALUE"""),3600000)</f>
        <v>3600000</v>
      </c>
      <c r="V8" s="69"/>
    </row>
    <row r="9" spans="1:24" ht="12.5" x14ac:dyDescent="0.25">
      <c r="A9" s="81" t="str">
        <f ca="1">IFERROR(__xludf.DUMMYFUNCTION("""COMPUTED_VALUE"""),"Indonesia")</f>
        <v>Indonesia</v>
      </c>
      <c r="B9" s="81" t="str">
        <f ca="1">IFERROR(__xludf.DUMMYFUNCTION("""COMPUTED_VALUE"""),"YNHI")</f>
        <v>YNHI</v>
      </c>
      <c r="C9" s="139" t="str">
        <f ca="1">IFERROR(__xludf.DUMMYFUNCTION("""COMPUTED_VALUE"""),"Digital Product")</f>
        <v>Digital Product</v>
      </c>
      <c r="D9" s="81" t="str">
        <f ca="1">IFERROR(__xludf.DUMMYFUNCTION("""COMPUTED_VALUE"""),"Country Product")</f>
        <v>Country Product</v>
      </c>
      <c r="E9" s="81" t="str">
        <f ca="1">IFERROR(__xludf.DUMMYFUNCTION("""COMPUTED_VALUE"""),"Direct Cost")</f>
        <v>Direct Cost</v>
      </c>
      <c r="F9" s="81" t="str">
        <f ca="1">IFERROR(__xludf.DUMMYFUNCTION("""COMPUTED_VALUE"""),"Travel &amp; Lodging Expenses")</f>
        <v>Travel &amp; Lodging Expenses</v>
      </c>
      <c r="G9" s="81" t="str">
        <f ca="1">IFERROR(__xludf.DUMMYFUNCTION("""COMPUTED_VALUE"""),"Air fare")</f>
        <v>Air fare</v>
      </c>
      <c r="H9" s="35">
        <f ca="1">IFERROR(__xludf.DUMMYFUNCTION("""COMPUTED_VALUE"""),93103)</f>
        <v>93103</v>
      </c>
      <c r="I9" s="140">
        <f ca="1">IFERROR(__xludf.DUMMYFUNCTION("""COMPUTED_VALUE"""),79748889)</f>
        <v>79748889</v>
      </c>
      <c r="J9" s="140">
        <f ca="1">IFERROR(__xludf.DUMMYFUNCTION("""COMPUTED_VALUE"""),6934686)</f>
        <v>6934686</v>
      </c>
      <c r="K9" s="140">
        <f ca="1">IFERROR(__xludf.DUMMYFUNCTION("""COMPUTED_VALUE"""),6934686)</f>
        <v>6934686</v>
      </c>
      <c r="L9" s="140">
        <f ca="1">IFERROR(__xludf.DUMMYFUNCTION("""COMPUTED_VALUE"""),0)</f>
        <v>0</v>
      </c>
      <c r="M9" s="143">
        <f ca="1">IFERROR(__xludf.DUMMYFUNCTION("""COMPUTED_VALUE"""),0)</f>
        <v>0</v>
      </c>
      <c r="N9" s="140">
        <f ca="1">IFERROR(__xludf.DUMMYFUNCTION("""COMPUTED_VALUE"""),3467343)</f>
        <v>3467343</v>
      </c>
      <c r="O9" s="140">
        <f ca="1">IFERROR(__xludf.DUMMYFUNCTION("""COMPUTED_VALUE"""),3467343)</f>
        <v>3467343</v>
      </c>
      <c r="P9" s="140">
        <f ca="1">IFERROR(__xludf.DUMMYFUNCTION("""COMPUTED_VALUE"""),6934686)</f>
        <v>6934686</v>
      </c>
      <c r="Q9" s="140">
        <f ca="1">IFERROR(__xludf.DUMMYFUNCTION("""COMPUTED_VALUE"""),3467343)</f>
        <v>3467343</v>
      </c>
      <c r="R9" s="140">
        <f ca="1">IFERROR(__xludf.DUMMYFUNCTION("""COMPUTED_VALUE"""),6934686)</f>
        <v>6934686</v>
      </c>
      <c r="S9" s="140">
        <f ca="1">IFERROR(__xludf.DUMMYFUNCTION("""COMPUTED_VALUE"""),13869372)</f>
        <v>13869372</v>
      </c>
      <c r="T9" s="140">
        <f ca="1">IFERROR(__xludf.DUMMYFUNCTION("""COMPUTED_VALUE"""),13869372)</f>
        <v>13869372</v>
      </c>
      <c r="U9" s="140">
        <f ca="1">IFERROR(__xludf.DUMMYFUNCTION("""COMPUTED_VALUE"""),13869372)</f>
        <v>13869372</v>
      </c>
      <c r="V9" s="69"/>
    </row>
    <row r="10" spans="1:24" ht="12.5" x14ac:dyDescent="0.25">
      <c r="A10" s="81" t="str">
        <f ca="1">IFERROR(__xludf.DUMMYFUNCTION("""COMPUTED_VALUE"""),"Indonesia")</f>
        <v>Indonesia</v>
      </c>
      <c r="B10" s="81" t="str">
        <f ca="1">IFERROR(__xludf.DUMMYFUNCTION("""COMPUTED_VALUE"""),"YNHI")</f>
        <v>YNHI</v>
      </c>
      <c r="C10" s="139" t="str">
        <f ca="1">IFERROR(__xludf.DUMMYFUNCTION("""COMPUTED_VALUE"""),"Digital Product")</f>
        <v>Digital Product</v>
      </c>
      <c r="D10" s="81" t="str">
        <f ca="1">IFERROR(__xludf.DUMMYFUNCTION("""COMPUTED_VALUE"""),"Country Product")</f>
        <v>Country Product</v>
      </c>
      <c r="E10" s="81" t="str">
        <f ca="1">IFERROR(__xludf.DUMMYFUNCTION("""COMPUTED_VALUE"""),"Direct Cost")</f>
        <v>Direct Cost</v>
      </c>
      <c r="F10" s="81" t="str">
        <f ca="1">IFERROR(__xludf.DUMMYFUNCTION("""COMPUTED_VALUE"""),"Travel &amp; Lodging Expenses")</f>
        <v>Travel &amp; Lodging Expenses</v>
      </c>
      <c r="G10" s="81" t="str">
        <f ca="1">IFERROR(__xludf.DUMMYFUNCTION("""COMPUTED_VALUE"""),"Cab/Auto")</f>
        <v>Cab/Auto</v>
      </c>
      <c r="H10" s="35">
        <f ca="1">IFERROR(__xludf.DUMMYFUNCTION("""COMPUTED_VALUE"""),93104)</f>
        <v>93104</v>
      </c>
      <c r="I10" s="140">
        <f ca="1">IFERROR(__xludf.DUMMYFUNCTION("""COMPUTED_VALUE"""),39150000)</f>
        <v>39150000</v>
      </c>
      <c r="J10" s="140">
        <f ca="1">IFERROR(__xludf.DUMMYFUNCTION("""COMPUTED_VALUE"""),4500000)</f>
        <v>4500000</v>
      </c>
      <c r="K10" s="140">
        <f ca="1">IFERROR(__xludf.DUMMYFUNCTION("""COMPUTED_VALUE"""),3150000)</f>
        <v>3150000</v>
      </c>
      <c r="L10" s="140">
        <f ca="1">IFERROR(__xludf.DUMMYFUNCTION("""COMPUTED_VALUE"""),900000)</f>
        <v>900000</v>
      </c>
      <c r="M10" s="143">
        <f ca="1">IFERROR(__xludf.DUMMYFUNCTION("""COMPUTED_VALUE"""),0)</f>
        <v>0</v>
      </c>
      <c r="N10" s="140">
        <f ca="1">IFERROR(__xludf.DUMMYFUNCTION("""COMPUTED_VALUE"""),2700000)</f>
        <v>2700000</v>
      </c>
      <c r="O10" s="140">
        <f ca="1">IFERROR(__xludf.DUMMYFUNCTION("""COMPUTED_VALUE"""),1800000)</f>
        <v>1800000</v>
      </c>
      <c r="P10" s="140">
        <f ca="1">IFERROR(__xludf.DUMMYFUNCTION("""COMPUTED_VALUE"""),4500000)</f>
        <v>4500000</v>
      </c>
      <c r="Q10" s="140">
        <f ca="1">IFERROR(__xludf.DUMMYFUNCTION("""COMPUTED_VALUE"""),1800000)</f>
        <v>1800000</v>
      </c>
      <c r="R10" s="140">
        <f ca="1">IFERROR(__xludf.DUMMYFUNCTION("""COMPUTED_VALUE"""),3600000)</f>
        <v>3600000</v>
      </c>
      <c r="S10" s="140">
        <f ca="1">IFERROR(__xludf.DUMMYFUNCTION("""COMPUTED_VALUE"""),5400000)</f>
        <v>5400000</v>
      </c>
      <c r="T10" s="140">
        <f ca="1">IFERROR(__xludf.DUMMYFUNCTION("""COMPUTED_VALUE"""),5400000)</f>
        <v>5400000</v>
      </c>
      <c r="U10" s="140">
        <f ca="1">IFERROR(__xludf.DUMMYFUNCTION("""COMPUTED_VALUE"""),5400000)</f>
        <v>5400000</v>
      </c>
      <c r="V10" s="69"/>
    </row>
    <row r="11" spans="1:24" ht="12.5" x14ac:dyDescent="0.25">
      <c r="A11" s="81" t="str">
        <f ca="1">IFERROR(__xludf.DUMMYFUNCTION("""COMPUTED_VALUE"""),"Indonesia")</f>
        <v>Indonesia</v>
      </c>
      <c r="B11" s="81" t="str">
        <f ca="1">IFERROR(__xludf.DUMMYFUNCTION("""COMPUTED_VALUE"""),"YNHI")</f>
        <v>YNHI</v>
      </c>
      <c r="C11" s="139" t="str">
        <f ca="1">IFERROR(__xludf.DUMMYFUNCTION("""COMPUTED_VALUE"""),"Digital Product")</f>
        <v>Digital Product</v>
      </c>
      <c r="D11" s="81" t="str">
        <f ca="1">IFERROR(__xludf.DUMMYFUNCTION("""COMPUTED_VALUE"""),"Country Product")</f>
        <v>Country Product</v>
      </c>
      <c r="E11" s="81" t="str">
        <f ca="1">IFERROR(__xludf.DUMMYFUNCTION("""COMPUTED_VALUE"""),"Direct Cost")</f>
        <v>Direct Cost</v>
      </c>
      <c r="F11" s="81" t="str">
        <f ca="1">IFERROR(__xludf.DUMMYFUNCTION("""COMPUTED_VALUE"""),"Travel &amp; Lodging Expenses")</f>
        <v>Travel &amp; Lodging Expenses</v>
      </c>
      <c r="G11" s="81" t="str">
        <f ca="1">IFERROR(__xludf.DUMMYFUNCTION("""COMPUTED_VALUE"""),"Bus/Train")</f>
        <v>Bus/Train</v>
      </c>
      <c r="H11" s="35">
        <f ca="1">IFERROR(__xludf.DUMMYFUNCTION("""COMPUTED_VALUE"""),93105)</f>
        <v>93105</v>
      </c>
      <c r="I11" s="140">
        <f ca="1">IFERROR(__xludf.DUMMYFUNCTION("""COMPUTED_VALUE"""),0)</f>
        <v>0</v>
      </c>
      <c r="J11" s="140">
        <f ca="1">IFERROR(__xludf.DUMMYFUNCTION("""COMPUTED_VALUE"""),0)</f>
        <v>0</v>
      </c>
      <c r="K11" s="140">
        <f ca="1">IFERROR(__xludf.DUMMYFUNCTION("""COMPUTED_VALUE"""),0)</f>
        <v>0</v>
      </c>
      <c r="L11" s="140">
        <f ca="1">IFERROR(__xludf.DUMMYFUNCTION("""COMPUTED_VALUE"""),0)</f>
        <v>0</v>
      </c>
      <c r="M11" s="143">
        <f ca="1">IFERROR(__xludf.DUMMYFUNCTION("""COMPUTED_VALUE"""),0)</f>
        <v>0</v>
      </c>
      <c r="N11" s="140">
        <f ca="1">IFERROR(__xludf.DUMMYFUNCTION("""COMPUTED_VALUE"""),0)</f>
        <v>0</v>
      </c>
      <c r="O11" s="140">
        <f ca="1">IFERROR(__xludf.DUMMYFUNCTION("""COMPUTED_VALUE"""),0)</f>
        <v>0</v>
      </c>
      <c r="P11" s="140">
        <f ca="1">IFERROR(__xludf.DUMMYFUNCTION("""COMPUTED_VALUE"""),0)</f>
        <v>0</v>
      </c>
      <c r="Q11" s="140">
        <f ca="1">IFERROR(__xludf.DUMMYFUNCTION("""COMPUTED_VALUE"""),0)</f>
        <v>0</v>
      </c>
      <c r="R11" s="140">
        <f ca="1">IFERROR(__xludf.DUMMYFUNCTION("""COMPUTED_VALUE"""),0)</f>
        <v>0</v>
      </c>
      <c r="S11" s="140">
        <f ca="1">IFERROR(__xludf.DUMMYFUNCTION("""COMPUTED_VALUE"""),0)</f>
        <v>0</v>
      </c>
      <c r="T11" s="140">
        <f ca="1">IFERROR(__xludf.DUMMYFUNCTION("""COMPUTED_VALUE"""),0)</f>
        <v>0</v>
      </c>
      <c r="U11" s="140">
        <f ca="1">IFERROR(__xludf.DUMMYFUNCTION("""COMPUTED_VALUE"""),0)</f>
        <v>0</v>
      </c>
      <c r="V11" s="69"/>
    </row>
    <row r="12" spans="1:24" ht="12.5" x14ac:dyDescent="0.25">
      <c r="A12" s="81" t="str">
        <f ca="1">IFERROR(__xludf.DUMMYFUNCTION("""COMPUTED_VALUE"""),"Indonesia")</f>
        <v>Indonesia</v>
      </c>
      <c r="B12" s="81" t="str">
        <f ca="1">IFERROR(__xludf.DUMMYFUNCTION("""COMPUTED_VALUE"""),"YNHI")</f>
        <v>YNHI</v>
      </c>
      <c r="C12" s="139" t="str">
        <f ca="1">IFERROR(__xludf.DUMMYFUNCTION("""COMPUTED_VALUE"""),"Digital Product")</f>
        <v>Digital Product</v>
      </c>
      <c r="D12" s="81" t="str">
        <f ca="1">IFERROR(__xludf.DUMMYFUNCTION("""COMPUTED_VALUE"""),"Country Product")</f>
        <v>Country Product</v>
      </c>
      <c r="E12" s="81" t="str">
        <f ca="1">IFERROR(__xludf.DUMMYFUNCTION("""COMPUTED_VALUE"""),"Direct Cost")</f>
        <v>Direct Cost</v>
      </c>
      <c r="F12" s="81" t="str">
        <f ca="1">IFERROR(__xludf.DUMMYFUNCTION("""COMPUTED_VALUE"""),"Travel &amp; Lodging Expenses")</f>
        <v>Travel &amp; Lodging Expenses</v>
      </c>
      <c r="G12" s="81" t="str">
        <f ca="1">IFERROR(__xludf.DUMMYFUNCTION("""COMPUTED_VALUE"""),"Other incidental travel costs")</f>
        <v>Other incidental travel costs</v>
      </c>
      <c r="H12" s="35">
        <f ca="1">IFERROR(__xludf.DUMMYFUNCTION("""COMPUTED_VALUE"""),93106)</f>
        <v>93106</v>
      </c>
      <c r="I12" s="140">
        <f ca="1">IFERROR(__xludf.DUMMYFUNCTION("""COMPUTED_VALUE"""),13550000)</f>
        <v>13550000</v>
      </c>
      <c r="J12" s="140">
        <f ca="1">IFERROR(__xludf.DUMMYFUNCTION("""COMPUTED_VALUE"""),200000)</f>
        <v>200000</v>
      </c>
      <c r="K12" s="140">
        <f ca="1">IFERROR(__xludf.DUMMYFUNCTION("""COMPUTED_VALUE"""),100000)</f>
        <v>100000</v>
      </c>
      <c r="L12" s="140">
        <f ca="1">IFERROR(__xludf.DUMMYFUNCTION("""COMPUTED_VALUE"""),100000)</f>
        <v>100000</v>
      </c>
      <c r="M12" s="143">
        <f ca="1">IFERROR(__xludf.DUMMYFUNCTION("""COMPUTED_VALUE"""),0)</f>
        <v>0</v>
      </c>
      <c r="N12" s="140">
        <f ca="1">IFERROR(__xludf.DUMMYFUNCTION("""COMPUTED_VALUE"""),150000)</f>
        <v>150000</v>
      </c>
      <c r="O12" s="140">
        <f ca="1">IFERROR(__xludf.DUMMYFUNCTION("""COMPUTED_VALUE"""),50000)</f>
        <v>50000</v>
      </c>
      <c r="P12" s="140">
        <f ca="1">IFERROR(__xludf.DUMMYFUNCTION("""COMPUTED_VALUE"""),200000)</f>
        <v>200000</v>
      </c>
      <c r="Q12" s="140">
        <f ca="1">IFERROR(__xludf.DUMMYFUNCTION("""COMPUTED_VALUE"""),50000)</f>
        <v>50000</v>
      </c>
      <c r="R12" s="140">
        <f ca="1">IFERROR(__xludf.DUMMYFUNCTION("""COMPUTED_VALUE"""),100000)</f>
        <v>100000</v>
      </c>
      <c r="S12" s="140">
        <f ca="1">IFERROR(__xludf.DUMMYFUNCTION("""COMPUTED_VALUE"""),4200000)</f>
        <v>4200000</v>
      </c>
      <c r="T12" s="140">
        <f ca="1">IFERROR(__xludf.DUMMYFUNCTION("""COMPUTED_VALUE"""),4200000)</f>
        <v>4200000</v>
      </c>
      <c r="U12" s="140">
        <f ca="1">IFERROR(__xludf.DUMMYFUNCTION("""COMPUTED_VALUE"""),4200000)</f>
        <v>4200000</v>
      </c>
      <c r="V12" s="69"/>
    </row>
    <row r="13" spans="1:24" ht="12.5" x14ac:dyDescent="0.25">
      <c r="A13" s="81" t="str">
        <f ca="1">IFERROR(__xludf.DUMMYFUNCTION("""COMPUTED_VALUE"""),"Indonesia")</f>
        <v>Indonesia</v>
      </c>
      <c r="B13" s="81" t="str">
        <f ca="1">IFERROR(__xludf.DUMMYFUNCTION("""COMPUTED_VALUE"""),"YNHI")</f>
        <v>YNHI</v>
      </c>
      <c r="C13" s="139" t="str">
        <f ca="1">IFERROR(__xludf.DUMMYFUNCTION("""COMPUTED_VALUE"""),"Digital Product")</f>
        <v>Digital Product</v>
      </c>
      <c r="D13" s="81" t="str">
        <f ca="1">IFERROR(__xludf.DUMMYFUNCTION("""COMPUTED_VALUE"""),"Country Product")</f>
        <v>Country Product</v>
      </c>
      <c r="E13" s="81" t="str">
        <f ca="1">IFERROR(__xludf.DUMMYFUNCTION("""COMPUTED_VALUE"""),"Direct Cost")</f>
        <v>Direct Cost</v>
      </c>
      <c r="F13" s="81" t="str">
        <f ca="1">IFERROR(__xludf.DUMMYFUNCTION("""COMPUTED_VALUE"""),"Supplies &amp; Printing Costs")</f>
        <v>Supplies &amp; Printing Costs</v>
      </c>
      <c r="G13" s="81" t="str">
        <f ca="1">IFERROR(__xludf.DUMMYFUNCTION("""COMPUTED_VALUE"""),"Other Direct Expenses")</f>
        <v>Other Direct Expenses</v>
      </c>
      <c r="H13" s="35">
        <f ca="1">IFERROR(__xludf.DUMMYFUNCTION("""COMPUTED_VALUE"""),93201)</f>
        <v>93201</v>
      </c>
      <c r="I13" s="140">
        <f ca="1">IFERROR(__xludf.DUMMYFUNCTION("""COMPUTED_VALUE"""),0)</f>
        <v>0</v>
      </c>
      <c r="J13" s="140">
        <f ca="1">IFERROR(__xludf.DUMMYFUNCTION("""COMPUTED_VALUE"""),0)</f>
        <v>0</v>
      </c>
      <c r="K13" s="140">
        <f ca="1">IFERROR(__xludf.DUMMYFUNCTION("""COMPUTED_VALUE"""),0)</f>
        <v>0</v>
      </c>
      <c r="L13" s="140">
        <f ca="1">IFERROR(__xludf.DUMMYFUNCTION("""COMPUTED_VALUE"""),0)</f>
        <v>0</v>
      </c>
      <c r="M13" s="143">
        <f ca="1">IFERROR(__xludf.DUMMYFUNCTION("""COMPUTED_VALUE"""),0)</f>
        <v>0</v>
      </c>
      <c r="N13" s="140">
        <f ca="1">IFERROR(__xludf.DUMMYFUNCTION("""COMPUTED_VALUE"""),0)</f>
        <v>0</v>
      </c>
      <c r="O13" s="140">
        <f ca="1">IFERROR(__xludf.DUMMYFUNCTION("""COMPUTED_VALUE"""),0)</f>
        <v>0</v>
      </c>
      <c r="P13" s="140">
        <f ca="1">IFERROR(__xludf.DUMMYFUNCTION("""COMPUTED_VALUE"""),0)</f>
        <v>0</v>
      </c>
      <c r="Q13" s="140">
        <f ca="1">IFERROR(__xludf.DUMMYFUNCTION("""COMPUTED_VALUE"""),0)</f>
        <v>0</v>
      </c>
      <c r="R13" s="140">
        <f ca="1">IFERROR(__xludf.DUMMYFUNCTION("""COMPUTED_VALUE"""),0)</f>
        <v>0</v>
      </c>
      <c r="S13" s="140">
        <f ca="1">IFERROR(__xludf.DUMMYFUNCTION("""COMPUTED_VALUE"""),0)</f>
        <v>0</v>
      </c>
      <c r="T13" s="140">
        <f ca="1">IFERROR(__xludf.DUMMYFUNCTION("""COMPUTED_VALUE"""),0)</f>
        <v>0</v>
      </c>
      <c r="U13" s="140">
        <f ca="1">IFERROR(__xludf.DUMMYFUNCTION("""COMPUTED_VALUE"""),0)</f>
        <v>0</v>
      </c>
      <c r="V13" s="69"/>
    </row>
    <row r="14" spans="1:24" ht="12.5" x14ac:dyDescent="0.25">
      <c r="A14" s="81" t="str">
        <f ca="1">IFERROR(__xludf.DUMMYFUNCTION("""COMPUTED_VALUE"""),"Indonesia")</f>
        <v>Indonesia</v>
      </c>
      <c r="B14" s="81" t="str">
        <f ca="1">IFERROR(__xludf.DUMMYFUNCTION("""COMPUTED_VALUE"""),"YNHI")</f>
        <v>YNHI</v>
      </c>
      <c r="C14" s="139" t="str">
        <f ca="1">IFERROR(__xludf.DUMMYFUNCTION("""COMPUTED_VALUE"""),"Digital Product")</f>
        <v>Digital Product</v>
      </c>
      <c r="D14" s="81" t="str">
        <f ca="1">IFERROR(__xludf.DUMMYFUNCTION("""COMPUTED_VALUE"""),"Country Product")</f>
        <v>Country Product</v>
      </c>
      <c r="E14" s="81" t="str">
        <f ca="1">IFERROR(__xludf.DUMMYFUNCTION("""COMPUTED_VALUE"""),"Direct Cost")</f>
        <v>Direct Cost</v>
      </c>
      <c r="F14" s="81" t="str">
        <f ca="1">IFERROR(__xludf.DUMMYFUNCTION("""COMPUTED_VALUE"""),"Supplies &amp; Printing Costs")</f>
        <v>Supplies &amp; Printing Costs</v>
      </c>
      <c r="G14" s="81" t="str">
        <f ca="1">IFERROR(__xludf.DUMMYFUNCTION("""COMPUTED_VALUE"""),"Printing expenses")</f>
        <v>Printing expenses</v>
      </c>
      <c r="H14" s="35">
        <f ca="1">IFERROR(__xludf.DUMMYFUNCTION("""COMPUTED_VALUE"""),93204)</f>
        <v>93204</v>
      </c>
      <c r="I14" s="140">
        <f ca="1">IFERROR(__xludf.DUMMYFUNCTION("""COMPUTED_VALUE"""),15000000)</f>
        <v>15000000</v>
      </c>
      <c r="J14" s="140">
        <f ca="1">IFERROR(__xludf.DUMMYFUNCTION("""COMPUTED_VALUE"""),0)</f>
        <v>0</v>
      </c>
      <c r="K14" s="140">
        <f ca="1">IFERROR(__xludf.DUMMYFUNCTION("""COMPUTED_VALUE"""),0)</f>
        <v>0</v>
      </c>
      <c r="L14" s="140">
        <f ca="1">IFERROR(__xludf.DUMMYFUNCTION("""COMPUTED_VALUE"""),0)</f>
        <v>0</v>
      </c>
      <c r="M14" s="143">
        <f ca="1">IFERROR(__xludf.DUMMYFUNCTION("""COMPUTED_VALUE"""),0)</f>
        <v>0</v>
      </c>
      <c r="N14" s="140">
        <f ca="1">IFERROR(__xludf.DUMMYFUNCTION("""COMPUTED_VALUE"""),0)</f>
        <v>0</v>
      </c>
      <c r="O14" s="140">
        <f ca="1">IFERROR(__xludf.DUMMYFUNCTION("""COMPUTED_VALUE"""),0)</f>
        <v>0</v>
      </c>
      <c r="P14" s="140">
        <f ca="1">IFERROR(__xludf.DUMMYFUNCTION("""COMPUTED_VALUE"""),0)</f>
        <v>0</v>
      </c>
      <c r="Q14" s="140">
        <f ca="1">IFERROR(__xludf.DUMMYFUNCTION("""COMPUTED_VALUE"""),0)</f>
        <v>0</v>
      </c>
      <c r="R14" s="140">
        <f ca="1">IFERROR(__xludf.DUMMYFUNCTION("""COMPUTED_VALUE"""),0)</f>
        <v>0</v>
      </c>
      <c r="S14" s="140">
        <f ca="1">IFERROR(__xludf.DUMMYFUNCTION("""COMPUTED_VALUE"""),5000000)</f>
        <v>5000000</v>
      </c>
      <c r="T14" s="140">
        <f ca="1">IFERROR(__xludf.DUMMYFUNCTION("""COMPUTED_VALUE"""),5000000)</f>
        <v>5000000</v>
      </c>
      <c r="U14" s="140">
        <f ca="1">IFERROR(__xludf.DUMMYFUNCTION("""COMPUTED_VALUE"""),5000000)</f>
        <v>5000000</v>
      </c>
      <c r="V14" s="69"/>
    </row>
    <row r="15" spans="1:24" ht="12.5" x14ac:dyDescent="0.25">
      <c r="A15" s="81" t="str">
        <f ca="1">IFERROR(__xludf.DUMMYFUNCTION("""COMPUTED_VALUE"""),"Indonesia")</f>
        <v>Indonesia</v>
      </c>
      <c r="B15" s="81" t="str">
        <f ca="1">IFERROR(__xludf.DUMMYFUNCTION("""COMPUTED_VALUE"""),"YNHI")</f>
        <v>YNHI</v>
      </c>
      <c r="C15" s="139" t="str">
        <f ca="1">IFERROR(__xludf.DUMMYFUNCTION("""COMPUTED_VALUE"""),"Digital Product")</f>
        <v>Digital Product</v>
      </c>
      <c r="D15" s="81" t="str">
        <f ca="1">IFERROR(__xludf.DUMMYFUNCTION("""COMPUTED_VALUE"""),"Country Product")</f>
        <v>Country Product</v>
      </c>
      <c r="E15" s="81" t="str">
        <f ca="1">IFERROR(__xludf.DUMMYFUNCTION("""COMPUTED_VALUE"""),"Direct Cost")</f>
        <v>Direct Cost</v>
      </c>
      <c r="F15" s="81" t="str">
        <f ca="1">IFERROR(__xludf.DUMMYFUNCTION("""COMPUTED_VALUE"""),"Communication Cost")</f>
        <v>Communication Cost</v>
      </c>
      <c r="G15" s="81" t="str">
        <f ca="1">IFERROR(__xludf.DUMMYFUNCTION("""COMPUTED_VALUE"""),"Internet Expenses")</f>
        <v>Internet Expenses</v>
      </c>
      <c r="H15" s="35">
        <f ca="1">IFERROR(__xludf.DUMMYFUNCTION("""COMPUTED_VALUE"""),93301)</f>
        <v>93301</v>
      </c>
      <c r="I15" s="140">
        <f ca="1">IFERROR(__xludf.DUMMYFUNCTION("""COMPUTED_VALUE"""),0)</f>
        <v>0</v>
      </c>
      <c r="J15" s="140">
        <f ca="1">IFERROR(__xludf.DUMMYFUNCTION("""COMPUTED_VALUE"""),0)</f>
        <v>0</v>
      </c>
      <c r="K15" s="140">
        <f ca="1">IFERROR(__xludf.DUMMYFUNCTION("""COMPUTED_VALUE"""),0)</f>
        <v>0</v>
      </c>
      <c r="L15" s="140">
        <f ca="1">IFERROR(__xludf.DUMMYFUNCTION("""COMPUTED_VALUE"""),0)</f>
        <v>0</v>
      </c>
      <c r="M15" s="143">
        <f ca="1">IFERROR(__xludf.DUMMYFUNCTION("""COMPUTED_VALUE"""),0)</f>
        <v>0</v>
      </c>
      <c r="N15" s="140">
        <f ca="1">IFERROR(__xludf.DUMMYFUNCTION("""COMPUTED_VALUE"""),0)</f>
        <v>0</v>
      </c>
      <c r="O15" s="140">
        <f ca="1">IFERROR(__xludf.DUMMYFUNCTION("""COMPUTED_VALUE"""),0)</f>
        <v>0</v>
      </c>
      <c r="P15" s="140">
        <f ca="1">IFERROR(__xludf.DUMMYFUNCTION("""COMPUTED_VALUE"""),0)</f>
        <v>0</v>
      </c>
      <c r="Q15" s="140">
        <f ca="1">IFERROR(__xludf.DUMMYFUNCTION("""COMPUTED_VALUE"""),0)</f>
        <v>0</v>
      </c>
      <c r="R15" s="140">
        <f ca="1">IFERROR(__xludf.DUMMYFUNCTION("""COMPUTED_VALUE"""),0)</f>
        <v>0</v>
      </c>
      <c r="S15" s="140">
        <f ca="1">IFERROR(__xludf.DUMMYFUNCTION("""COMPUTED_VALUE"""),0)</f>
        <v>0</v>
      </c>
      <c r="T15" s="140">
        <f ca="1">IFERROR(__xludf.DUMMYFUNCTION("""COMPUTED_VALUE"""),0)</f>
        <v>0</v>
      </c>
      <c r="U15" s="140">
        <f ca="1">IFERROR(__xludf.DUMMYFUNCTION("""COMPUTED_VALUE"""),0)</f>
        <v>0</v>
      </c>
      <c r="V15" s="69"/>
    </row>
    <row r="16" spans="1:24" ht="12.5" x14ac:dyDescent="0.25">
      <c r="A16" s="81" t="str">
        <f ca="1">IFERROR(__xludf.DUMMYFUNCTION("""COMPUTED_VALUE"""),"Indonesia")</f>
        <v>Indonesia</v>
      </c>
      <c r="B16" s="81" t="str">
        <f ca="1">IFERROR(__xludf.DUMMYFUNCTION("""COMPUTED_VALUE"""),"YNHI")</f>
        <v>YNHI</v>
      </c>
      <c r="C16" s="139" t="str">
        <f ca="1">IFERROR(__xludf.DUMMYFUNCTION("""COMPUTED_VALUE"""),"Digital Product")</f>
        <v>Digital Product</v>
      </c>
      <c r="D16" s="81" t="str">
        <f ca="1">IFERROR(__xludf.DUMMYFUNCTION("""COMPUTED_VALUE"""),"Country Product")</f>
        <v>Country Product</v>
      </c>
      <c r="E16" s="81" t="str">
        <f ca="1">IFERROR(__xludf.DUMMYFUNCTION("""COMPUTED_VALUE"""),"Direct Cost")</f>
        <v>Direct Cost</v>
      </c>
      <c r="F16" s="81" t="str">
        <f ca="1">IFERROR(__xludf.DUMMYFUNCTION("""COMPUTED_VALUE"""),"Communication Cost")</f>
        <v>Communication Cost</v>
      </c>
      <c r="G16" s="81" t="str">
        <f ca="1">IFERROR(__xludf.DUMMYFUNCTION("""COMPUTED_VALUE"""),"Postage &amp; Courier Expenses")</f>
        <v>Postage &amp; Courier Expenses</v>
      </c>
      <c r="H16" s="35">
        <f ca="1">IFERROR(__xludf.DUMMYFUNCTION("""COMPUTED_VALUE"""),93302)</f>
        <v>93302</v>
      </c>
      <c r="I16" s="140">
        <f ca="1">IFERROR(__xludf.DUMMYFUNCTION("""COMPUTED_VALUE"""),0)</f>
        <v>0</v>
      </c>
      <c r="J16" s="140">
        <f ca="1">IFERROR(__xludf.DUMMYFUNCTION("""COMPUTED_VALUE"""),0)</f>
        <v>0</v>
      </c>
      <c r="K16" s="140">
        <f ca="1">IFERROR(__xludf.DUMMYFUNCTION("""COMPUTED_VALUE"""),0)</f>
        <v>0</v>
      </c>
      <c r="L16" s="140">
        <f ca="1">IFERROR(__xludf.DUMMYFUNCTION("""COMPUTED_VALUE"""),0)</f>
        <v>0</v>
      </c>
      <c r="M16" s="143">
        <f ca="1">IFERROR(__xludf.DUMMYFUNCTION("""COMPUTED_VALUE"""),0)</f>
        <v>0</v>
      </c>
      <c r="N16" s="140">
        <f ca="1">IFERROR(__xludf.DUMMYFUNCTION("""COMPUTED_VALUE"""),0)</f>
        <v>0</v>
      </c>
      <c r="O16" s="140">
        <f ca="1">IFERROR(__xludf.DUMMYFUNCTION("""COMPUTED_VALUE"""),0)</f>
        <v>0</v>
      </c>
      <c r="P16" s="140">
        <f ca="1">IFERROR(__xludf.DUMMYFUNCTION("""COMPUTED_VALUE"""),0)</f>
        <v>0</v>
      </c>
      <c r="Q16" s="140">
        <f ca="1">IFERROR(__xludf.DUMMYFUNCTION("""COMPUTED_VALUE"""),0)</f>
        <v>0</v>
      </c>
      <c r="R16" s="140">
        <f ca="1">IFERROR(__xludf.DUMMYFUNCTION("""COMPUTED_VALUE"""),0)</f>
        <v>0</v>
      </c>
      <c r="S16" s="140">
        <f ca="1">IFERROR(__xludf.DUMMYFUNCTION("""COMPUTED_VALUE"""),0)</f>
        <v>0</v>
      </c>
      <c r="T16" s="140">
        <f ca="1">IFERROR(__xludf.DUMMYFUNCTION("""COMPUTED_VALUE"""),0)</f>
        <v>0</v>
      </c>
      <c r="U16" s="140">
        <f ca="1">IFERROR(__xludf.DUMMYFUNCTION("""COMPUTED_VALUE"""),0)</f>
        <v>0</v>
      </c>
      <c r="V16" s="69"/>
    </row>
    <row r="17" spans="1:23" ht="12.5" x14ac:dyDescent="0.25">
      <c r="A17" s="81" t="str">
        <f ca="1">IFERROR(__xludf.DUMMYFUNCTION("""COMPUTED_VALUE"""),"Indonesia")</f>
        <v>Indonesia</v>
      </c>
      <c r="B17" s="81" t="str">
        <f ca="1">IFERROR(__xludf.DUMMYFUNCTION("""COMPUTED_VALUE"""),"YNHI")</f>
        <v>YNHI</v>
      </c>
      <c r="C17" s="139" t="str">
        <f ca="1">IFERROR(__xludf.DUMMYFUNCTION("""COMPUTED_VALUE"""),"Digital Product")</f>
        <v>Digital Product</v>
      </c>
      <c r="D17" s="81" t="str">
        <f ca="1">IFERROR(__xludf.DUMMYFUNCTION("""COMPUTED_VALUE"""),"Country Product")</f>
        <v>Country Product</v>
      </c>
      <c r="E17" s="81" t="str">
        <f ca="1">IFERROR(__xludf.DUMMYFUNCTION("""COMPUTED_VALUE"""),"Direct Cost")</f>
        <v>Direct Cost</v>
      </c>
      <c r="F17" s="81" t="str">
        <f ca="1">IFERROR(__xludf.DUMMYFUNCTION("""COMPUTED_VALUE"""),"Communication Cost")</f>
        <v>Communication Cost</v>
      </c>
      <c r="G17" s="81" t="str">
        <f ca="1">IFERROR(__xludf.DUMMYFUNCTION("""COMPUTED_VALUE"""),"Telecommunication expenses")</f>
        <v>Telecommunication expenses</v>
      </c>
      <c r="H17" s="35">
        <f ca="1">IFERROR(__xludf.DUMMYFUNCTION("""COMPUTED_VALUE"""),93303)</f>
        <v>93303</v>
      </c>
      <c r="I17" s="140">
        <f ca="1">IFERROR(__xludf.DUMMYFUNCTION("""COMPUTED_VALUE"""),0)</f>
        <v>0</v>
      </c>
      <c r="J17" s="140">
        <f ca="1">IFERROR(__xludf.DUMMYFUNCTION("""COMPUTED_VALUE"""),0)</f>
        <v>0</v>
      </c>
      <c r="K17" s="140">
        <f ca="1">IFERROR(__xludf.DUMMYFUNCTION("""COMPUTED_VALUE"""),0)</f>
        <v>0</v>
      </c>
      <c r="L17" s="140">
        <f ca="1">IFERROR(__xludf.DUMMYFUNCTION("""COMPUTED_VALUE"""),0)</f>
        <v>0</v>
      </c>
      <c r="M17" s="143">
        <f ca="1">IFERROR(__xludf.DUMMYFUNCTION("""COMPUTED_VALUE"""),0)</f>
        <v>0</v>
      </c>
      <c r="N17" s="140">
        <f ca="1">IFERROR(__xludf.DUMMYFUNCTION("""COMPUTED_VALUE"""),0)</f>
        <v>0</v>
      </c>
      <c r="O17" s="140">
        <f ca="1">IFERROR(__xludf.DUMMYFUNCTION("""COMPUTED_VALUE"""),0)</f>
        <v>0</v>
      </c>
      <c r="P17" s="140">
        <f ca="1">IFERROR(__xludf.DUMMYFUNCTION("""COMPUTED_VALUE"""),0)</f>
        <v>0</v>
      </c>
      <c r="Q17" s="140">
        <f ca="1">IFERROR(__xludf.DUMMYFUNCTION("""COMPUTED_VALUE"""),0)</f>
        <v>0</v>
      </c>
      <c r="R17" s="140">
        <f ca="1">IFERROR(__xludf.DUMMYFUNCTION("""COMPUTED_VALUE"""),0)</f>
        <v>0</v>
      </c>
      <c r="S17" s="140">
        <f ca="1">IFERROR(__xludf.DUMMYFUNCTION("""COMPUTED_VALUE"""),0)</f>
        <v>0</v>
      </c>
      <c r="T17" s="140">
        <f ca="1">IFERROR(__xludf.DUMMYFUNCTION("""COMPUTED_VALUE"""),0)</f>
        <v>0</v>
      </c>
      <c r="U17" s="140">
        <f ca="1">IFERROR(__xludf.DUMMYFUNCTION("""COMPUTED_VALUE"""),0)</f>
        <v>0</v>
      </c>
      <c r="V17" s="69"/>
    </row>
    <row r="18" spans="1:23" ht="12.5" x14ac:dyDescent="0.25">
      <c r="A18" s="81" t="str">
        <f ca="1">IFERROR(__xludf.DUMMYFUNCTION("""COMPUTED_VALUE"""),"Indonesia")</f>
        <v>Indonesia</v>
      </c>
      <c r="B18" s="81" t="str">
        <f ca="1">IFERROR(__xludf.DUMMYFUNCTION("""COMPUTED_VALUE"""),"YNHI")</f>
        <v>YNHI</v>
      </c>
      <c r="C18" s="139" t="str">
        <f ca="1">IFERROR(__xludf.DUMMYFUNCTION("""COMPUTED_VALUE"""),"Digital Product")</f>
        <v>Digital Product</v>
      </c>
      <c r="D18" s="81" t="str">
        <f ca="1">IFERROR(__xludf.DUMMYFUNCTION("""COMPUTED_VALUE"""),"Country Product")</f>
        <v>Country Product</v>
      </c>
      <c r="E18" s="81" t="str">
        <f ca="1">IFERROR(__xludf.DUMMYFUNCTION("""COMPUTED_VALUE"""),"Direct Cost")</f>
        <v>Direct Cost</v>
      </c>
      <c r="F18" s="81" t="str">
        <f ca="1">IFERROR(__xludf.DUMMYFUNCTION("""COMPUTED_VALUE"""),"Office Expenses")</f>
        <v>Office Expenses</v>
      </c>
      <c r="G18" s="81" t="str">
        <f ca="1">IFERROR(__xludf.DUMMYFUNCTION("""COMPUTED_VALUE"""),"Software and Subscriptions")</f>
        <v>Software and Subscriptions</v>
      </c>
      <c r="H18" s="35">
        <f ca="1">IFERROR(__xludf.DUMMYFUNCTION("""COMPUTED_VALUE"""),93401)</f>
        <v>93401</v>
      </c>
      <c r="I18" s="140">
        <f ca="1">IFERROR(__xludf.DUMMYFUNCTION("""COMPUTED_VALUE"""),4800000)</f>
        <v>4800000</v>
      </c>
      <c r="J18" s="140">
        <f ca="1">IFERROR(__xludf.DUMMYFUNCTION("""COMPUTED_VALUE"""),400000)</f>
        <v>400000</v>
      </c>
      <c r="K18" s="140">
        <f ca="1">IFERROR(__xludf.DUMMYFUNCTION("""COMPUTED_VALUE"""),400000)</f>
        <v>400000</v>
      </c>
      <c r="L18" s="140">
        <f ca="1">IFERROR(__xludf.DUMMYFUNCTION("""COMPUTED_VALUE"""),400000)</f>
        <v>400000</v>
      </c>
      <c r="M18" s="143">
        <f ca="1">IFERROR(__xludf.DUMMYFUNCTION("""COMPUTED_VALUE"""),400000)</f>
        <v>400000</v>
      </c>
      <c r="N18" s="140">
        <f ca="1">IFERROR(__xludf.DUMMYFUNCTION("""COMPUTED_VALUE"""),400000)</f>
        <v>400000</v>
      </c>
      <c r="O18" s="140">
        <f ca="1">IFERROR(__xludf.DUMMYFUNCTION("""COMPUTED_VALUE"""),400000)</f>
        <v>400000</v>
      </c>
      <c r="P18" s="140">
        <f ca="1">IFERROR(__xludf.DUMMYFUNCTION("""COMPUTED_VALUE"""),400000)</f>
        <v>400000</v>
      </c>
      <c r="Q18" s="140">
        <f ca="1">IFERROR(__xludf.DUMMYFUNCTION("""COMPUTED_VALUE"""),400000)</f>
        <v>400000</v>
      </c>
      <c r="R18" s="140">
        <f ca="1">IFERROR(__xludf.DUMMYFUNCTION("""COMPUTED_VALUE"""),400000)</f>
        <v>400000</v>
      </c>
      <c r="S18" s="140">
        <f ca="1">IFERROR(__xludf.DUMMYFUNCTION("""COMPUTED_VALUE"""),400000)</f>
        <v>400000</v>
      </c>
      <c r="T18" s="140">
        <f ca="1">IFERROR(__xludf.DUMMYFUNCTION("""COMPUTED_VALUE"""),400000)</f>
        <v>400000</v>
      </c>
      <c r="U18" s="140">
        <f ca="1">IFERROR(__xludf.DUMMYFUNCTION("""COMPUTED_VALUE"""),400000)</f>
        <v>400000</v>
      </c>
      <c r="V18" s="69"/>
    </row>
    <row r="19" spans="1:23" ht="12.5" x14ac:dyDescent="0.25">
      <c r="A19" s="81" t="str">
        <f ca="1">IFERROR(__xludf.DUMMYFUNCTION("""COMPUTED_VALUE"""),"Indonesia")</f>
        <v>Indonesia</v>
      </c>
      <c r="B19" s="81" t="str">
        <f ca="1">IFERROR(__xludf.DUMMYFUNCTION("""COMPUTED_VALUE"""),"YNHI")</f>
        <v>YNHI</v>
      </c>
      <c r="C19" s="139" t="str">
        <f ca="1">IFERROR(__xludf.DUMMYFUNCTION("""COMPUTED_VALUE"""),"Digital Product")</f>
        <v>Digital Product</v>
      </c>
      <c r="D19" s="81" t="str">
        <f ca="1">IFERROR(__xludf.DUMMYFUNCTION("""COMPUTED_VALUE"""),"Country Product")</f>
        <v>Country Product</v>
      </c>
      <c r="E19" s="81" t="str">
        <f ca="1">IFERROR(__xludf.DUMMYFUNCTION("""COMPUTED_VALUE"""),"Direct Cost")</f>
        <v>Direct Cost</v>
      </c>
      <c r="F19" s="81" t="str">
        <f ca="1">IFERROR(__xludf.DUMMYFUNCTION("""COMPUTED_VALUE"""),"Office Expenses")</f>
        <v>Office Expenses</v>
      </c>
      <c r="G19" s="81" t="str">
        <f ca="1">IFERROR(__xludf.DUMMYFUNCTION("""COMPUTED_VALUE"""),"Stationery &amp; Consumables")</f>
        <v>Stationery &amp; Consumables</v>
      </c>
      <c r="H19" s="35">
        <f ca="1">IFERROR(__xludf.DUMMYFUNCTION("""COMPUTED_VALUE"""),93404)</f>
        <v>93404</v>
      </c>
      <c r="I19" s="140">
        <f ca="1">IFERROR(__xludf.DUMMYFUNCTION("""COMPUTED_VALUE"""),0)</f>
        <v>0</v>
      </c>
      <c r="J19" s="140">
        <f ca="1">IFERROR(__xludf.DUMMYFUNCTION("""COMPUTED_VALUE"""),0)</f>
        <v>0</v>
      </c>
      <c r="K19" s="140">
        <f ca="1">IFERROR(__xludf.DUMMYFUNCTION("""COMPUTED_VALUE"""),0)</f>
        <v>0</v>
      </c>
      <c r="L19" s="140">
        <f ca="1">IFERROR(__xludf.DUMMYFUNCTION("""COMPUTED_VALUE"""),0)</f>
        <v>0</v>
      </c>
      <c r="M19" s="143">
        <f ca="1">IFERROR(__xludf.DUMMYFUNCTION("""COMPUTED_VALUE"""),0)</f>
        <v>0</v>
      </c>
      <c r="N19" s="140">
        <f ca="1">IFERROR(__xludf.DUMMYFUNCTION("""COMPUTED_VALUE"""),0)</f>
        <v>0</v>
      </c>
      <c r="O19" s="140">
        <f ca="1">IFERROR(__xludf.DUMMYFUNCTION("""COMPUTED_VALUE"""),0)</f>
        <v>0</v>
      </c>
      <c r="P19" s="140">
        <f ca="1">IFERROR(__xludf.DUMMYFUNCTION("""COMPUTED_VALUE"""),0)</f>
        <v>0</v>
      </c>
      <c r="Q19" s="140">
        <f ca="1">IFERROR(__xludf.DUMMYFUNCTION("""COMPUTED_VALUE"""),0)</f>
        <v>0</v>
      </c>
      <c r="R19" s="140">
        <f ca="1">IFERROR(__xludf.DUMMYFUNCTION("""COMPUTED_VALUE"""),0)</f>
        <v>0</v>
      </c>
      <c r="S19" s="140">
        <f ca="1">IFERROR(__xludf.DUMMYFUNCTION("""COMPUTED_VALUE"""),0)</f>
        <v>0</v>
      </c>
      <c r="T19" s="140">
        <f ca="1">IFERROR(__xludf.DUMMYFUNCTION("""COMPUTED_VALUE"""),0)</f>
        <v>0</v>
      </c>
      <c r="U19" s="140">
        <f ca="1">IFERROR(__xludf.DUMMYFUNCTION("""COMPUTED_VALUE"""),0)</f>
        <v>0</v>
      </c>
      <c r="V19" s="69"/>
    </row>
    <row r="20" spans="1:23" ht="12.5" x14ac:dyDescent="0.25">
      <c r="A20" s="81" t="str">
        <f ca="1">IFERROR(__xludf.DUMMYFUNCTION("""COMPUTED_VALUE"""),"Indonesia")</f>
        <v>Indonesia</v>
      </c>
      <c r="B20" s="81" t="str">
        <f ca="1">IFERROR(__xludf.DUMMYFUNCTION("""COMPUTED_VALUE"""),"YNHI")</f>
        <v>YNHI</v>
      </c>
      <c r="C20" s="139" t="str">
        <f ca="1">IFERROR(__xludf.DUMMYFUNCTION("""COMPUTED_VALUE"""),"Digital Product")</f>
        <v>Digital Product</v>
      </c>
      <c r="D20" s="81" t="str">
        <f ca="1">IFERROR(__xludf.DUMMYFUNCTION("""COMPUTED_VALUE"""),"Country Product")</f>
        <v>Country Product</v>
      </c>
      <c r="E20" s="81" t="str">
        <f ca="1">IFERROR(__xludf.DUMMYFUNCTION("""COMPUTED_VALUE"""),"Direct Cost")</f>
        <v>Direct Cost</v>
      </c>
      <c r="F20" s="81" t="str">
        <f ca="1">IFERROR(__xludf.DUMMYFUNCTION("""COMPUTED_VALUE"""),"Office Expenses")</f>
        <v>Office Expenses</v>
      </c>
      <c r="G20" s="81" t="str">
        <f ca="1">IFERROR(__xludf.DUMMYFUNCTION("""COMPUTED_VALUE"""),"Office Equipment Expense")</f>
        <v>Office Equipment Expense</v>
      </c>
      <c r="H20" s="35">
        <f ca="1">IFERROR(__xludf.DUMMYFUNCTION("""COMPUTED_VALUE"""),93405)</f>
        <v>93405</v>
      </c>
      <c r="I20" s="140">
        <f ca="1">IFERROR(__xludf.DUMMYFUNCTION("""COMPUTED_VALUE"""),0)</f>
        <v>0</v>
      </c>
      <c r="J20" s="140">
        <f ca="1">IFERROR(__xludf.DUMMYFUNCTION("""COMPUTED_VALUE"""),0)</f>
        <v>0</v>
      </c>
      <c r="K20" s="140">
        <f ca="1">IFERROR(__xludf.DUMMYFUNCTION("""COMPUTED_VALUE"""),0)</f>
        <v>0</v>
      </c>
      <c r="L20" s="140">
        <f ca="1">IFERROR(__xludf.DUMMYFUNCTION("""COMPUTED_VALUE"""),0)</f>
        <v>0</v>
      </c>
      <c r="M20" s="143">
        <f ca="1">IFERROR(__xludf.DUMMYFUNCTION("""COMPUTED_VALUE"""),0)</f>
        <v>0</v>
      </c>
      <c r="N20" s="140">
        <f ca="1">IFERROR(__xludf.DUMMYFUNCTION("""COMPUTED_VALUE"""),0)</f>
        <v>0</v>
      </c>
      <c r="O20" s="140">
        <f ca="1">IFERROR(__xludf.DUMMYFUNCTION("""COMPUTED_VALUE"""),0)</f>
        <v>0</v>
      </c>
      <c r="P20" s="140">
        <f ca="1">IFERROR(__xludf.DUMMYFUNCTION("""COMPUTED_VALUE"""),0)</f>
        <v>0</v>
      </c>
      <c r="Q20" s="140">
        <f ca="1">IFERROR(__xludf.DUMMYFUNCTION("""COMPUTED_VALUE"""),0)</f>
        <v>0</v>
      </c>
      <c r="R20" s="140">
        <f ca="1">IFERROR(__xludf.DUMMYFUNCTION("""COMPUTED_VALUE"""),0)</f>
        <v>0</v>
      </c>
      <c r="S20" s="140">
        <f ca="1">IFERROR(__xludf.DUMMYFUNCTION("""COMPUTED_VALUE"""),0)</f>
        <v>0</v>
      </c>
      <c r="T20" s="140">
        <f ca="1">IFERROR(__xludf.DUMMYFUNCTION("""COMPUTED_VALUE"""),0)</f>
        <v>0</v>
      </c>
      <c r="U20" s="140">
        <f ca="1">IFERROR(__xludf.DUMMYFUNCTION("""COMPUTED_VALUE"""),0)</f>
        <v>0</v>
      </c>
      <c r="V20" s="69"/>
    </row>
    <row r="21" spans="1:23" ht="12.5" x14ac:dyDescent="0.25">
      <c r="A21" s="81" t="str">
        <f ca="1">IFERROR(__xludf.DUMMYFUNCTION("""COMPUTED_VALUE"""),"Indonesia")</f>
        <v>Indonesia</v>
      </c>
      <c r="B21" s="81" t="str">
        <f ca="1">IFERROR(__xludf.DUMMYFUNCTION("""COMPUTED_VALUE"""),"YNHI")</f>
        <v>YNHI</v>
      </c>
      <c r="C21" s="139" t="str">
        <f ca="1">IFERROR(__xludf.DUMMYFUNCTION("""COMPUTED_VALUE"""),"Digital Product")</f>
        <v>Digital Product</v>
      </c>
      <c r="D21" s="81" t="str">
        <f ca="1">IFERROR(__xludf.DUMMYFUNCTION("""COMPUTED_VALUE"""),"Country Product")</f>
        <v>Country Product</v>
      </c>
      <c r="E21" s="81" t="str">
        <f ca="1">IFERROR(__xludf.DUMMYFUNCTION("""COMPUTED_VALUE"""),"Indirect Cost")</f>
        <v>Indirect Cost</v>
      </c>
      <c r="F21" s="81" t="str">
        <f ca="1">IFERROR(__xludf.DUMMYFUNCTION("""COMPUTED_VALUE"""),"Professional &amp; Consultancy Charges")</f>
        <v>Professional &amp; Consultancy Charges</v>
      </c>
      <c r="G21" s="81" t="str">
        <f ca="1">IFERROR(__xludf.DUMMYFUNCTION("""COMPUTED_VALUE"""),"Admin Consultants")</f>
        <v>Admin Consultants</v>
      </c>
      <c r="H21" s="35">
        <f ca="1">IFERROR(__xludf.DUMMYFUNCTION("""COMPUTED_VALUE"""),93703)</f>
        <v>93703</v>
      </c>
      <c r="I21" s="140">
        <f ca="1">IFERROR(__xludf.DUMMYFUNCTION("""COMPUTED_VALUE"""),40000000)</f>
        <v>40000000</v>
      </c>
      <c r="J21" s="140">
        <f ca="1">IFERROR(__xludf.DUMMYFUNCTION("""COMPUTED_VALUE"""),0)</f>
        <v>0</v>
      </c>
      <c r="K21" s="140">
        <f ca="1">IFERROR(__xludf.DUMMYFUNCTION("""COMPUTED_VALUE"""),0)</f>
        <v>0</v>
      </c>
      <c r="L21" s="140">
        <f ca="1">IFERROR(__xludf.DUMMYFUNCTION("""COMPUTED_VALUE"""),0)</f>
        <v>0</v>
      </c>
      <c r="M21" s="143">
        <f ca="1">IFERROR(__xludf.DUMMYFUNCTION("""COMPUTED_VALUE"""),0)</f>
        <v>0</v>
      </c>
      <c r="N21" s="140">
        <f ca="1">IFERROR(__xludf.DUMMYFUNCTION("""COMPUTED_VALUE"""),0)</f>
        <v>0</v>
      </c>
      <c r="O21" s="140">
        <f ca="1">IFERROR(__xludf.DUMMYFUNCTION("""COMPUTED_VALUE"""),0)</f>
        <v>0</v>
      </c>
      <c r="P21" s="140">
        <f ca="1">IFERROR(__xludf.DUMMYFUNCTION("""COMPUTED_VALUE"""),0)</f>
        <v>0</v>
      </c>
      <c r="Q21" s="140">
        <f ca="1">IFERROR(__xludf.DUMMYFUNCTION("""COMPUTED_VALUE"""),0)</f>
        <v>0</v>
      </c>
      <c r="R21" s="140">
        <f ca="1">IFERROR(__xludf.DUMMYFUNCTION("""COMPUTED_VALUE"""),0)</f>
        <v>0</v>
      </c>
      <c r="S21" s="140">
        <f ca="1">IFERROR(__xludf.DUMMYFUNCTION("""COMPUTED_VALUE"""),40000000)</f>
        <v>40000000</v>
      </c>
      <c r="T21" s="140">
        <f ca="1">IFERROR(__xludf.DUMMYFUNCTION("""COMPUTED_VALUE"""),0)</f>
        <v>0</v>
      </c>
      <c r="U21" s="140">
        <f ca="1">IFERROR(__xludf.DUMMYFUNCTION("""COMPUTED_VALUE"""),0)</f>
        <v>0</v>
      </c>
      <c r="V21" s="69"/>
    </row>
    <row r="22" spans="1:23" ht="12.5" x14ac:dyDescent="0.25">
      <c r="A22" s="81" t="str">
        <f ca="1">IFERROR(__xludf.DUMMYFUNCTION("""COMPUTED_VALUE"""),"Indonesia")</f>
        <v>Indonesia</v>
      </c>
      <c r="B22" s="81" t="str">
        <f ca="1">IFERROR(__xludf.DUMMYFUNCTION("""COMPUTED_VALUE"""),"YNHI")</f>
        <v>YNHI</v>
      </c>
      <c r="C22" s="139" t="str">
        <f ca="1">IFERROR(__xludf.DUMMYFUNCTION("""COMPUTED_VALUE"""),"Digital Product")</f>
        <v>Digital Product</v>
      </c>
      <c r="D22" s="139" t="str">
        <f ca="1">IFERROR(__xludf.DUMMYFUNCTION("""COMPUTED_VALUE"""),"Country Product")</f>
        <v>Country Product</v>
      </c>
      <c r="E22" s="81" t="str">
        <f ca="1">IFERROR(__xludf.DUMMYFUNCTION("""COMPUTED_VALUE"""),"Fixed Assets")</f>
        <v>Fixed Assets</v>
      </c>
      <c r="F22" s="81" t="str">
        <f ca="1">IFERROR(__xludf.DUMMYFUNCTION("""COMPUTED_VALUE"""),"Fixed Assets")</f>
        <v>Fixed Assets</v>
      </c>
      <c r="G22" s="81" t="str">
        <f ca="1">IFERROR(__xludf.DUMMYFUNCTION("""COMPUTED_VALUE"""),"Laptop/ Printer")</f>
        <v>Laptop/ Printer</v>
      </c>
      <c r="H22" s="35">
        <f ca="1">IFERROR(__xludf.DUMMYFUNCTION("""COMPUTED_VALUE"""),11301)</f>
        <v>11301</v>
      </c>
      <c r="I22" s="140">
        <f ca="1">IFERROR(__xludf.DUMMYFUNCTION("""COMPUTED_VALUE"""),125000000)</f>
        <v>125000000</v>
      </c>
      <c r="J22" s="140">
        <f ca="1">IFERROR(__xludf.DUMMYFUNCTION("""COMPUTED_VALUE"""),0)</f>
        <v>0</v>
      </c>
      <c r="K22" s="140">
        <f ca="1">IFERROR(__xludf.DUMMYFUNCTION("""COMPUTED_VALUE"""),0)</f>
        <v>0</v>
      </c>
      <c r="L22" s="140">
        <f ca="1">IFERROR(__xludf.DUMMYFUNCTION("""COMPUTED_VALUE"""),0)</f>
        <v>0</v>
      </c>
      <c r="M22" s="143">
        <f ca="1">IFERROR(__xludf.DUMMYFUNCTION("""COMPUTED_VALUE"""),125000000)</f>
        <v>125000000</v>
      </c>
      <c r="N22" s="140">
        <f ca="1">IFERROR(__xludf.DUMMYFUNCTION("""COMPUTED_VALUE"""),0)</f>
        <v>0</v>
      </c>
      <c r="O22" s="140">
        <f ca="1">IFERROR(__xludf.DUMMYFUNCTION("""COMPUTED_VALUE"""),0)</f>
        <v>0</v>
      </c>
      <c r="P22" s="140">
        <f ca="1">IFERROR(__xludf.DUMMYFUNCTION("""COMPUTED_VALUE"""),0)</f>
        <v>0</v>
      </c>
      <c r="Q22" s="140">
        <f ca="1">IFERROR(__xludf.DUMMYFUNCTION("""COMPUTED_VALUE"""),0)</f>
        <v>0</v>
      </c>
      <c r="R22" s="140">
        <f ca="1">IFERROR(__xludf.DUMMYFUNCTION("""COMPUTED_VALUE"""),0)</f>
        <v>0</v>
      </c>
      <c r="S22" s="140">
        <f ca="1">IFERROR(__xludf.DUMMYFUNCTION("""COMPUTED_VALUE"""),0)</f>
        <v>0</v>
      </c>
      <c r="T22" s="140">
        <f ca="1">IFERROR(__xludf.DUMMYFUNCTION("""COMPUTED_VALUE"""),0)</f>
        <v>0</v>
      </c>
      <c r="U22" s="140">
        <f ca="1">IFERROR(__xludf.DUMMYFUNCTION("""COMPUTED_VALUE"""),0)</f>
        <v>0</v>
      </c>
      <c r="V22" s="69"/>
    </row>
    <row r="23" spans="1:23" ht="13" x14ac:dyDescent="0.3">
      <c r="A23" s="170"/>
      <c r="B23" s="170"/>
      <c r="C23" s="170"/>
      <c r="D23" s="170"/>
      <c r="E23" s="170"/>
      <c r="F23" s="170"/>
      <c r="G23" s="170" t="str">
        <f ca="1">IFERROR(__xludf.DUMMYFUNCTION("""COMPUTED_VALUE"""),"Total expenses ")</f>
        <v xml:space="preserve">Total expenses </v>
      </c>
      <c r="H23" s="170"/>
      <c r="I23" s="171">
        <f ca="1">IFERROR(__xludf.DUMMYFUNCTION("""COMPUTED_VALUE"""),3138654935)</f>
        <v>3138654935</v>
      </c>
      <c r="J23" s="171">
        <f ca="1">IFERROR(__xludf.DUMMYFUNCTION("""COMPUTED_VALUE"""),118760502)</f>
        <v>118760502</v>
      </c>
      <c r="K23" s="171">
        <f ca="1">IFERROR(__xludf.DUMMYFUNCTION("""COMPUTED_VALUE"""),154401326)</f>
        <v>154401326</v>
      </c>
      <c r="L23" s="171">
        <f ca="1">IFERROR(__xludf.DUMMYFUNCTION("""COMPUTED_VALUE"""),124930727)</f>
        <v>124930727</v>
      </c>
      <c r="M23" s="171">
        <f ca="1">IFERROR(__xludf.DUMMYFUNCTION("""COMPUTED_VALUE"""),344631607)</f>
        <v>344631607</v>
      </c>
      <c r="N23" s="171">
        <f ca="1">IFERROR(__xludf.DUMMYFUNCTION("""COMPUTED_VALUE"""),241813910)</f>
        <v>241813910</v>
      </c>
      <c r="O23" s="171">
        <f ca="1">IFERROR(__xludf.DUMMYFUNCTION("""COMPUTED_VALUE"""),276960870)</f>
        <v>276960870</v>
      </c>
      <c r="P23" s="171">
        <f ca="1">IFERROR(__xludf.DUMMYFUNCTION("""COMPUTED_VALUE"""),288628213)</f>
        <v>288628213</v>
      </c>
      <c r="Q23" s="171">
        <f ca="1">IFERROR(__xludf.DUMMYFUNCTION("""COMPUTED_VALUE"""),287910870)</f>
        <v>287910870</v>
      </c>
      <c r="R23" s="171">
        <f ca="1">IFERROR(__xludf.DUMMYFUNCTION("""COMPUTED_VALUE"""),298928213)</f>
        <v>298928213</v>
      </c>
      <c r="S23" s="171">
        <f ca="1">IFERROR(__xludf.DUMMYFUNCTION("""COMPUTED_VALUE"""),360562899)</f>
        <v>360562899</v>
      </c>
      <c r="T23" s="171">
        <f ca="1">IFERROR(__xludf.DUMMYFUNCTION("""COMPUTED_VALUE"""),320562899)</f>
        <v>320562899</v>
      </c>
      <c r="U23" s="171">
        <f ca="1">IFERROR(__xludf.DUMMYFUNCTION("""COMPUTED_VALUE"""),320562899)</f>
        <v>320562899</v>
      </c>
      <c r="V23" s="69">
        <f ca="1">IFERROR(__xludf.DUMMYFUNCTION("""COMPUTED_VALUE"""),2026)</f>
        <v>2026</v>
      </c>
    </row>
    <row r="26" spans="1:23" ht="15.75" customHeight="1" x14ac:dyDescent="0.25">
      <c r="A26" s="137" t="str">
        <f ca="1">IFERROR(__xludf.DUMMYFUNCTION("importrange(""https://docs.google.com/spreadsheets/d/1JZdqIZSV5Z59o-n7BamPrZgw0XJE3PXOzH4MbldWKwo/edit?gid=832336248#"",""Summary!A3:V23"")"),"Indonesia")</f>
        <v>Indonesia</v>
      </c>
      <c r="B26" s="81" t="str">
        <f ca="1">IFERROR(__xludf.DUMMYFUNCTION("""COMPUTED_VALUE"""),"YNHI")</f>
        <v>YNHI</v>
      </c>
      <c r="C26" s="139" t="str">
        <f ca="1">IFERROR(__xludf.DUMMYFUNCTION("""COMPUTED_VALUE"""),"Digital Product")</f>
        <v>Digital Product</v>
      </c>
      <c r="D26" s="139" t="str">
        <f ca="1">IFERROR(__xludf.DUMMYFUNCTION("""COMPUTED_VALUE"""),"Engineering")</f>
        <v>Engineering</v>
      </c>
      <c r="E26" s="139" t="str">
        <f ca="1">IFERROR(__xludf.DUMMYFUNCTION("""COMPUTED_VALUE"""),"Payroll Cost")</f>
        <v>Payroll Cost</v>
      </c>
      <c r="F26" s="139" t="str">
        <f ca="1">IFERROR(__xludf.DUMMYFUNCTION("""COMPUTED_VALUE"""),"Salaries and Wages")</f>
        <v>Salaries and Wages</v>
      </c>
      <c r="G26" s="139" t="str">
        <f ca="1">IFERROR(__xludf.DUMMYFUNCTION("""COMPUTED_VALUE"""),"Salaries and Wages")</f>
        <v>Salaries and Wages</v>
      </c>
      <c r="H26" s="141" t="str">
        <f ca="1">IFERROR(__xludf.DUMMYFUNCTION("""COMPUTED_VALUE"""),"91101-91107")</f>
        <v>91101-91107</v>
      </c>
      <c r="I26" s="140">
        <f ca="1">IFERROR(__xludf.DUMMYFUNCTION("""COMPUTED_VALUE"""),580274056)</f>
        <v>580274056</v>
      </c>
      <c r="J26" s="140">
        <f ca="1">IFERROR(__xludf.DUMMYFUNCTION("""COMPUTED_VALUE"""),31970343)</f>
        <v>31970343</v>
      </c>
      <c r="K26" s="140">
        <f ca="1">IFERROR(__xludf.DUMMYFUNCTION("""COMPUTED_VALUE"""),49732843)</f>
        <v>49732843</v>
      </c>
      <c r="L26" s="140">
        <f ca="1">IFERROR(__xludf.DUMMYFUNCTION("""COMPUTED_VALUE"""),31970343)</f>
        <v>31970343</v>
      </c>
      <c r="M26" s="143">
        <f ca="1">IFERROR(__xludf.DUMMYFUNCTION("""COMPUTED_VALUE"""),51844503)</f>
        <v>51844503</v>
      </c>
      <c r="N26" s="140">
        <f ca="1">IFERROR(__xludf.DUMMYFUNCTION("""COMPUTED_VALUE"""),51844503)</f>
        <v>51844503</v>
      </c>
      <c r="O26" s="140">
        <f ca="1">IFERROR(__xludf.DUMMYFUNCTION("""COMPUTED_VALUE"""),51844503)</f>
        <v>51844503</v>
      </c>
      <c r="P26" s="140">
        <f ca="1">IFERROR(__xludf.DUMMYFUNCTION("""COMPUTED_VALUE"""),51844503)</f>
        <v>51844503</v>
      </c>
      <c r="Q26" s="140">
        <f ca="1">IFERROR(__xludf.DUMMYFUNCTION("""COMPUTED_VALUE"""),51844503)</f>
        <v>51844503</v>
      </c>
      <c r="R26" s="140">
        <f ca="1">IFERROR(__xludf.DUMMYFUNCTION("""COMPUTED_VALUE"""),51844503)</f>
        <v>51844503</v>
      </c>
      <c r="S26" s="140">
        <f ca="1">IFERROR(__xludf.DUMMYFUNCTION("""COMPUTED_VALUE"""),51844503)</f>
        <v>51844503</v>
      </c>
      <c r="T26" s="140">
        <f ca="1">IFERROR(__xludf.DUMMYFUNCTION("""COMPUTED_VALUE"""),51844503)</f>
        <v>51844503</v>
      </c>
      <c r="U26" s="140">
        <f ca="1">IFERROR(__xludf.DUMMYFUNCTION("""COMPUTED_VALUE"""),51844503)</f>
        <v>51844503</v>
      </c>
      <c r="V26" s="100"/>
      <c r="W26" s="100"/>
    </row>
    <row r="27" spans="1:23" ht="12.5" x14ac:dyDescent="0.25">
      <c r="A27" s="81" t="str">
        <f ca="1">IFERROR(__xludf.DUMMYFUNCTION("""COMPUTED_VALUE"""),"Indonesia")</f>
        <v>Indonesia</v>
      </c>
      <c r="B27" s="81" t="str">
        <f ca="1">IFERROR(__xludf.DUMMYFUNCTION("""COMPUTED_VALUE"""),"YNHI")</f>
        <v>YNHI</v>
      </c>
      <c r="C27" s="139" t="str">
        <f ca="1">IFERROR(__xludf.DUMMYFUNCTION("""COMPUTED_VALUE"""),"Digital Product")</f>
        <v>Digital Product</v>
      </c>
      <c r="D27" s="139" t="str">
        <f ca="1">IFERROR(__xludf.DUMMYFUNCTION("""COMPUTED_VALUE"""),"Engineering")</f>
        <v>Engineering</v>
      </c>
      <c r="E27" s="139" t="str">
        <f ca="1">IFERROR(__xludf.DUMMYFUNCTION("""COMPUTED_VALUE"""),"Payroll Cost")</f>
        <v>Payroll Cost</v>
      </c>
      <c r="F27" s="139" t="str">
        <f ca="1">IFERROR(__xludf.DUMMYFUNCTION("""COMPUTED_VALUE"""),"Health and Retirement Benefits")</f>
        <v>Health and Retirement Benefits</v>
      </c>
      <c r="G27" s="139" t="str">
        <f ca="1">IFERROR(__xludf.DUMMYFUNCTION("""COMPUTED_VALUE"""),"Gratuity &amp; Bonus")</f>
        <v>Gratuity &amp; Bonus</v>
      </c>
      <c r="H27" s="141" t="str">
        <f ca="1">IFERROR(__xludf.DUMMYFUNCTION("""COMPUTED_VALUE"""),"91201-91207")</f>
        <v>91201-91207</v>
      </c>
      <c r="I27" s="140">
        <f ca="1">IFERROR(__xludf.DUMMYFUNCTION("""COMPUTED_VALUE"""),0)</f>
        <v>0</v>
      </c>
      <c r="J27" s="140">
        <f ca="1">IFERROR(__xludf.DUMMYFUNCTION("""COMPUTED_VALUE"""),0)</f>
        <v>0</v>
      </c>
      <c r="K27" s="140">
        <f ca="1">IFERROR(__xludf.DUMMYFUNCTION("""COMPUTED_VALUE"""),0)</f>
        <v>0</v>
      </c>
      <c r="L27" s="140">
        <f ca="1">IFERROR(__xludf.DUMMYFUNCTION("""COMPUTED_VALUE"""),0)</f>
        <v>0</v>
      </c>
      <c r="M27" s="143">
        <f ca="1">IFERROR(__xludf.DUMMYFUNCTION("""COMPUTED_VALUE"""),0)</f>
        <v>0</v>
      </c>
      <c r="N27" s="140">
        <f ca="1">IFERROR(__xludf.DUMMYFUNCTION("""COMPUTED_VALUE"""),0)</f>
        <v>0</v>
      </c>
      <c r="O27" s="140">
        <f ca="1">IFERROR(__xludf.DUMMYFUNCTION("""COMPUTED_VALUE"""),0)</f>
        <v>0</v>
      </c>
      <c r="P27" s="140">
        <f ca="1">IFERROR(__xludf.DUMMYFUNCTION("""COMPUTED_VALUE"""),0)</f>
        <v>0</v>
      </c>
      <c r="Q27" s="140">
        <f ca="1">IFERROR(__xludf.DUMMYFUNCTION("""COMPUTED_VALUE"""),0)</f>
        <v>0</v>
      </c>
      <c r="R27" s="140">
        <f ca="1">IFERROR(__xludf.DUMMYFUNCTION("""COMPUTED_VALUE"""),0)</f>
        <v>0</v>
      </c>
      <c r="S27" s="140">
        <f ca="1">IFERROR(__xludf.DUMMYFUNCTION("""COMPUTED_VALUE"""),0)</f>
        <v>0</v>
      </c>
      <c r="T27" s="140">
        <f ca="1">IFERROR(__xludf.DUMMYFUNCTION("""COMPUTED_VALUE"""),0)</f>
        <v>0</v>
      </c>
      <c r="U27" s="140">
        <f ca="1">IFERROR(__xludf.DUMMYFUNCTION("""COMPUTED_VALUE"""),0)</f>
        <v>0</v>
      </c>
      <c r="V27" s="69"/>
    </row>
    <row r="28" spans="1:23" ht="12.5" x14ac:dyDescent="0.25">
      <c r="A28" s="81" t="str">
        <f ca="1">IFERROR(__xludf.DUMMYFUNCTION("""COMPUTED_VALUE"""),"Indonesia")</f>
        <v>Indonesia</v>
      </c>
      <c r="B28" s="81" t="str">
        <f ca="1">IFERROR(__xludf.DUMMYFUNCTION("""COMPUTED_VALUE"""),"YNHI")</f>
        <v>YNHI</v>
      </c>
      <c r="C28" s="139" t="str">
        <f ca="1">IFERROR(__xludf.DUMMYFUNCTION("""COMPUTED_VALUE"""),"Digital Product")</f>
        <v>Digital Product</v>
      </c>
      <c r="D28" s="139" t="str">
        <f ca="1">IFERROR(__xludf.DUMMYFUNCTION("""COMPUTED_VALUE"""),"Engineering")</f>
        <v>Engineering</v>
      </c>
      <c r="E28" s="139" t="str">
        <f ca="1">IFERROR(__xludf.DUMMYFUNCTION("""COMPUTED_VALUE"""),"Payroll Cost")</f>
        <v>Payroll Cost</v>
      </c>
      <c r="F28" s="139" t="str">
        <f ca="1">IFERROR(__xludf.DUMMYFUNCTION("""COMPUTED_VALUE"""),"Other Staff Expenses")</f>
        <v>Other Staff Expenses</v>
      </c>
      <c r="G28" s="139" t="str">
        <f ca="1">IFERROR(__xludf.DUMMYFUNCTION("""COMPUTED_VALUE"""),"Staff Training, Learning &amp; Development Exp")</f>
        <v>Staff Training, Learning &amp; Development Exp</v>
      </c>
      <c r="H28" s="152">
        <f ca="1">IFERROR(__xludf.DUMMYFUNCTION("""COMPUTED_VALUE"""),91302)</f>
        <v>91302</v>
      </c>
      <c r="I28" s="140">
        <f ca="1">IFERROR(__xludf.DUMMYFUNCTION("""COMPUTED_VALUE"""),0)</f>
        <v>0</v>
      </c>
      <c r="J28" s="140">
        <f ca="1">IFERROR(__xludf.DUMMYFUNCTION("""COMPUTED_VALUE"""),0)</f>
        <v>0</v>
      </c>
      <c r="K28" s="140">
        <f ca="1">IFERROR(__xludf.DUMMYFUNCTION("""COMPUTED_VALUE"""),0)</f>
        <v>0</v>
      </c>
      <c r="L28" s="140">
        <f ca="1">IFERROR(__xludf.DUMMYFUNCTION("""COMPUTED_VALUE"""),0)</f>
        <v>0</v>
      </c>
      <c r="M28" s="143">
        <f ca="1">IFERROR(__xludf.DUMMYFUNCTION("""COMPUTED_VALUE"""),0)</f>
        <v>0</v>
      </c>
      <c r="N28" s="140">
        <f ca="1">IFERROR(__xludf.DUMMYFUNCTION("""COMPUTED_VALUE"""),0)</f>
        <v>0</v>
      </c>
      <c r="O28" s="140">
        <f ca="1">IFERROR(__xludf.DUMMYFUNCTION("""COMPUTED_VALUE"""),0)</f>
        <v>0</v>
      </c>
      <c r="P28" s="140">
        <f ca="1">IFERROR(__xludf.DUMMYFUNCTION("""COMPUTED_VALUE"""),0)</f>
        <v>0</v>
      </c>
      <c r="Q28" s="140">
        <f ca="1">IFERROR(__xludf.DUMMYFUNCTION("""COMPUTED_VALUE"""),0)</f>
        <v>0</v>
      </c>
      <c r="R28" s="140">
        <f ca="1">IFERROR(__xludf.DUMMYFUNCTION("""COMPUTED_VALUE"""),0)</f>
        <v>0</v>
      </c>
      <c r="S28" s="140">
        <f ca="1">IFERROR(__xludf.DUMMYFUNCTION("""COMPUTED_VALUE"""),0)</f>
        <v>0</v>
      </c>
      <c r="T28" s="140">
        <f ca="1">IFERROR(__xludf.DUMMYFUNCTION("""COMPUTED_VALUE"""),0)</f>
        <v>0</v>
      </c>
      <c r="U28" s="140">
        <f ca="1">IFERROR(__xludf.DUMMYFUNCTION("""COMPUTED_VALUE"""),0)</f>
        <v>0</v>
      </c>
      <c r="V28" s="69"/>
    </row>
    <row r="29" spans="1:23" ht="12.5" x14ac:dyDescent="0.25">
      <c r="A29" s="81" t="str">
        <f ca="1">IFERROR(__xludf.DUMMYFUNCTION("""COMPUTED_VALUE"""),"Indonesia")</f>
        <v>Indonesia</v>
      </c>
      <c r="B29" s="81" t="str">
        <f ca="1">IFERROR(__xludf.DUMMYFUNCTION("""COMPUTED_VALUE"""),"YNHI")</f>
        <v>YNHI</v>
      </c>
      <c r="C29" s="139" t="str">
        <f ca="1">IFERROR(__xludf.DUMMYFUNCTION("""COMPUTED_VALUE"""),"Digital Product")</f>
        <v>Digital Product</v>
      </c>
      <c r="D29" s="139" t="str">
        <f ca="1">IFERROR(__xludf.DUMMYFUNCTION("""COMPUTED_VALUE"""),"Engineering")</f>
        <v>Engineering</v>
      </c>
      <c r="E29" s="81" t="str">
        <f ca="1">IFERROR(__xludf.DUMMYFUNCTION("""COMPUTED_VALUE"""),"Direct Consultants")</f>
        <v>Direct Consultants</v>
      </c>
      <c r="F29" s="81" t="str">
        <f ca="1">IFERROR(__xludf.DUMMYFUNCTION("""COMPUTED_VALUE"""),"Resource Persons")</f>
        <v>Resource Persons</v>
      </c>
      <c r="G29" s="81" t="str">
        <f ca="1">IFERROR(__xludf.DUMMYFUNCTION("""COMPUTED_VALUE"""),"Program Resource Consultant (EHA)")</f>
        <v>Program Resource Consultant (EHA)</v>
      </c>
      <c r="H29" s="35">
        <f ca="1">IFERROR(__xludf.DUMMYFUNCTION("""COMPUTED_VALUE"""),92101)</f>
        <v>92101</v>
      </c>
      <c r="I29" s="140">
        <f ca="1">IFERROR(__xludf.DUMMYFUNCTION("""COMPUTED_VALUE"""),0)</f>
        <v>0</v>
      </c>
      <c r="J29" s="140">
        <f ca="1">IFERROR(__xludf.DUMMYFUNCTION("""COMPUTED_VALUE"""),0)</f>
        <v>0</v>
      </c>
      <c r="K29" s="140">
        <f ca="1">IFERROR(__xludf.DUMMYFUNCTION("""COMPUTED_VALUE"""),0)</f>
        <v>0</v>
      </c>
      <c r="L29" s="140">
        <f ca="1">IFERROR(__xludf.DUMMYFUNCTION("""COMPUTED_VALUE"""),0)</f>
        <v>0</v>
      </c>
      <c r="M29" s="143">
        <f ca="1">IFERROR(__xludf.DUMMYFUNCTION("""COMPUTED_VALUE"""),0)</f>
        <v>0</v>
      </c>
      <c r="N29" s="140">
        <f ca="1">IFERROR(__xludf.DUMMYFUNCTION("""COMPUTED_VALUE"""),0)</f>
        <v>0</v>
      </c>
      <c r="O29" s="140">
        <f ca="1">IFERROR(__xludf.DUMMYFUNCTION("""COMPUTED_VALUE"""),0)</f>
        <v>0</v>
      </c>
      <c r="P29" s="140">
        <f ca="1">IFERROR(__xludf.DUMMYFUNCTION("""COMPUTED_VALUE"""),0)</f>
        <v>0</v>
      </c>
      <c r="Q29" s="140">
        <f ca="1">IFERROR(__xludf.DUMMYFUNCTION("""COMPUTED_VALUE"""),0)</f>
        <v>0</v>
      </c>
      <c r="R29" s="140">
        <f ca="1">IFERROR(__xludf.DUMMYFUNCTION("""COMPUTED_VALUE"""),0)</f>
        <v>0</v>
      </c>
      <c r="S29" s="140">
        <f ca="1">IFERROR(__xludf.DUMMYFUNCTION("""COMPUTED_VALUE"""),0)</f>
        <v>0</v>
      </c>
      <c r="T29" s="140">
        <f ca="1">IFERROR(__xludf.DUMMYFUNCTION("""COMPUTED_VALUE"""),0)</f>
        <v>0</v>
      </c>
      <c r="U29" s="140">
        <f ca="1">IFERROR(__xludf.DUMMYFUNCTION("""COMPUTED_VALUE"""),0)</f>
        <v>0</v>
      </c>
      <c r="V29" s="69"/>
    </row>
    <row r="30" spans="1:23" ht="12.5" x14ac:dyDescent="0.25">
      <c r="A30" s="81" t="str">
        <f ca="1">IFERROR(__xludf.DUMMYFUNCTION("""COMPUTED_VALUE"""),"Indonesia")</f>
        <v>Indonesia</v>
      </c>
      <c r="B30" s="81" t="str">
        <f ca="1">IFERROR(__xludf.DUMMYFUNCTION("""COMPUTED_VALUE"""),"YNHI")</f>
        <v>YNHI</v>
      </c>
      <c r="C30" s="139" t="str">
        <f ca="1">IFERROR(__xludf.DUMMYFUNCTION("""COMPUTED_VALUE"""),"Digital Product")</f>
        <v>Digital Product</v>
      </c>
      <c r="D30" s="140" t="str">
        <f ca="1">IFERROR(__xludf.DUMMYFUNCTION("""COMPUTED_VALUE""")," Engineering ")</f>
        <v xml:space="preserve"> Engineering </v>
      </c>
      <c r="E30" s="81" t="str">
        <f ca="1">IFERROR(__xludf.DUMMYFUNCTION("""COMPUTED_VALUE"""),"Direct Cost")</f>
        <v>Direct Cost</v>
      </c>
      <c r="F30" s="81" t="str">
        <f ca="1">IFERROR(__xludf.DUMMYFUNCTION("""COMPUTED_VALUE"""),"Travel &amp; Lodging Expenses")</f>
        <v>Travel &amp; Lodging Expenses</v>
      </c>
      <c r="G30" s="81" t="str">
        <f ca="1">IFERROR(__xludf.DUMMYFUNCTION("""COMPUTED_VALUE"""),"Hotel Accomodation")</f>
        <v>Hotel Accomodation</v>
      </c>
      <c r="H30" s="35">
        <f ca="1">IFERROR(__xludf.DUMMYFUNCTION("""COMPUTED_VALUE"""),93101)</f>
        <v>93101</v>
      </c>
      <c r="I30" s="140">
        <f ca="1">IFERROR(__xludf.DUMMYFUNCTION("""COMPUTED_VALUE"""),4500000)</f>
        <v>4500000</v>
      </c>
      <c r="J30" s="140">
        <f ca="1">IFERROR(__xludf.DUMMYFUNCTION("""COMPUTED_VALUE"""),0)</f>
        <v>0</v>
      </c>
      <c r="K30" s="140">
        <f ca="1">IFERROR(__xludf.DUMMYFUNCTION("""COMPUTED_VALUE"""),0)</f>
        <v>0</v>
      </c>
      <c r="L30" s="140">
        <f ca="1">IFERROR(__xludf.DUMMYFUNCTION("""COMPUTED_VALUE"""),4500000)</f>
        <v>4500000</v>
      </c>
      <c r="M30" s="143">
        <f ca="1">IFERROR(__xludf.DUMMYFUNCTION("""COMPUTED_VALUE"""),0)</f>
        <v>0</v>
      </c>
      <c r="N30" s="140">
        <f ca="1">IFERROR(__xludf.DUMMYFUNCTION("""COMPUTED_VALUE"""),0)</f>
        <v>0</v>
      </c>
      <c r="O30" s="140">
        <f ca="1">IFERROR(__xludf.DUMMYFUNCTION("""COMPUTED_VALUE"""),0)</f>
        <v>0</v>
      </c>
      <c r="P30" s="140">
        <f ca="1">IFERROR(__xludf.DUMMYFUNCTION("""COMPUTED_VALUE"""),0)</f>
        <v>0</v>
      </c>
      <c r="Q30" s="140">
        <f ca="1">IFERROR(__xludf.DUMMYFUNCTION("""COMPUTED_VALUE"""),0)</f>
        <v>0</v>
      </c>
      <c r="R30" s="140">
        <f ca="1">IFERROR(__xludf.DUMMYFUNCTION("""COMPUTED_VALUE"""),0)</f>
        <v>0</v>
      </c>
      <c r="S30" s="140">
        <f ca="1">IFERROR(__xludf.DUMMYFUNCTION("""COMPUTED_VALUE"""),0)</f>
        <v>0</v>
      </c>
      <c r="T30" s="140">
        <f ca="1">IFERROR(__xludf.DUMMYFUNCTION("""COMPUTED_VALUE"""),0)</f>
        <v>0</v>
      </c>
      <c r="U30" s="140">
        <f ca="1">IFERROR(__xludf.DUMMYFUNCTION("""COMPUTED_VALUE"""),0)</f>
        <v>0</v>
      </c>
      <c r="V30" s="69"/>
    </row>
    <row r="31" spans="1:23" ht="12.5" x14ac:dyDescent="0.25">
      <c r="A31" s="81" t="str">
        <f ca="1">IFERROR(__xludf.DUMMYFUNCTION("""COMPUTED_VALUE"""),"Indonesia")</f>
        <v>Indonesia</v>
      </c>
      <c r="B31" s="81" t="str">
        <f ca="1">IFERROR(__xludf.DUMMYFUNCTION("""COMPUTED_VALUE"""),"YNHI")</f>
        <v>YNHI</v>
      </c>
      <c r="C31" s="139" t="str">
        <f ca="1">IFERROR(__xludf.DUMMYFUNCTION("""COMPUTED_VALUE"""),"Digital Product")</f>
        <v>Digital Product</v>
      </c>
      <c r="D31" s="140" t="str">
        <f ca="1">IFERROR(__xludf.DUMMYFUNCTION("""COMPUTED_VALUE""")," Engineering ")</f>
        <v xml:space="preserve"> Engineering </v>
      </c>
      <c r="E31" s="81" t="str">
        <f ca="1">IFERROR(__xludf.DUMMYFUNCTION("""COMPUTED_VALUE"""),"Direct Cost")</f>
        <v>Direct Cost</v>
      </c>
      <c r="F31" s="81" t="str">
        <f ca="1">IFERROR(__xludf.DUMMYFUNCTION("""COMPUTED_VALUE"""),"Travel &amp; Lodging Expenses")</f>
        <v>Travel &amp; Lodging Expenses</v>
      </c>
      <c r="G31" s="81" t="str">
        <f ca="1">IFERROR(__xludf.DUMMYFUNCTION("""COMPUTED_VALUE"""),"Food Expenses")</f>
        <v>Food Expenses</v>
      </c>
      <c r="H31" s="35">
        <f ca="1">IFERROR(__xludf.DUMMYFUNCTION("""COMPUTED_VALUE"""),93102)</f>
        <v>93102</v>
      </c>
      <c r="I31" s="140">
        <f ca="1">IFERROR(__xludf.DUMMYFUNCTION("""COMPUTED_VALUE"""),30000000)</f>
        <v>30000000</v>
      </c>
      <c r="J31" s="140">
        <f ca="1">IFERROR(__xludf.DUMMYFUNCTION("""COMPUTED_VALUE"""),0)</f>
        <v>0</v>
      </c>
      <c r="K31" s="140">
        <f ca="1">IFERROR(__xludf.DUMMYFUNCTION("""COMPUTED_VALUE"""),0)</f>
        <v>0</v>
      </c>
      <c r="L31" s="140">
        <f ca="1">IFERROR(__xludf.DUMMYFUNCTION("""COMPUTED_VALUE"""),30000000)</f>
        <v>30000000</v>
      </c>
      <c r="M31" s="143">
        <f ca="1">IFERROR(__xludf.DUMMYFUNCTION("""COMPUTED_VALUE"""),0)</f>
        <v>0</v>
      </c>
      <c r="N31" s="140">
        <f ca="1">IFERROR(__xludf.DUMMYFUNCTION("""COMPUTED_VALUE"""),0)</f>
        <v>0</v>
      </c>
      <c r="O31" s="140">
        <f ca="1">IFERROR(__xludf.DUMMYFUNCTION("""COMPUTED_VALUE"""),0)</f>
        <v>0</v>
      </c>
      <c r="P31" s="140">
        <f ca="1">IFERROR(__xludf.DUMMYFUNCTION("""COMPUTED_VALUE"""),0)</f>
        <v>0</v>
      </c>
      <c r="Q31" s="140">
        <f ca="1">IFERROR(__xludf.DUMMYFUNCTION("""COMPUTED_VALUE"""),0)</f>
        <v>0</v>
      </c>
      <c r="R31" s="140">
        <f ca="1">IFERROR(__xludf.DUMMYFUNCTION("""COMPUTED_VALUE"""),0)</f>
        <v>0</v>
      </c>
      <c r="S31" s="140">
        <f ca="1">IFERROR(__xludf.DUMMYFUNCTION("""COMPUTED_VALUE"""),0)</f>
        <v>0</v>
      </c>
      <c r="T31" s="140">
        <f ca="1">IFERROR(__xludf.DUMMYFUNCTION("""COMPUTED_VALUE"""),0)</f>
        <v>0</v>
      </c>
      <c r="U31" s="140">
        <f ca="1">IFERROR(__xludf.DUMMYFUNCTION("""COMPUTED_VALUE"""),0)</f>
        <v>0</v>
      </c>
      <c r="V31" s="69"/>
    </row>
    <row r="32" spans="1:23" ht="12.5" x14ac:dyDescent="0.25">
      <c r="A32" s="81" t="str">
        <f ca="1">IFERROR(__xludf.DUMMYFUNCTION("""COMPUTED_VALUE"""),"Indonesia")</f>
        <v>Indonesia</v>
      </c>
      <c r="B32" s="81" t="str">
        <f ca="1">IFERROR(__xludf.DUMMYFUNCTION("""COMPUTED_VALUE"""),"YNHI")</f>
        <v>YNHI</v>
      </c>
      <c r="C32" s="139" t="str">
        <f ca="1">IFERROR(__xludf.DUMMYFUNCTION("""COMPUTED_VALUE"""),"Digital Product")</f>
        <v>Digital Product</v>
      </c>
      <c r="D32" s="140" t="str">
        <f ca="1">IFERROR(__xludf.DUMMYFUNCTION("""COMPUTED_VALUE""")," Engineering ")</f>
        <v xml:space="preserve"> Engineering </v>
      </c>
      <c r="E32" s="81" t="str">
        <f ca="1">IFERROR(__xludf.DUMMYFUNCTION("""COMPUTED_VALUE"""),"Direct Cost")</f>
        <v>Direct Cost</v>
      </c>
      <c r="F32" s="81" t="str">
        <f ca="1">IFERROR(__xludf.DUMMYFUNCTION("""COMPUTED_VALUE"""),"Travel &amp; Lodging Expenses")</f>
        <v>Travel &amp; Lodging Expenses</v>
      </c>
      <c r="G32" s="81" t="str">
        <f ca="1">IFERROR(__xludf.DUMMYFUNCTION("""COMPUTED_VALUE"""),"Air fare")</f>
        <v>Air fare</v>
      </c>
      <c r="H32" s="35">
        <f ca="1">IFERROR(__xludf.DUMMYFUNCTION("""COMPUTED_VALUE"""),93103)</f>
        <v>93103</v>
      </c>
      <c r="I32" s="140">
        <f ca="1">IFERROR(__xludf.DUMMYFUNCTION("""COMPUTED_VALUE"""),0)</f>
        <v>0</v>
      </c>
      <c r="J32" s="140">
        <f ca="1">IFERROR(__xludf.DUMMYFUNCTION("""COMPUTED_VALUE"""),0)</f>
        <v>0</v>
      </c>
      <c r="K32" s="140">
        <f ca="1">IFERROR(__xludf.DUMMYFUNCTION("""COMPUTED_VALUE"""),0)</f>
        <v>0</v>
      </c>
      <c r="L32" s="140">
        <f ca="1">IFERROR(__xludf.DUMMYFUNCTION("""COMPUTED_VALUE"""),0)</f>
        <v>0</v>
      </c>
      <c r="M32" s="143">
        <f ca="1">IFERROR(__xludf.DUMMYFUNCTION("""COMPUTED_VALUE"""),0)</f>
        <v>0</v>
      </c>
      <c r="N32" s="140">
        <f ca="1">IFERROR(__xludf.DUMMYFUNCTION("""COMPUTED_VALUE"""),0)</f>
        <v>0</v>
      </c>
      <c r="O32" s="140">
        <f ca="1">IFERROR(__xludf.DUMMYFUNCTION("""COMPUTED_VALUE"""),0)</f>
        <v>0</v>
      </c>
      <c r="P32" s="140">
        <f ca="1">IFERROR(__xludf.DUMMYFUNCTION("""COMPUTED_VALUE"""),0)</f>
        <v>0</v>
      </c>
      <c r="Q32" s="140">
        <f ca="1">IFERROR(__xludf.DUMMYFUNCTION("""COMPUTED_VALUE"""),0)</f>
        <v>0</v>
      </c>
      <c r="R32" s="140">
        <f ca="1">IFERROR(__xludf.DUMMYFUNCTION("""COMPUTED_VALUE"""),0)</f>
        <v>0</v>
      </c>
      <c r="S32" s="140">
        <f ca="1">IFERROR(__xludf.DUMMYFUNCTION("""COMPUTED_VALUE"""),0)</f>
        <v>0</v>
      </c>
      <c r="T32" s="140">
        <f ca="1">IFERROR(__xludf.DUMMYFUNCTION("""COMPUTED_VALUE"""),0)</f>
        <v>0</v>
      </c>
      <c r="U32" s="140">
        <f ca="1">IFERROR(__xludf.DUMMYFUNCTION("""COMPUTED_VALUE"""),0)</f>
        <v>0</v>
      </c>
      <c r="V32" s="69"/>
    </row>
    <row r="33" spans="1:22" ht="12.5" x14ac:dyDescent="0.25">
      <c r="A33" s="81" t="str">
        <f ca="1">IFERROR(__xludf.DUMMYFUNCTION("""COMPUTED_VALUE"""),"Indonesia")</f>
        <v>Indonesia</v>
      </c>
      <c r="B33" s="81" t="str">
        <f ca="1">IFERROR(__xludf.DUMMYFUNCTION("""COMPUTED_VALUE"""),"YNHI")</f>
        <v>YNHI</v>
      </c>
      <c r="C33" s="139" t="str">
        <f ca="1">IFERROR(__xludf.DUMMYFUNCTION("""COMPUTED_VALUE"""),"Digital Product")</f>
        <v>Digital Product</v>
      </c>
      <c r="D33" s="140" t="str">
        <f ca="1">IFERROR(__xludf.DUMMYFUNCTION("""COMPUTED_VALUE""")," Engineering ")</f>
        <v xml:space="preserve"> Engineering </v>
      </c>
      <c r="E33" s="81" t="str">
        <f ca="1">IFERROR(__xludf.DUMMYFUNCTION("""COMPUTED_VALUE"""),"Direct Cost")</f>
        <v>Direct Cost</v>
      </c>
      <c r="F33" s="81" t="str">
        <f ca="1">IFERROR(__xludf.DUMMYFUNCTION("""COMPUTED_VALUE"""),"Travel &amp; Lodging Expenses")</f>
        <v>Travel &amp; Lodging Expenses</v>
      </c>
      <c r="G33" s="81" t="str">
        <f ca="1">IFERROR(__xludf.DUMMYFUNCTION("""COMPUTED_VALUE"""),"Cab/Auto")</f>
        <v>Cab/Auto</v>
      </c>
      <c r="H33" s="35">
        <f ca="1">IFERROR(__xludf.DUMMYFUNCTION("""COMPUTED_VALUE"""),93104)</f>
        <v>93104</v>
      </c>
      <c r="I33" s="140">
        <f ca="1">IFERROR(__xludf.DUMMYFUNCTION("""COMPUTED_VALUE"""),15000000)</f>
        <v>15000000</v>
      </c>
      <c r="J33" s="140">
        <f ca="1">IFERROR(__xludf.DUMMYFUNCTION("""COMPUTED_VALUE"""),0)</f>
        <v>0</v>
      </c>
      <c r="K33" s="140">
        <f ca="1">IFERROR(__xludf.DUMMYFUNCTION("""COMPUTED_VALUE"""),0)</f>
        <v>0</v>
      </c>
      <c r="L33" s="140">
        <f ca="1">IFERROR(__xludf.DUMMYFUNCTION("""COMPUTED_VALUE"""),15000000)</f>
        <v>15000000</v>
      </c>
      <c r="M33" s="143">
        <f ca="1">IFERROR(__xludf.DUMMYFUNCTION("""COMPUTED_VALUE"""),0)</f>
        <v>0</v>
      </c>
      <c r="N33" s="140">
        <f ca="1">IFERROR(__xludf.DUMMYFUNCTION("""COMPUTED_VALUE"""),0)</f>
        <v>0</v>
      </c>
      <c r="O33" s="140">
        <f ca="1">IFERROR(__xludf.DUMMYFUNCTION("""COMPUTED_VALUE"""),0)</f>
        <v>0</v>
      </c>
      <c r="P33" s="140">
        <f ca="1">IFERROR(__xludf.DUMMYFUNCTION("""COMPUTED_VALUE"""),0)</f>
        <v>0</v>
      </c>
      <c r="Q33" s="140">
        <f ca="1">IFERROR(__xludf.DUMMYFUNCTION("""COMPUTED_VALUE"""),0)</f>
        <v>0</v>
      </c>
      <c r="R33" s="140">
        <f ca="1">IFERROR(__xludf.DUMMYFUNCTION("""COMPUTED_VALUE"""),0)</f>
        <v>0</v>
      </c>
      <c r="S33" s="140">
        <f ca="1">IFERROR(__xludf.DUMMYFUNCTION("""COMPUTED_VALUE"""),0)</f>
        <v>0</v>
      </c>
      <c r="T33" s="140">
        <f ca="1">IFERROR(__xludf.DUMMYFUNCTION("""COMPUTED_VALUE"""),0)</f>
        <v>0</v>
      </c>
      <c r="U33" s="140">
        <f ca="1">IFERROR(__xludf.DUMMYFUNCTION("""COMPUTED_VALUE"""),0)</f>
        <v>0</v>
      </c>
      <c r="V33" s="69"/>
    </row>
    <row r="34" spans="1:22" ht="12.5" x14ac:dyDescent="0.25">
      <c r="A34" s="81" t="str">
        <f ca="1">IFERROR(__xludf.DUMMYFUNCTION("""COMPUTED_VALUE"""),"Indonesia")</f>
        <v>Indonesia</v>
      </c>
      <c r="B34" s="81" t="str">
        <f ca="1">IFERROR(__xludf.DUMMYFUNCTION("""COMPUTED_VALUE"""),"YNHI")</f>
        <v>YNHI</v>
      </c>
      <c r="C34" s="139" t="str">
        <f ca="1">IFERROR(__xludf.DUMMYFUNCTION("""COMPUTED_VALUE"""),"Digital Product")</f>
        <v>Digital Product</v>
      </c>
      <c r="D34" s="140" t="str">
        <f ca="1">IFERROR(__xludf.DUMMYFUNCTION("""COMPUTED_VALUE""")," Engineering ")</f>
        <v xml:space="preserve"> Engineering </v>
      </c>
      <c r="E34" s="81" t="str">
        <f ca="1">IFERROR(__xludf.DUMMYFUNCTION("""COMPUTED_VALUE"""),"Direct Cost")</f>
        <v>Direct Cost</v>
      </c>
      <c r="F34" s="81" t="str">
        <f ca="1">IFERROR(__xludf.DUMMYFUNCTION("""COMPUTED_VALUE"""),"Travel &amp; Lodging Expenses")</f>
        <v>Travel &amp; Lodging Expenses</v>
      </c>
      <c r="G34" s="81" t="str">
        <f ca="1">IFERROR(__xludf.DUMMYFUNCTION("""COMPUTED_VALUE"""),"Bus/Train")</f>
        <v>Bus/Train</v>
      </c>
      <c r="H34" s="35">
        <f ca="1">IFERROR(__xludf.DUMMYFUNCTION("""COMPUTED_VALUE"""),93105)</f>
        <v>93105</v>
      </c>
      <c r="I34" s="140">
        <f ca="1">IFERROR(__xludf.DUMMYFUNCTION("""COMPUTED_VALUE"""),0)</f>
        <v>0</v>
      </c>
      <c r="J34" s="140">
        <f ca="1">IFERROR(__xludf.DUMMYFUNCTION("""COMPUTED_VALUE"""),0)</f>
        <v>0</v>
      </c>
      <c r="K34" s="140">
        <f ca="1">IFERROR(__xludf.DUMMYFUNCTION("""COMPUTED_VALUE"""),0)</f>
        <v>0</v>
      </c>
      <c r="L34" s="140">
        <f ca="1">IFERROR(__xludf.DUMMYFUNCTION("""COMPUTED_VALUE"""),0)</f>
        <v>0</v>
      </c>
      <c r="M34" s="143">
        <f ca="1">IFERROR(__xludf.DUMMYFUNCTION("""COMPUTED_VALUE"""),0)</f>
        <v>0</v>
      </c>
      <c r="N34" s="140">
        <f ca="1">IFERROR(__xludf.DUMMYFUNCTION("""COMPUTED_VALUE"""),0)</f>
        <v>0</v>
      </c>
      <c r="O34" s="140">
        <f ca="1">IFERROR(__xludf.DUMMYFUNCTION("""COMPUTED_VALUE"""),0)</f>
        <v>0</v>
      </c>
      <c r="P34" s="140">
        <f ca="1">IFERROR(__xludf.DUMMYFUNCTION("""COMPUTED_VALUE"""),0)</f>
        <v>0</v>
      </c>
      <c r="Q34" s="140">
        <f ca="1">IFERROR(__xludf.DUMMYFUNCTION("""COMPUTED_VALUE"""),0)</f>
        <v>0</v>
      </c>
      <c r="R34" s="140">
        <f ca="1">IFERROR(__xludf.DUMMYFUNCTION("""COMPUTED_VALUE"""),0)</f>
        <v>0</v>
      </c>
      <c r="S34" s="140">
        <f ca="1">IFERROR(__xludf.DUMMYFUNCTION("""COMPUTED_VALUE"""),0)</f>
        <v>0</v>
      </c>
      <c r="T34" s="140">
        <f ca="1">IFERROR(__xludf.DUMMYFUNCTION("""COMPUTED_VALUE"""),0)</f>
        <v>0</v>
      </c>
      <c r="U34" s="140">
        <f ca="1">IFERROR(__xludf.DUMMYFUNCTION("""COMPUTED_VALUE"""),0)</f>
        <v>0</v>
      </c>
      <c r="V34" s="69"/>
    </row>
    <row r="35" spans="1:22" ht="12.5" x14ac:dyDescent="0.25">
      <c r="A35" s="81" t="str">
        <f ca="1">IFERROR(__xludf.DUMMYFUNCTION("""COMPUTED_VALUE"""),"Indonesia")</f>
        <v>Indonesia</v>
      </c>
      <c r="B35" s="81" t="str">
        <f ca="1">IFERROR(__xludf.DUMMYFUNCTION("""COMPUTED_VALUE"""),"YNHI")</f>
        <v>YNHI</v>
      </c>
      <c r="C35" s="139" t="str">
        <f ca="1">IFERROR(__xludf.DUMMYFUNCTION("""COMPUTED_VALUE"""),"Digital Product")</f>
        <v>Digital Product</v>
      </c>
      <c r="D35" s="140" t="str">
        <f ca="1">IFERROR(__xludf.DUMMYFUNCTION("""COMPUTED_VALUE""")," Engineering ")</f>
        <v xml:space="preserve"> Engineering </v>
      </c>
      <c r="E35" s="81" t="str">
        <f ca="1">IFERROR(__xludf.DUMMYFUNCTION("""COMPUTED_VALUE"""),"Direct Cost")</f>
        <v>Direct Cost</v>
      </c>
      <c r="F35" s="81" t="str">
        <f ca="1">IFERROR(__xludf.DUMMYFUNCTION("""COMPUTED_VALUE"""),"Travel &amp; Lodging Expenses")</f>
        <v>Travel &amp; Lodging Expenses</v>
      </c>
      <c r="G35" s="81" t="str">
        <f ca="1">IFERROR(__xludf.DUMMYFUNCTION("""COMPUTED_VALUE"""),"Other incidental travel costs")</f>
        <v>Other incidental travel costs</v>
      </c>
      <c r="H35" s="35">
        <f ca="1">IFERROR(__xludf.DUMMYFUNCTION("""COMPUTED_VALUE"""),93106)</f>
        <v>93106</v>
      </c>
      <c r="I35" s="140">
        <f ca="1">IFERROR(__xludf.DUMMYFUNCTION("""COMPUTED_VALUE"""),26797000)</f>
        <v>26797000</v>
      </c>
      <c r="J35" s="140">
        <f ca="1">IFERROR(__xludf.DUMMYFUNCTION("""COMPUTED_VALUE"""),0)</f>
        <v>0</v>
      </c>
      <c r="K35" s="140">
        <f ca="1">IFERROR(__xludf.DUMMYFUNCTION("""COMPUTED_VALUE"""),0)</f>
        <v>0</v>
      </c>
      <c r="L35" s="140">
        <f ca="1">IFERROR(__xludf.DUMMYFUNCTION("""COMPUTED_VALUE"""),22300000)</f>
        <v>22300000</v>
      </c>
      <c r="M35" s="143">
        <f ca="1">IFERROR(__xludf.DUMMYFUNCTION("""COMPUTED_VALUE"""),0)</f>
        <v>0</v>
      </c>
      <c r="N35" s="140">
        <f ca="1">IFERROR(__xludf.DUMMYFUNCTION("""COMPUTED_VALUE"""),0)</f>
        <v>0</v>
      </c>
      <c r="O35" s="140">
        <f ca="1">IFERROR(__xludf.DUMMYFUNCTION("""COMPUTED_VALUE"""),0)</f>
        <v>0</v>
      </c>
      <c r="P35" s="140">
        <f ca="1">IFERROR(__xludf.DUMMYFUNCTION("""COMPUTED_VALUE"""),0)</f>
        <v>0</v>
      </c>
      <c r="Q35" s="140">
        <f ca="1">IFERROR(__xludf.DUMMYFUNCTION("""COMPUTED_VALUE"""),0)</f>
        <v>0</v>
      </c>
      <c r="R35" s="140">
        <f ca="1">IFERROR(__xludf.DUMMYFUNCTION("""COMPUTED_VALUE"""),4497000)</f>
        <v>4497000</v>
      </c>
      <c r="S35" s="140">
        <f ca="1">IFERROR(__xludf.DUMMYFUNCTION("""COMPUTED_VALUE"""),0)</f>
        <v>0</v>
      </c>
      <c r="T35" s="140">
        <f ca="1">IFERROR(__xludf.DUMMYFUNCTION("""COMPUTED_VALUE"""),0)</f>
        <v>0</v>
      </c>
      <c r="U35" s="140">
        <f ca="1">IFERROR(__xludf.DUMMYFUNCTION("""COMPUTED_VALUE"""),0)</f>
        <v>0</v>
      </c>
      <c r="V35" s="69"/>
    </row>
    <row r="36" spans="1:22" ht="12.5" x14ac:dyDescent="0.25">
      <c r="A36" s="81" t="str">
        <f ca="1">IFERROR(__xludf.DUMMYFUNCTION("""COMPUTED_VALUE"""),"Indonesia")</f>
        <v>Indonesia</v>
      </c>
      <c r="B36" s="81" t="str">
        <f ca="1">IFERROR(__xludf.DUMMYFUNCTION("""COMPUTED_VALUE"""),"YNHI")</f>
        <v>YNHI</v>
      </c>
      <c r="C36" s="139" t="str">
        <f ca="1">IFERROR(__xludf.DUMMYFUNCTION("""COMPUTED_VALUE"""),"Digital Product")</f>
        <v>Digital Product</v>
      </c>
      <c r="D36" s="140" t="str">
        <f ca="1">IFERROR(__xludf.DUMMYFUNCTION("""COMPUTED_VALUE""")," Engineering ")</f>
        <v xml:space="preserve"> Engineering </v>
      </c>
      <c r="E36" s="81" t="str">
        <f ca="1">IFERROR(__xludf.DUMMYFUNCTION("""COMPUTED_VALUE"""),"Direct Cost")</f>
        <v>Direct Cost</v>
      </c>
      <c r="F36" s="81" t="str">
        <f ca="1">IFERROR(__xludf.DUMMYFUNCTION("""COMPUTED_VALUE"""),"Supplies &amp; Printing Costs")</f>
        <v>Supplies &amp; Printing Costs</v>
      </c>
      <c r="G36" s="81" t="str">
        <f ca="1">IFERROR(__xludf.DUMMYFUNCTION("""COMPUTED_VALUE"""),"Other Direct Expenses")</f>
        <v>Other Direct Expenses</v>
      </c>
      <c r="H36" s="35">
        <f ca="1">IFERROR(__xludf.DUMMYFUNCTION("""COMPUTED_VALUE"""),93201)</f>
        <v>93201</v>
      </c>
      <c r="I36" s="140">
        <f ca="1">IFERROR(__xludf.DUMMYFUNCTION("""COMPUTED_VALUE"""),0)</f>
        <v>0</v>
      </c>
      <c r="J36" s="140">
        <f ca="1">IFERROR(__xludf.DUMMYFUNCTION("""COMPUTED_VALUE"""),0)</f>
        <v>0</v>
      </c>
      <c r="K36" s="140">
        <f ca="1">IFERROR(__xludf.DUMMYFUNCTION("""COMPUTED_VALUE"""),0)</f>
        <v>0</v>
      </c>
      <c r="L36" s="140">
        <f ca="1">IFERROR(__xludf.DUMMYFUNCTION("""COMPUTED_VALUE"""),0)</f>
        <v>0</v>
      </c>
      <c r="M36" s="143">
        <f ca="1">IFERROR(__xludf.DUMMYFUNCTION("""COMPUTED_VALUE"""),0)</f>
        <v>0</v>
      </c>
      <c r="N36" s="140">
        <f ca="1">IFERROR(__xludf.DUMMYFUNCTION("""COMPUTED_VALUE"""),0)</f>
        <v>0</v>
      </c>
      <c r="O36" s="140">
        <f ca="1">IFERROR(__xludf.DUMMYFUNCTION("""COMPUTED_VALUE"""),0)</f>
        <v>0</v>
      </c>
      <c r="P36" s="140">
        <f ca="1">IFERROR(__xludf.DUMMYFUNCTION("""COMPUTED_VALUE"""),0)</f>
        <v>0</v>
      </c>
      <c r="Q36" s="140">
        <f ca="1">IFERROR(__xludf.DUMMYFUNCTION("""COMPUTED_VALUE"""),0)</f>
        <v>0</v>
      </c>
      <c r="R36" s="140">
        <f ca="1">IFERROR(__xludf.DUMMYFUNCTION("""COMPUTED_VALUE"""),0)</f>
        <v>0</v>
      </c>
      <c r="S36" s="140">
        <f ca="1">IFERROR(__xludf.DUMMYFUNCTION("""COMPUTED_VALUE"""),0)</f>
        <v>0</v>
      </c>
      <c r="T36" s="140">
        <f ca="1">IFERROR(__xludf.DUMMYFUNCTION("""COMPUTED_VALUE"""),0)</f>
        <v>0</v>
      </c>
      <c r="U36" s="140">
        <f ca="1">IFERROR(__xludf.DUMMYFUNCTION("""COMPUTED_VALUE"""),0)</f>
        <v>0</v>
      </c>
      <c r="V36" s="69"/>
    </row>
    <row r="37" spans="1:22" ht="12.5" x14ac:dyDescent="0.25">
      <c r="A37" s="81" t="str">
        <f ca="1">IFERROR(__xludf.DUMMYFUNCTION("""COMPUTED_VALUE"""),"Indonesia")</f>
        <v>Indonesia</v>
      </c>
      <c r="B37" s="81" t="str">
        <f ca="1">IFERROR(__xludf.DUMMYFUNCTION("""COMPUTED_VALUE"""),"YNHI")</f>
        <v>YNHI</v>
      </c>
      <c r="C37" s="139" t="str">
        <f ca="1">IFERROR(__xludf.DUMMYFUNCTION("""COMPUTED_VALUE"""),"Digital Product")</f>
        <v>Digital Product</v>
      </c>
      <c r="D37" s="140" t="str">
        <f ca="1">IFERROR(__xludf.DUMMYFUNCTION("""COMPUTED_VALUE""")," Engineering ")</f>
        <v xml:space="preserve"> Engineering </v>
      </c>
      <c r="E37" s="81" t="str">
        <f ca="1">IFERROR(__xludf.DUMMYFUNCTION("""COMPUTED_VALUE"""),"Direct Cost")</f>
        <v>Direct Cost</v>
      </c>
      <c r="F37" s="81" t="str">
        <f ca="1">IFERROR(__xludf.DUMMYFUNCTION("""COMPUTED_VALUE"""),"Supplies &amp; Printing Costs")</f>
        <v>Supplies &amp; Printing Costs</v>
      </c>
      <c r="G37" s="81" t="str">
        <f ca="1">IFERROR(__xludf.DUMMYFUNCTION("""COMPUTED_VALUE"""),"Printing expenses")</f>
        <v>Printing expenses</v>
      </c>
      <c r="H37" s="35">
        <f ca="1">IFERROR(__xludf.DUMMYFUNCTION("""COMPUTED_VALUE"""),93204)</f>
        <v>93204</v>
      </c>
      <c r="I37" s="140">
        <f ca="1">IFERROR(__xludf.DUMMYFUNCTION("""COMPUTED_VALUE"""),50000000)</f>
        <v>50000000</v>
      </c>
      <c r="J37" s="140">
        <f ca="1">IFERROR(__xludf.DUMMYFUNCTION("""COMPUTED_VALUE"""),0)</f>
        <v>0</v>
      </c>
      <c r="K37" s="140">
        <f ca="1">IFERROR(__xludf.DUMMYFUNCTION("""COMPUTED_VALUE"""),0)</f>
        <v>0</v>
      </c>
      <c r="L37" s="140">
        <f ca="1">IFERROR(__xludf.DUMMYFUNCTION("""COMPUTED_VALUE"""),0)</f>
        <v>0</v>
      </c>
      <c r="M37" s="143">
        <f ca="1">IFERROR(__xludf.DUMMYFUNCTION("""COMPUTED_VALUE"""),50000000)</f>
        <v>50000000</v>
      </c>
      <c r="N37" s="140">
        <f ca="1">IFERROR(__xludf.DUMMYFUNCTION("""COMPUTED_VALUE"""),0)</f>
        <v>0</v>
      </c>
      <c r="O37" s="140">
        <f ca="1">IFERROR(__xludf.DUMMYFUNCTION("""COMPUTED_VALUE"""),0)</f>
        <v>0</v>
      </c>
      <c r="P37" s="140">
        <f ca="1">IFERROR(__xludf.DUMMYFUNCTION("""COMPUTED_VALUE"""),0)</f>
        <v>0</v>
      </c>
      <c r="Q37" s="140">
        <f ca="1">IFERROR(__xludf.DUMMYFUNCTION("""COMPUTED_VALUE"""),0)</f>
        <v>0</v>
      </c>
      <c r="R37" s="140">
        <f ca="1">IFERROR(__xludf.DUMMYFUNCTION("""COMPUTED_VALUE"""),0)</f>
        <v>0</v>
      </c>
      <c r="S37" s="140">
        <f ca="1">IFERROR(__xludf.DUMMYFUNCTION("""COMPUTED_VALUE"""),0)</f>
        <v>0</v>
      </c>
      <c r="T37" s="140">
        <f ca="1">IFERROR(__xludf.DUMMYFUNCTION("""COMPUTED_VALUE"""),0)</f>
        <v>0</v>
      </c>
      <c r="U37" s="140">
        <f ca="1">IFERROR(__xludf.DUMMYFUNCTION("""COMPUTED_VALUE"""),0)</f>
        <v>0</v>
      </c>
      <c r="V37" s="69"/>
    </row>
    <row r="38" spans="1:22" ht="12.5" x14ac:dyDescent="0.25">
      <c r="A38" s="81" t="str">
        <f ca="1">IFERROR(__xludf.DUMMYFUNCTION("""COMPUTED_VALUE"""),"Indonesia")</f>
        <v>Indonesia</v>
      </c>
      <c r="B38" s="81" t="str">
        <f ca="1">IFERROR(__xludf.DUMMYFUNCTION("""COMPUTED_VALUE"""),"YNHI")</f>
        <v>YNHI</v>
      </c>
      <c r="C38" s="139" t="str">
        <f ca="1">IFERROR(__xludf.DUMMYFUNCTION("""COMPUTED_VALUE"""),"Digital Product")</f>
        <v>Digital Product</v>
      </c>
      <c r="D38" s="140" t="str">
        <f ca="1">IFERROR(__xludf.DUMMYFUNCTION("""COMPUTED_VALUE""")," Engineering ")</f>
        <v xml:space="preserve"> Engineering </v>
      </c>
      <c r="E38" s="81" t="str">
        <f ca="1">IFERROR(__xludf.DUMMYFUNCTION("""COMPUTED_VALUE"""),"Direct Cost")</f>
        <v>Direct Cost</v>
      </c>
      <c r="F38" s="81" t="str">
        <f ca="1">IFERROR(__xludf.DUMMYFUNCTION("""COMPUTED_VALUE"""),"Communication Cost")</f>
        <v>Communication Cost</v>
      </c>
      <c r="G38" s="81" t="str">
        <f ca="1">IFERROR(__xludf.DUMMYFUNCTION("""COMPUTED_VALUE"""),"Internet Expenses")</f>
        <v>Internet Expenses</v>
      </c>
      <c r="H38" s="35">
        <f ca="1">IFERROR(__xludf.DUMMYFUNCTION("""COMPUTED_VALUE"""),93301)</f>
        <v>93301</v>
      </c>
      <c r="I38" s="140">
        <f ca="1">IFERROR(__xludf.DUMMYFUNCTION("""COMPUTED_VALUE"""),0)</f>
        <v>0</v>
      </c>
      <c r="J38" s="140">
        <f ca="1">IFERROR(__xludf.DUMMYFUNCTION("""COMPUTED_VALUE"""),0)</f>
        <v>0</v>
      </c>
      <c r="K38" s="140">
        <f ca="1">IFERROR(__xludf.DUMMYFUNCTION("""COMPUTED_VALUE"""),0)</f>
        <v>0</v>
      </c>
      <c r="L38" s="140">
        <f ca="1">IFERROR(__xludf.DUMMYFUNCTION("""COMPUTED_VALUE"""),0)</f>
        <v>0</v>
      </c>
      <c r="M38" s="143">
        <f ca="1">IFERROR(__xludf.DUMMYFUNCTION("""COMPUTED_VALUE"""),0)</f>
        <v>0</v>
      </c>
      <c r="N38" s="140">
        <f ca="1">IFERROR(__xludf.DUMMYFUNCTION("""COMPUTED_VALUE"""),0)</f>
        <v>0</v>
      </c>
      <c r="O38" s="140">
        <f ca="1">IFERROR(__xludf.DUMMYFUNCTION("""COMPUTED_VALUE"""),0)</f>
        <v>0</v>
      </c>
      <c r="P38" s="140">
        <f ca="1">IFERROR(__xludf.DUMMYFUNCTION("""COMPUTED_VALUE"""),0)</f>
        <v>0</v>
      </c>
      <c r="Q38" s="140">
        <f ca="1">IFERROR(__xludf.DUMMYFUNCTION("""COMPUTED_VALUE"""),0)</f>
        <v>0</v>
      </c>
      <c r="R38" s="140">
        <f ca="1">IFERROR(__xludf.DUMMYFUNCTION("""COMPUTED_VALUE"""),0)</f>
        <v>0</v>
      </c>
      <c r="S38" s="140">
        <f ca="1">IFERROR(__xludf.DUMMYFUNCTION("""COMPUTED_VALUE"""),0)</f>
        <v>0</v>
      </c>
      <c r="T38" s="140">
        <f ca="1">IFERROR(__xludf.DUMMYFUNCTION("""COMPUTED_VALUE"""),0)</f>
        <v>0</v>
      </c>
      <c r="U38" s="140">
        <f ca="1">IFERROR(__xludf.DUMMYFUNCTION("""COMPUTED_VALUE"""),0)</f>
        <v>0</v>
      </c>
      <c r="V38" s="69"/>
    </row>
    <row r="39" spans="1:22" ht="12.5" x14ac:dyDescent="0.25">
      <c r="A39" s="81" t="str">
        <f ca="1">IFERROR(__xludf.DUMMYFUNCTION("""COMPUTED_VALUE"""),"Indonesia")</f>
        <v>Indonesia</v>
      </c>
      <c r="B39" s="81" t="str">
        <f ca="1">IFERROR(__xludf.DUMMYFUNCTION("""COMPUTED_VALUE"""),"YNHI")</f>
        <v>YNHI</v>
      </c>
      <c r="C39" s="139" t="str">
        <f ca="1">IFERROR(__xludf.DUMMYFUNCTION("""COMPUTED_VALUE"""),"Digital Product")</f>
        <v>Digital Product</v>
      </c>
      <c r="D39" s="140" t="str">
        <f ca="1">IFERROR(__xludf.DUMMYFUNCTION("""COMPUTED_VALUE""")," Engineering ")</f>
        <v xml:space="preserve"> Engineering </v>
      </c>
      <c r="E39" s="81" t="str">
        <f ca="1">IFERROR(__xludf.DUMMYFUNCTION("""COMPUTED_VALUE"""),"Direct Cost")</f>
        <v>Direct Cost</v>
      </c>
      <c r="F39" s="81" t="str">
        <f ca="1">IFERROR(__xludf.DUMMYFUNCTION("""COMPUTED_VALUE"""),"Communication Cost")</f>
        <v>Communication Cost</v>
      </c>
      <c r="G39" s="81" t="str">
        <f ca="1">IFERROR(__xludf.DUMMYFUNCTION("""COMPUTED_VALUE"""),"Postage &amp; Courier Expenses")</f>
        <v>Postage &amp; Courier Expenses</v>
      </c>
      <c r="H39" s="35">
        <f ca="1">IFERROR(__xludf.DUMMYFUNCTION("""COMPUTED_VALUE"""),93302)</f>
        <v>93302</v>
      </c>
      <c r="I39" s="140">
        <f ca="1">IFERROR(__xludf.DUMMYFUNCTION("""COMPUTED_VALUE"""),0)</f>
        <v>0</v>
      </c>
      <c r="J39" s="140">
        <f ca="1">IFERROR(__xludf.DUMMYFUNCTION("""COMPUTED_VALUE"""),0)</f>
        <v>0</v>
      </c>
      <c r="K39" s="140">
        <f ca="1">IFERROR(__xludf.DUMMYFUNCTION("""COMPUTED_VALUE"""),0)</f>
        <v>0</v>
      </c>
      <c r="L39" s="140">
        <f ca="1">IFERROR(__xludf.DUMMYFUNCTION("""COMPUTED_VALUE"""),0)</f>
        <v>0</v>
      </c>
      <c r="M39" s="143">
        <f ca="1">IFERROR(__xludf.DUMMYFUNCTION("""COMPUTED_VALUE"""),0)</f>
        <v>0</v>
      </c>
      <c r="N39" s="140">
        <f ca="1">IFERROR(__xludf.DUMMYFUNCTION("""COMPUTED_VALUE"""),0)</f>
        <v>0</v>
      </c>
      <c r="O39" s="140">
        <f ca="1">IFERROR(__xludf.DUMMYFUNCTION("""COMPUTED_VALUE"""),0)</f>
        <v>0</v>
      </c>
      <c r="P39" s="140">
        <f ca="1">IFERROR(__xludf.DUMMYFUNCTION("""COMPUTED_VALUE"""),0)</f>
        <v>0</v>
      </c>
      <c r="Q39" s="140">
        <f ca="1">IFERROR(__xludf.DUMMYFUNCTION("""COMPUTED_VALUE"""),0)</f>
        <v>0</v>
      </c>
      <c r="R39" s="140">
        <f ca="1">IFERROR(__xludf.DUMMYFUNCTION("""COMPUTED_VALUE"""),0)</f>
        <v>0</v>
      </c>
      <c r="S39" s="140">
        <f ca="1">IFERROR(__xludf.DUMMYFUNCTION("""COMPUTED_VALUE"""),0)</f>
        <v>0</v>
      </c>
      <c r="T39" s="140">
        <f ca="1">IFERROR(__xludf.DUMMYFUNCTION("""COMPUTED_VALUE"""),0)</f>
        <v>0</v>
      </c>
      <c r="U39" s="140">
        <f ca="1">IFERROR(__xludf.DUMMYFUNCTION("""COMPUTED_VALUE"""),0)</f>
        <v>0</v>
      </c>
      <c r="V39" s="69"/>
    </row>
    <row r="40" spans="1:22" ht="12.5" x14ac:dyDescent="0.25">
      <c r="A40" s="81" t="str">
        <f ca="1">IFERROR(__xludf.DUMMYFUNCTION("""COMPUTED_VALUE"""),"Indonesia")</f>
        <v>Indonesia</v>
      </c>
      <c r="B40" s="81" t="str">
        <f ca="1">IFERROR(__xludf.DUMMYFUNCTION("""COMPUTED_VALUE"""),"YNHI")</f>
        <v>YNHI</v>
      </c>
      <c r="C40" s="139" t="str">
        <f ca="1">IFERROR(__xludf.DUMMYFUNCTION("""COMPUTED_VALUE"""),"Digital Product")</f>
        <v>Digital Product</v>
      </c>
      <c r="D40" s="140" t="str">
        <f ca="1">IFERROR(__xludf.DUMMYFUNCTION("""COMPUTED_VALUE""")," Engineering ")</f>
        <v xml:space="preserve"> Engineering </v>
      </c>
      <c r="E40" s="81" t="str">
        <f ca="1">IFERROR(__xludf.DUMMYFUNCTION("""COMPUTED_VALUE"""),"Direct Cost")</f>
        <v>Direct Cost</v>
      </c>
      <c r="F40" s="81" t="str">
        <f ca="1">IFERROR(__xludf.DUMMYFUNCTION("""COMPUTED_VALUE"""),"Communication Cost")</f>
        <v>Communication Cost</v>
      </c>
      <c r="G40" s="81" t="str">
        <f ca="1">IFERROR(__xludf.DUMMYFUNCTION("""COMPUTED_VALUE"""),"Telecommunication expenses")</f>
        <v>Telecommunication expenses</v>
      </c>
      <c r="H40" s="35">
        <f ca="1">IFERROR(__xludf.DUMMYFUNCTION("""COMPUTED_VALUE"""),93303)</f>
        <v>93303</v>
      </c>
      <c r="I40" s="140">
        <f ca="1">IFERROR(__xludf.DUMMYFUNCTION("""COMPUTED_VALUE"""),0)</f>
        <v>0</v>
      </c>
      <c r="J40" s="140">
        <f ca="1">IFERROR(__xludf.DUMMYFUNCTION("""COMPUTED_VALUE"""),0)</f>
        <v>0</v>
      </c>
      <c r="K40" s="140">
        <f ca="1">IFERROR(__xludf.DUMMYFUNCTION("""COMPUTED_VALUE"""),0)</f>
        <v>0</v>
      </c>
      <c r="L40" s="140">
        <f ca="1">IFERROR(__xludf.DUMMYFUNCTION("""COMPUTED_VALUE"""),0)</f>
        <v>0</v>
      </c>
      <c r="M40" s="143">
        <f ca="1">IFERROR(__xludf.DUMMYFUNCTION("""COMPUTED_VALUE"""),0)</f>
        <v>0</v>
      </c>
      <c r="N40" s="140">
        <f ca="1">IFERROR(__xludf.DUMMYFUNCTION("""COMPUTED_VALUE"""),0)</f>
        <v>0</v>
      </c>
      <c r="O40" s="140">
        <f ca="1">IFERROR(__xludf.DUMMYFUNCTION("""COMPUTED_VALUE"""),0)</f>
        <v>0</v>
      </c>
      <c r="P40" s="140">
        <f ca="1">IFERROR(__xludf.DUMMYFUNCTION("""COMPUTED_VALUE"""),0)</f>
        <v>0</v>
      </c>
      <c r="Q40" s="140">
        <f ca="1">IFERROR(__xludf.DUMMYFUNCTION("""COMPUTED_VALUE"""),0)</f>
        <v>0</v>
      </c>
      <c r="R40" s="140">
        <f ca="1">IFERROR(__xludf.DUMMYFUNCTION("""COMPUTED_VALUE"""),0)</f>
        <v>0</v>
      </c>
      <c r="S40" s="140">
        <f ca="1">IFERROR(__xludf.DUMMYFUNCTION("""COMPUTED_VALUE"""),0)</f>
        <v>0</v>
      </c>
      <c r="T40" s="140">
        <f ca="1">IFERROR(__xludf.DUMMYFUNCTION("""COMPUTED_VALUE"""),0)</f>
        <v>0</v>
      </c>
      <c r="U40" s="140">
        <f ca="1">IFERROR(__xludf.DUMMYFUNCTION("""COMPUTED_VALUE"""),0)</f>
        <v>0</v>
      </c>
      <c r="V40" s="69"/>
    </row>
    <row r="41" spans="1:22" ht="12.5" x14ac:dyDescent="0.25">
      <c r="A41" s="81" t="str">
        <f ca="1">IFERROR(__xludf.DUMMYFUNCTION("""COMPUTED_VALUE"""),"Indonesia")</f>
        <v>Indonesia</v>
      </c>
      <c r="B41" s="81" t="str">
        <f ca="1">IFERROR(__xludf.DUMMYFUNCTION("""COMPUTED_VALUE"""),"YNHI")</f>
        <v>YNHI</v>
      </c>
      <c r="C41" s="139" t="str">
        <f ca="1">IFERROR(__xludf.DUMMYFUNCTION("""COMPUTED_VALUE"""),"Digital Product")</f>
        <v>Digital Product</v>
      </c>
      <c r="D41" s="140" t="str">
        <f ca="1">IFERROR(__xludf.DUMMYFUNCTION("""COMPUTED_VALUE""")," Engineering ")</f>
        <v xml:space="preserve"> Engineering </v>
      </c>
      <c r="E41" s="81" t="str">
        <f ca="1">IFERROR(__xludf.DUMMYFUNCTION("""COMPUTED_VALUE"""),"Direct Cost")</f>
        <v>Direct Cost</v>
      </c>
      <c r="F41" s="81" t="str">
        <f ca="1">IFERROR(__xludf.DUMMYFUNCTION("""COMPUTED_VALUE"""),"Office Expenses")</f>
        <v>Office Expenses</v>
      </c>
      <c r="G41" s="81" t="str">
        <f ca="1">IFERROR(__xludf.DUMMYFUNCTION("""COMPUTED_VALUE"""),"Software and Subscriptions")</f>
        <v>Software and Subscriptions</v>
      </c>
      <c r="H41" s="35">
        <f ca="1">IFERROR(__xludf.DUMMYFUNCTION("""COMPUTED_VALUE"""),93401)</f>
        <v>93401</v>
      </c>
      <c r="I41" s="140">
        <f ca="1">IFERROR(__xludf.DUMMYFUNCTION("""COMPUTED_VALUE"""),15000000)</f>
        <v>15000000</v>
      </c>
      <c r="J41" s="140">
        <f ca="1">IFERROR(__xludf.DUMMYFUNCTION("""COMPUTED_VALUE"""),600000)</f>
        <v>600000</v>
      </c>
      <c r="K41" s="140">
        <f ca="1">IFERROR(__xludf.DUMMYFUNCTION("""COMPUTED_VALUE"""),600000)</f>
        <v>600000</v>
      </c>
      <c r="L41" s="140">
        <f ca="1">IFERROR(__xludf.DUMMYFUNCTION("""COMPUTED_VALUE"""),900000)</f>
        <v>900000</v>
      </c>
      <c r="M41" s="143">
        <f ca="1">IFERROR(__xludf.DUMMYFUNCTION("""COMPUTED_VALUE"""),900000)</f>
        <v>900000</v>
      </c>
      <c r="N41" s="140">
        <f ca="1">IFERROR(__xludf.DUMMYFUNCTION("""COMPUTED_VALUE"""),1500000)</f>
        <v>1500000</v>
      </c>
      <c r="O41" s="140">
        <f ca="1">IFERROR(__xludf.DUMMYFUNCTION("""COMPUTED_VALUE"""),1500000)</f>
        <v>1500000</v>
      </c>
      <c r="P41" s="140">
        <f ca="1">IFERROR(__xludf.DUMMYFUNCTION("""COMPUTED_VALUE"""),1500000)</f>
        <v>1500000</v>
      </c>
      <c r="Q41" s="140">
        <f ca="1">IFERROR(__xludf.DUMMYFUNCTION("""COMPUTED_VALUE"""),1500000)</f>
        <v>1500000</v>
      </c>
      <c r="R41" s="140">
        <f ca="1">IFERROR(__xludf.DUMMYFUNCTION("""COMPUTED_VALUE"""),1500000)</f>
        <v>1500000</v>
      </c>
      <c r="S41" s="140">
        <f ca="1">IFERROR(__xludf.DUMMYFUNCTION("""COMPUTED_VALUE"""),1500000)</f>
        <v>1500000</v>
      </c>
      <c r="T41" s="140">
        <f ca="1">IFERROR(__xludf.DUMMYFUNCTION("""COMPUTED_VALUE"""),1500000)</f>
        <v>1500000</v>
      </c>
      <c r="U41" s="140">
        <f ca="1">IFERROR(__xludf.DUMMYFUNCTION("""COMPUTED_VALUE"""),1500000)</f>
        <v>1500000</v>
      </c>
      <c r="V41" s="69"/>
    </row>
    <row r="42" spans="1:22" ht="12.5" x14ac:dyDescent="0.25">
      <c r="A42" s="81" t="str">
        <f ca="1">IFERROR(__xludf.DUMMYFUNCTION("""COMPUTED_VALUE"""),"Indonesia")</f>
        <v>Indonesia</v>
      </c>
      <c r="B42" s="81" t="str">
        <f ca="1">IFERROR(__xludf.DUMMYFUNCTION("""COMPUTED_VALUE"""),"YNHI")</f>
        <v>YNHI</v>
      </c>
      <c r="C42" s="139" t="str">
        <f ca="1">IFERROR(__xludf.DUMMYFUNCTION("""COMPUTED_VALUE"""),"Digital Product")</f>
        <v>Digital Product</v>
      </c>
      <c r="D42" s="140" t="str">
        <f ca="1">IFERROR(__xludf.DUMMYFUNCTION("""COMPUTED_VALUE""")," Engineering ")</f>
        <v xml:space="preserve"> Engineering </v>
      </c>
      <c r="E42" s="81" t="str">
        <f ca="1">IFERROR(__xludf.DUMMYFUNCTION("""COMPUTED_VALUE"""),"Direct Cost")</f>
        <v>Direct Cost</v>
      </c>
      <c r="F42" s="81" t="str">
        <f ca="1">IFERROR(__xludf.DUMMYFUNCTION("""COMPUTED_VALUE"""),"Office Expenses")</f>
        <v>Office Expenses</v>
      </c>
      <c r="G42" s="81" t="str">
        <f ca="1">IFERROR(__xludf.DUMMYFUNCTION("""COMPUTED_VALUE"""),"Stationery &amp; Consumables")</f>
        <v>Stationery &amp; Consumables</v>
      </c>
      <c r="H42" s="35">
        <f ca="1">IFERROR(__xludf.DUMMYFUNCTION("""COMPUTED_VALUE"""),93404)</f>
        <v>93404</v>
      </c>
      <c r="I42" s="140">
        <f ca="1">IFERROR(__xludf.DUMMYFUNCTION("""COMPUTED_VALUE"""),0)</f>
        <v>0</v>
      </c>
      <c r="J42" s="140">
        <f ca="1">IFERROR(__xludf.DUMMYFUNCTION("""COMPUTED_VALUE"""),0)</f>
        <v>0</v>
      </c>
      <c r="K42" s="140">
        <f ca="1">IFERROR(__xludf.DUMMYFUNCTION("""COMPUTED_VALUE"""),0)</f>
        <v>0</v>
      </c>
      <c r="L42" s="140">
        <f ca="1">IFERROR(__xludf.DUMMYFUNCTION("""COMPUTED_VALUE"""),0)</f>
        <v>0</v>
      </c>
      <c r="M42" s="143">
        <f ca="1">IFERROR(__xludf.DUMMYFUNCTION("""COMPUTED_VALUE"""),0)</f>
        <v>0</v>
      </c>
      <c r="N42" s="140">
        <f ca="1">IFERROR(__xludf.DUMMYFUNCTION("""COMPUTED_VALUE"""),0)</f>
        <v>0</v>
      </c>
      <c r="O42" s="140">
        <f ca="1">IFERROR(__xludf.DUMMYFUNCTION("""COMPUTED_VALUE"""),0)</f>
        <v>0</v>
      </c>
      <c r="P42" s="140">
        <f ca="1">IFERROR(__xludf.DUMMYFUNCTION("""COMPUTED_VALUE"""),0)</f>
        <v>0</v>
      </c>
      <c r="Q42" s="140">
        <f ca="1">IFERROR(__xludf.DUMMYFUNCTION("""COMPUTED_VALUE"""),0)</f>
        <v>0</v>
      </c>
      <c r="R42" s="140">
        <f ca="1">IFERROR(__xludf.DUMMYFUNCTION("""COMPUTED_VALUE"""),0)</f>
        <v>0</v>
      </c>
      <c r="S42" s="140">
        <f ca="1">IFERROR(__xludf.DUMMYFUNCTION("""COMPUTED_VALUE"""),0)</f>
        <v>0</v>
      </c>
      <c r="T42" s="140">
        <f ca="1">IFERROR(__xludf.DUMMYFUNCTION("""COMPUTED_VALUE"""),0)</f>
        <v>0</v>
      </c>
      <c r="U42" s="140">
        <f ca="1">IFERROR(__xludf.DUMMYFUNCTION("""COMPUTED_VALUE"""),0)</f>
        <v>0</v>
      </c>
      <c r="V42" s="69"/>
    </row>
    <row r="43" spans="1:22" ht="12.5" x14ac:dyDescent="0.25">
      <c r="A43" s="81" t="str">
        <f ca="1">IFERROR(__xludf.DUMMYFUNCTION("""COMPUTED_VALUE"""),"Indonesia")</f>
        <v>Indonesia</v>
      </c>
      <c r="B43" s="81" t="str">
        <f ca="1">IFERROR(__xludf.DUMMYFUNCTION("""COMPUTED_VALUE"""),"YNHI")</f>
        <v>YNHI</v>
      </c>
      <c r="C43" s="139" t="str">
        <f ca="1">IFERROR(__xludf.DUMMYFUNCTION("""COMPUTED_VALUE"""),"Digital Product")</f>
        <v>Digital Product</v>
      </c>
      <c r="D43" s="140" t="str">
        <f ca="1">IFERROR(__xludf.DUMMYFUNCTION("""COMPUTED_VALUE""")," Engineering ")</f>
        <v xml:space="preserve"> Engineering </v>
      </c>
      <c r="E43" s="81" t="str">
        <f ca="1">IFERROR(__xludf.DUMMYFUNCTION("""COMPUTED_VALUE"""),"Direct Cost")</f>
        <v>Direct Cost</v>
      </c>
      <c r="F43" s="81" t="str">
        <f ca="1">IFERROR(__xludf.DUMMYFUNCTION("""COMPUTED_VALUE"""),"Office Expenses")</f>
        <v>Office Expenses</v>
      </c>
      <c r="G43" s="81" t="str">
        <f ca="1">IFERROR(__xludf.DUMMYFUNCTION("""COMPUTED_VALUE"""),"Office Equipment Expense")</f>
        <v>Office Equipment Expense</v>
      </c>
      <c r="H43" s="35">
        <f ca="1">IFERROR(__xludf.DUMMYFUNCTION("""COMPUTED_VALUE"""),93405)</f>
        <v>93405</v>
      </c>
      <c r="I43" s="140">
        <f ca="1">IFERROR(__xludf.DUMMYFUNCTION("""COMPUTED_VALUE"""),0)</f>
        <v>0</v>
      </c>
      <c r="J43" s="140">
        <f ca="1">IFERROR(__xludf.DUMMYFUNCTION("""COMPUTED_VALUE"""),0)</f>
        <v>0</v>
      </c>
      <c r="K43" s="140">
        <f ca="1">IFERROR(__xludf.DUMMYFUNCTION("""COMPUTED_VALUE"""),0)</f>
        <v>0</v>
      </c>
      <c r="L43" s="140">
        <f ca="1">IFERROR(__xludf.DUMMYFUNCTION("""COMPUTED_VALUE"""),0)</f>
        <v>0</v>
      </c>
      <c r="M43" s="143">
        <f ca="1">IFERROR(__xludf.DUMMYFUNCTION("""COMPUTED_VALUE"""),0)</f>
        <v>0</v>
      </c>
      <c r="N43" s="140">
        <f ca="1">IFERROR(__xludf.DUMMYFUNCTION("""COMPUTED_VALUE"""),0)</f>
        <v>0</v>
      </c>
      <c r="O43" s="140">
        <f ca="1">IFERROR(__xludf.DUMMYFUNCTION("""COMPUTED_VALUE"""),0)</f>
        <v>0</v>
      </c>
      <c r="P43" s="140">
        <f ca="1">IFERROR(__xludf.DUMMYFUNCTION("""COMPUTED_VALUE"""),0)</f>
        <v>0</v>
      </c>
      <c r="Q43" s="140">
        <f ca="1">IFERROR(__xludf.DUMMYFUNCTION("""COMPUTED_VALUE"""),0)</f>
        <v>0</v>
      </c>
      <c r="R43" s="140">
        <f ca="1">IFERROR(__xludf.DUMMYFUNCTION("""COMPUTED_VALUE"""),0)</f>
        <v>0</v>
      </c>
      <c r="S43" s="140">
        <f ca="1">IFERROR(__xludf.DUMMYFUNCTION("""COMPUTED_VALUE"""),0)</f>
        <v>0</v>
      </c>
      <c r="T43" s="140">
        <f ca="1">IFERROR(__xludf.DUMMYFUNCTION("""COMPUTED_VALUE"""),0)</f>
        <v>0</v>
      </c>
      <c r="U43" s="140">
        <f ca="1">IFERROR(__xludf.DUMMYFUNCTION("""COMPUTED_VALUE"""),0)</f>
        <v>0</v>
      </c>
      <c r="V43" s="69"/>
    </row>
    <row r="44" spans="1:22" ht="12.5" x14ac:dyDescent="0.25">
      <c r="A44" s="81" t="str">
        <f ca="1">IFERROR(__xludf.DUMMYFUNCTION("""COMPUTED_VALUE"""),"Indonesia")</f>
        <v>Indonesia</v>
      </c>
      <c r="B44" s="81" t="str">
        <f ca="1">IFERROR(__xludf.DUMMYFUNCTION("""COMPUTED_VALUE"""),"YNHI")</f>
        <v>YNHI</v>
      </c>
      <c r="C44" s="139" t="str">
        <f ca="1">IFERROR(__xludf.DUMMYFUNCTION("""COMPUTED_VALUE"""),"Digital Product")</f>
        <v>Digital Product</v>
      </c>
      <c r="D44" s="140" t="str">
        <f ca="1">IFERROR(__xludf.DUMMYFUNCTION("""COMPUTED_VALUE""")," Engineering ")</f>
        <v xml:space="preserve"> Engineering </v>
      </c>
      <c r="E44" s="81" t="str">
        <f ca="1">IFERROR(__xludf.DUMMYFUNCTION("""COMPUTED_VALUE"""),"Indirect Cost")</f>
        <v>Indirect Cost</v>
      </c>
      <c r="F44" s="81" t="str">
        <f ca="1">IFERROR(__xludf.DUMMYFUNCTION("""COMPUTED_VALUE"""),"Professional &amp; Consultancy Charges")</f>
        <v>Professional &amp; Consultancy Charges</v>
      </c>
      <c r="G44" s="81" t="str">
        <f ca="1">IFERROR(__xludf.DUMMYFUNCTION("""COMPUTED_VALUE"""),"Admin Consultants")</f>
        <v>Admin Consultants</v>
      </c>
      <c r="H44" s="35">
        <f ca="1">IFERROR(__xludf.DUMMYFUNCTION("""COMPUTED_VALUE"""),93703)</f>
        <v>93703</v>
      </c>
      <c r="I44" s="140">
        <f ca="1">IFERROR(__xludf.DUMMYFUNCTION("""COMPUTED_VALUE"""),0)</f>
        <v>0</v>
      </c>
      <c r="J44" s="140">
        <f ca="1">IFERROR(__xludf.DUMMYFUNCTION("""COMPUTED_VALUE"""),0)</f>
        <v>0</v>
      </c>
      <c r="K44" s="140">
        <f ca="1">IFERROR(__xludf.DUMMYFUNCTION("""COMPUTED_VALUE"""),0)</f>
        <v>0</v>
      </c>
      <c r="L44" s="140">
        <f ca="1">IFERROR(__xludf.DUMMYFUNCTION("""COMPUTED_VALUE"""),0)</f>
        <v>0</v>
      </c>
      <c r="M44" s="143">
        <f ca="1">IFERROR(__xludf.DUMMYFUNCTION("""COMPUTED_VALUE"""),0)</f>
        <v>0</v>
      </c>
      <c r="N44" s="140">
        <f ca="1">IFERROR(__xludf.DUMMYFUNCTION("""COMPUTED_VALUE"""),0)</f>
        <v>0</v>
      </c>
      <c r="O44" s="140">
        <f ca="1">IFERROR(__xludf.DUMMYFUNCTION("""COMPUTED_VALUE"""),0)</f>
        <v>0</v>
      </c>
      <c r="P44" s="140">
        <f ca="1">IFERROR(__xludf.DUMMYFUNCTION("""COMPUTED_VALUE"""),0)</f>
        <v>0</v>
      </c>
      <c r="Q44" s="140">
        <f ca="1">IFERROR(__xludf.DUMMYFUNCTION("""COMPUTED_VALUE"""),0)</f>
        <v>0</v>
      </c>
      <c r="R44" s="140">
        <f ca="1">IFERROR(__xludf.DUMMYFUNCTION("""COMPUTED_VALUE"""),0)</f>
        <v>0</v>
      </c>
      <c r="S44" s="140">
        <f ca="1">IFERROR(__xludf.DUMMYFUNCTION("""COMPUTED_VALUE"""),0)</f>
        <v>0</v>
      </c>
      <c r="T44" s="140">
        <f ca="1">IFERROR(__xludf.DUMMYFUNCTION("""COMPUTED_VALUE"""),0)</f>
        <v>0</v>
      </c>
      <c r="U44" s="140">
        <f ca="1">IFERROR(__xludf.DUMMYFUNCTION("""COMPUTED_VALUE"""),0)</f>
        <v>0</v>
      </c>
      <c r="V44" s="69"/>
    </row>
    <row r="45" spans="1:22" ht="12.5" x14ac:dyDescent="0.25">
      <c r="A45" s="81" t="str">
        <f ca="1">IFERROR(__xludf.DUMMYFUNCTION("""COMPUTED_VALUE"""),"Indonesia")</f>
        <v>Indonesia</v>
      </c>
      <c r="B45" s="81" t="str">
        <f ca="1">IFERROR(__xludf.DUMMYFUNCTION("""COMPUTED_VALUE"""),"YNHI")</f>
        <v>YNHI</v>
      </c>
      <c r="C45" s="139" t="str">
        <f ca="1">IFERROR(__xludf.DUMMYFUNCTION("""COMPUTED_VALUE"""),"Digital Product")</f>
        <v>Digital Product</v>
      </c>
      <c r="D45" s="139" t="str">
        <f ca="1">IFERROR(__xludf.DUMMYFUNCTION("""COMPUTED_VALUE"""),"Engineering")</f>
        <v>Engineering</v>
      </c>
      <c r="E45" s="81" t="str">
        <f ca="1">IFERROR(__xludf.DUMMYFUNCTION("""COMPUTED_VALUE"""),"Fixed Assets")</f>
        <v>Fixed Assets</v>
      </c>
      <c r="F45" s="81" t="str">
        <f ca="1">IFERROR(__xludf.DUMMYFUNCTION("""COMPUTED_VALUE"""),"Fixed Assets")</f>
        <v>Fixed Assets</v>
      </c>
      <c r="G45" s="81" t="str">
        <f ca="1">IFERROR(__xludf.DUMMYFUNCTION("""COMPUTED_VALUE"""),"Laptop/ Printer")</f>
        <v>Laptop/ Printer</v>
      </c>
      <c r="H45" s="35">
        <f ca="1">IFERROR(__xludf.DUMMYFUNCTION("""COMPUTED_VALUE"""),11301)</f>
        <v>11301</v>
      </c>
      <c r="I45" s="140">
        <f ca="1">IFERROR(__xludf.DUMMYFUNCTION("""COMPUTED_VALUE"""),25000000)</f>
        <v>25000000</v>
      </c>
      <c r="J45" s="140">
        <f ca="1">IFERROR(__xludf.DUMMYFUNCTION("""COMPUTED_VALUE"""),0)</f>
        <v>0</v>
      </c>
      <c r="K45" s="140">
        <f ca="1">IFERROR(__xludf.DUMMYFUNCTION("""COMPUTED_VALUE"""),0)</f>
        <v>0</v>
      </c>
      <c r="L45" s="140">
        <f ca="1">IFERROR(__xludf.DUMMYFUNCTION("""COMPUTED_VALUE"""),0)</f>
        <v>0</v>
      </c>
      <c r="M45" s="143">
        <f ca="1">IFERROR(__xludf.DUMMYFUNCTION("""COMPUTED_VALUE"""),25000000)</f>
        <v>25000000</v>
      </c>
      <c r="N45" s="140">
        <f ca="1">IFERROR(__xludf.DUMMYFUNCTION("""COMPUTED_VALUE"""),0)</f>
        <v>0</v>
      </c>
      <c r="O45" s="140">
        <f ca="1">IFERROR(__xludf.DUMMYFUNCTION("""COMPUTED_VALUE"""),0)</f>
        <v>0</v>
      </c>
      <c r="P45" s="140">
        <f ca="1">IFERROR(__xludf.DUMMYFUNCTION("""COMPUTED_VALUE"""),0)</f>
        <v>0</v>
      </c>
      <c r="Q45" s="140">
        <f ca="1">IFERROR(__xludf.DUMMYFUNCTION("""COMPUTED_VALUE"""),0)</f>
        <v>0</v>
      </c>
      <c r="R45" s="140">
        <f ca="1">IFERROR(__xludf.DUMMYFUNCTION("""COMPUTED_VALUE"""),0)</f>
        <v>0</v>
      </c>
      <c r="S45" s="140">
        <f ca="1">IFERROR(__xludf.DUMMYFUNCTION("""COMPUTED_VALUE"""),0)</f>
        <v>0</v>
      </c>
      <c r="T45" s="140">
        <f ca="1">IFERROR(__xludf.DUMMYFUNCTION("""COMPUTED_VALUE"""),0)</f>
        <v>0</v>
      </c>
      <c r="U45" s="140">
        <f ca="1">IFERROR(__xludf.DUMMYFUNCTION("""COMPUTED_VALUE"""),0)</f>
        <v>0</v>
      </c>
      <c r="V45" s="69"/>
    </row>
    <row r="46" spans="1:22" ht="13" x14ac:dyDescent="0.3">
      <c r="A46" s="170"/>
      <c r="B46" s="170"/>
      <c r="C46" s="170"/>
      <c r="D46" s="170"/>
      <c r="E46" s="170"/>
      <c r="F46" s="170"/>
      <c r="G46" s="170"/>
      <c r="H46" s="170" t="str">
        <f ca="1">IFERROR(__xludf.DUMMYFUNCTION("""COMPUTED_VALUE"""),"Total expenses ")</f>
        <v xml:space="preserve">Total expenses </v>
      </c>
      <c r="I46" s="171">
        <f ca="1">IFERROR(__xludf.DUMMYFUNCTION("""COMPUTED_VALUE"""),746571056)</f>
        <v>746571056</v>
      </c>
      <c r="J46" s="171">
        <f ca="1">IFERROR(__xludf.DUMMYFUNCTION("""COMPUTED_VALUE"""),32570343)</f>
        <v>32570343</v>
      </c>
      <c r="K46" s="171">
        <f ca="1">IFERROR(__xludf.DUMMYFUNCTION("""COMPUTED_VALUE"""),50332843)</f>
        <v>50332843</v>
      </c>
      <c r="L46" s="171">
        <f ca="1">IFERROR(__xludf.DUMMYFUNCTION("""COMPUTED_VALUE"""),104670343)</f>
        <v>104670343</v>
      </c>
      <c r="M46" s="171">
        <f ca="1">IFERROR(__xludf.DUMMYFUNCTION("""COMPUTED_VALUE"""),127744503)</f>
        <v>127744503</v>
      </c>
      <c r="N46" s="171">
        <f ca="1">IFERROR(__xludf.DUMMYFUNCTION("""COMPUTED_VALUE"""),53344503)</f>
        <v>53344503</v>
      </c>
      <c r="O46" s="171">
        <f ca="1">IFERROR(__xludf.DUMMYFUNCTION("""COMPUTED_VALUE"""),53344503)</f>
        <v>53344503</v>
      </c>
      <c r="P46" s="171">
        <f ca="1">IFERROR(__xludf.DUMMYFUNCTION("""COMPUTED_VALUE"""),53344503)</f>
        <v>53344503</v>
      </c>
      <c r="Q46" s="171">
        <f ca="1">IFERROR(__xludf.DUMMYFUNCTION("""COMPUTED_VALUE"""),53344503)</f>
        <v>53344503</v>
      </c>
      <c r="R46" s="171">
        <f ca="1">IFERROR(__xludf.DUMMYFUNCTION("""COMPUTED_VALUE"""),57841503)</f>
        <v>57841503</v>
      </c>
      <c r="S46" s="171">
        <f ca="1">IFERROR(__xludf.DUMMYFUNCTION("""COMPUTED_VALUE"""),53344503)</f>
        <v>53344503</v>
      </c>
      <c r="T46" s="171">
        <f ca="1">IFERROR(__xludf.DUMMYFUNCTION("""COMPUTED_VALUE"""),53344503)</f>
        <v>53344503</v>
      </c>
      <c r="U46" s="171">
        <f ca="1">IFERROR(__xludf.DUMMYFUNCTION("""COMPUTED_VALUE"""),53344503)</f>
        <v>53344503</v>
      </c>
      <c r="V46" s="69">
        <f ca="1">IFERROR(__xludf.DUMMYFUNCTION("""COMPUTED_VALUE"""),2026)</f>
        <v>2026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46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" customHeight="1" x14ac:dyDescent="0.25"/>
  <cols>
    <col min="1" max="1" width="9.7265625" customWidth="1"/>
    <col min="2" max="2" width="5.90625" customWidth="1"/>
    <col min="3" max="3" width="13" customWidth="1"/>
    <col min="4" max="4" width="15.7265625" customWidth="1"/>
    <col min="5" max="5" width="14.6328125" customWidth="1"/>
    <col min="6" max="6" width="28.08984375" customWidth="1"/>
    <col min="7" max="7" width="33.36328125" customWidth="1"/>
  </cols>
  <sheetData>
    <row r="1" spans="1:24" ht="27" customHeight="1" x14ac:dyDescent="0.25">
      <c r="A1" s="124" t="s">
        <v>4</v>
      </c>
      <c r="B1" s="23" t="s">
        <v>130</v>
      </c>
      <c r="C1" s="23" t="s">
        <v>131</v>
      </c>
      <c r="D1" s="19" t="s">
        <v>132</v>
      </c>
      <c r="E1" s="23" t="s">
        <v>133</v>
      </c>
      <c r="F1" s="19" t="s">
        <v>8</v>
      </c>
      <c r="G1" s="23" t="s">
        <v>10</v>
      </c>
      <c r="H1" s="23" t="s">
        <v>12</v>
      </c>
      <c r="I1" s="7" t="s">
        <v>2</v>
      </c>
      <c r="J1" s="8">
        <v>46023</v>
      </c>
      <c r="K1" s="8">
        <v>46054</v>
      </c>
      <c r="L1" s="8">
        <v>46082</v>
      </c>
      <c r="M1" s="8">
        <v>46113</v>
      </c>
      <c r="N1" s="8">
        <v>46143</v>
      </c>
      <c r="O1" s="8">
        <v>46174</v>
      </c>
      <c r="P1" s="8">
        <v>46204</v>
      </c>
      <c r="Q1" s="8">
        <v>46235</v>
      </c>
      <c r="R1" s="8">
        <v>46266</v>
      </c>
      <c r="S1" s="8">
        <v>46296</v>
      </c>
      <c r="T1" s="8">
        <v>46327</v>
      </c>
      <c r="U1" s="8">
        <v>46357</v>
      </c>
      <c r="V1" s="273"/>
      <c r="W1" s="273"/>
      <c r="X1" s="128"/>
    </row>
    <row r="2" spans="1:24" ht="15.75" customHeight="1" x14ac:dyDescent="0.85">
      <c r="A2" s="130"/>
      <c r="B2" s="131"/>
      <c r="C2" s="131"/>
      <c r="D2" s="131"/>
      <c r="E2" s="131"/>
      <c r="F2" s="131"/>
      <c r="G2" s="131"/>
      <c r="H2" s="5"/>
      <c r="I2" s="20" t="s">
        <v>9</v>
      </c>
      <c r="J2" s="22" t="s">
        <v>9</v>
      </c>
      <c r="K2" s="22" t="s">
        <v>9</v>
      </c>
      <c r="L2" s="22" t="s">
        <v>9</v>
      </c>
      <c r="M2" s="22" t="s">
        <v>9</v>
      </c>
      <c r="N2" s="22" t="s">
        <v>9</v>
      </c>
      <c r="O2" s="22" t="s">
        <v>9</v>
      </c>
      <c r="P2" s="22" t="s">
        <v>9</v>
      </c>
      <c r="Q2" s="22" t="s">
        <v>9</v>
      </c>
      <c r="R2" s="22" t="s">
        <v>9</v>
      </c>
      <c r="S2" s="22" t="s">
        <v>9</v>
      </c>
      <c r="T2" s="22" t="s">
        <v>9</v>
      </c>
      <c r="U2" s="22" t="s">
        <v>9</v>
      </c>
      <c r="V2" s="274"/>
      <c r="W2" s="274"/>
    </row>
    <row r="3" spans="1:24" ht="15.75" customHeight="1" x14ac:dyDescent="0.25">
      <c r="A3" s="137" t="str">
        <f ca="1">IFERROR(__xludf.DUMMYFUNCTION("importrange(""https://docs.google.com/spreadsheets/d/1xxxCgwKM8_LUy525_e1U5vvprzixxr-4zyfc-4znDL0/edit?gid=429716205#"",""Summary!A3:U23"")"),"Bangladesh")</f>
        <v>Bangladesh</v>
      </c>
      <c r="B3" s="81" t="str">
        <f ca="1">IFERROR(__xludf.DUMMYFUNCTION("""COMPUTED_VALUE"""),"NHBD")</f>
        <v>NHBD</v>
      </c>
      <c r="C3" s="139" t="str">
        <f ca="1">IFERROR(__xludf.DUMMYFUNCTION("""COMPUTED_VALUE"""),"Digital Product")</f>
        <v>Digital Product</v>
      </c>
      <c r="D3" s="139" t="str">
        <f ca="1">IFERROR(__xludf.DUMMYFUNCTION("""COMPUTED_VALUE"""),"Country Product")</f>
        <v>Country Product</v>
      </c>
      <c r="E3" s="139" t="str">
        <f ca="1">IFERROR(__xludf.DUMMYFUNCTION("""COMPUTED_VALUE"""),"Payroll Cost")</f>
        <v>Payroll Cost</v>
      </c>
      <c r="F3" s="139" t="str">
        <f ca="1">IFERROR(__xludf.DUMMYFUNCTION("""COMPUTED_VALUE"""),"Salaries and Wages")</f>
        <v>Salaries and Wages</v>
      </c>
      <c r="G3" s="139" t="str">
        <f ca="1">IFERROR(__xludf.DUMMYFUNCTION("""COMPUTED_VALUE"""),"Salaries and Wages")</f>
        <v>Salaries and Wages</v>
      </c>
      <c r="H3" s="141" t="str">
        <f ca="1">IFERROR(__xludf.DUMMYFUNCTION("""COMPUTED_VALUE"""),"91101-91107")</f>
        <v>91101-91107</v>
      </c>
      <c r="I3" s="140">
        <f ca="1">IFERROR(__xludf.DUMMYFUNCTION("""COMPUTED_VALUE"""),9919904.2)</f>
        <v>9919904.1999999993</v>
      </c>
      <c r="J3" s="140">
        <f ca="1">IFERROR(__xludf.DUMMYFUNCTION("""COMPUTED_VALUE"""),531792.36)</f>
        <v>531792.36</v>
      </c>
      <c r="K3" s="140">
        <f ca="1">IFERROR(__xludf.DUMMYFUNCTION("""COMPUTED_VALUE"""),793188.539999999)</f>
        <v>793188.53999999899</v>
      </c>
      <c r="L3" s="140">
        <f ca="1">IFERROR(__xludf.DUMMYFUNCTION("""COMPUTED_VALUE"""),638081.64)</f>
        <v>638081.64</v>
      </c>
      <c r="M3" s="143">
        <f ca="1">IFERROR(__xludf.DUMMYFUNCTION("""COMPUTED_VALUE"""),781081.64)</f>
        <v>781081.64</v>
      </c>
      <c r="N3" s="140">
        <f ca="1">IFERROR(__xludf.DUMMYFUNCTION("""COMPUTED_VALUE"""),1032688.53999999)</f>
        <v>1032688.53999999</v>
      </c>
      <c r="O3" s="140">
        <f ca="1">IFERROR(__xludf.DUMMYFUNCTION("""COMPUTED_VALUE"""),877581.64)</f>
        <v>877581.64</v>
      </c>
      <c r="P3" s="140">
        <f ca="1">IFERROR(__xludf.DUMMYFUNCTION("""COMPUTED_VALUE"""),877581.64)</f>
        <v>877581.64</v>
      </c>
      <c r="Q3" s="140">
        <f ca="1">IFERROR(__xludf.DUMMYFUNCTION("""COMPUTED_VALUE"""),877581.64)</f>
        <v>877581.64</v>
      </c>
      <c r="R3" s="140">
        <f ca="1">IFERROR(__xludf.DUMMYFUNCTION("""COMPUTED_VALUE"""),877581.64)</f>
        <v>877581.64</v>
      </c>
      <c r="S3" s="140">
        <f ca="1">IFERROR(__xludf.DUMMYFUNCTION("""COMPUTED_VALUE"""),877581.64)</f>
        <v>877581.64</v>
      </c>
      <c r="T3" s="140">
        <f ca="1">IFERROR(__xludf.DUMMYFUNCTION("""COMPUTED_VALUE"""),877581.64)</f>
        <v>877581.64</v>
      </c>
      <c r="U3" s="140">
        <f ca="1">IFERROR(__xludf.DUMMYFUNCTION("""COMPUTED_VALUE"""),877581.64)</f>
        <v>877581.64</v>
      </c>
      <c r="V3" s="100"/>
      <c r="W3" s="100"/>
    </row>
    <row r="4" spans="1:24" ht="12.5" x14ac:dyDescent="0.25">
      <c r="A4" s="81" t="str">
        <f ca="1">IFERROR(__xludf.DUMMYFUNCTION("""COMPUTED_VALUE"""),"Bangladesh")</f>
        <v>Bangladesh</v>
      </c>
      <c r="B4" s="81" t="str">
        <f ca="1">IFERROR(__xludf.DUMMYFUNCTION("""COMPUTED_VALUE"""),"NHBD")</f>
        <v>NHBD</v>
      </c>
      <c r="C4" s="139" t="str">
        <f ca="1">IFERROR(__xludf.DUMMYFUNCTION("""COMPUTED_VALUE"""),"Digital Product")</f>
        <v>Digital Product</v>
      </c>
      <c r="D4" s="139" t="str">
        <f ca="1">IFERROR(__xludf.DUMMYFUNCTION("""COMPUTED_VALUE"""),"Country Product")</f>
        <v>Country Product</v>
      </c>
      <c r="E4" s="139" t="str">
        <f ca="1">IFERROR(__xludf.DUMMYFUNCTION("""COMPUTED_VALUE"""),"Payroll Cost")</f>
        <v>Payroll Cost</v>
      </c>
      <c r="F4" s="139" t="str">
        <f ca="1">IFERROR(__xludf.DUMMYFUNCTION("""COMPUTED_VALUE"""),"Health and Retirement Benefits")</f>
        <v>Health and Retirement Benefits</v>
      </c>
      <c r="G4" s="139" t="str">
        <f ca="1">IFERROR(__xludf.DUMMYFUNCTION("""COMPUTED_VALUE"""),"Gratuity &amp; Bonus")</f>
        <v>Gratuity &amp; Bonus</v>
      </c>
      <c r="H4" s="141" t="str">
        <f ca="1">IFERROR(__xludf.DUMMYFUNCTION("""COMPUTED_VALUE"""),"91201-91207")</f>
        <v>91201-91207</v>
      </c>
      <c r="I4" s="140">
        <f ca="1">IFERROR(__xludf.DUMMYFUNCTION("""COMPUTED_VALUE"""),0)</f>
        <v>0</v>
      </c>
      <c r="J4" s="140">
        <f ca="1">IFERROR(__xludf.DUMMYFUNCTION("""COMPUTED_VALUE"""),0)</f>
        <v>0</v>
      </c>
      <c r="K4" s="140">
        <f ca="1">IFERROR(__xludf.DUMMYFUNCTION("""COMPUTED_VALUE"""),0)</f>
        <v>0</v>
      </c>
      <c r="L4" s="140">
        <f ca="1">IFERROR(__xludf.DUMMYFUNCTION("""COMPUTED_VALUE"""),0)</f>
        <v>0</v>
      </c>
      <c r="M4" s="143">
        <f ca="1">IFERROR(__xludf.DUMMYFUNCTION("""COMPUTED_VALUE"""),0)</f>
        <v>0</v>
      </c>
      <c r="N4" s="140">
        <f ca="1">IFERROR(__xludf.DUMMYFUNCTION("""COMPUTED_VALUE"""),0)</f>
        <v>0</v>
      </c>
      <c r="O4" s="140">
        <f ca="1">IFERROR(__xludf.DUMMYFUNCTION("""COMPUTED_VALUE"""),0)</f>
        <v>0</v>
      </c>
      <c r="P4" s="140">
        <f ca="1">IFERROR(__xludf.DUMMYFUNCTION("""COMPUTED_VALUE"""),0)</f>
        <v>0</v>
      </c>
      <c r="Q4" s="140">
        <f ca="1">IFERROR(__xludf.DUMMYFUNCTION("""COMPUTED_VALUE"""),0)</f>
        <v>0</v>
      </c>
      <c r="R4" s="140">
        <f ca="1">IFERROR(__xludf.DUMMYFUNCTION("""COMPUTED_VALUE"""),0)</f>
        <v>0</v>
      </c>
      <c r="S4" s="140">
        <f ca="1">IFERROR(__xludf.DUMMYFUNCTION("""COMPUTED_VALUE"""),0)</f>
        <v>0</v>
      </c>
      <c r="T4" s="140">
        <f ca="1">IFERROR(__xludf.DUMMYFUNCTION("""COMPUTED_VALUE"""),0)</f>
        <v>0</v>
      </c>
      <c r="U4" s="140">
        <f ca="1">IFERROR(__xludf.DUMMYFUNCTION("""COMPUTED_VALUE"""),0)</f>
        <v>0</v>
      </c>
    </row>
    <row r="5" spans="1:24" ht="12.5" x14ac:dyDescent="0.25">
      <c r="A5" s="81" t="str">
        <f ca="1">IFERROR(__xludf.DUMMYFUNCTION("""COMPUTED_VALUE"""),"Bangladesh")</f>
        <v>Bangladesh</v>
      </c>
      <c r="B5" s="81" t="str">
        <f ca="1">IFERROR(__xludf.DUMMYFUNCTION("""COMPUTED_VALUE"""),"NHBD")</f>
        <v>NHBD</v>
      </c>
      <c r="C5" s="139" t="str">
        <f ca="1">IFERROR(__xludf.DUMMYFUNCTION("""COMPUTED_VALUE"""),"Digital Product")</f>
        <v>Digital Product</v>
      </c>
      <c r="D5" s="139" t="str">
        <f ca="1">IFERROR(__xludf.DUMMYFUNCTION("""COMPUTED_VALUE"""),"Country Product")</f>
        <v>Country Product</v>
      </c>
      <c r="E5" s="139" t="str">
        <f ca="1">IFERROR(__xludf.DUMMYFUNCTION("""COMPUTED_VALUE"""),"Payroll Cost")</f>
        <v>Payroll Cost</v>
      </c>
      <c r="F5" s="139" t="str">
        <f ca="1">IFERROR(__xludf.DUMMYFUNCTION("""COMPUTED_VALUE"""),"Other Staff Expenses")</f>
        <v>Other Staff Expenses</v>
      </c>
      <c r="G5" s="139" t="str">
        <f ca="1">IFERROR(__xludf.DUMMYFUNCTION("""COMPUTED_VALUE"""),"Staff Training, Learning &amp; Development Exp")</f>
        <v>Staff Training, Learning &amp; Development Exp</v>
      </c>
      <c r="H5" s="152">
        <f ca="1">IFERROR(__xludf.DUMMYFUNCTION("""COMPUTED_VALUE"""),91302)</f>
        <v>91302</v>
      </c>
      <c r="I5" s="140">
        <f ca="1">IFERROR(__xludf.DUMMYFUNCTION("""COMPUTED_VALUE"""),0)</f>
        <v>0</v>
      </c>
      <c r="J5" s="140">
        <f ca="1">IFERROR(__xludf.DUMMYFUNCTION("""COMPUTED_VALUE"""),0)</f>
        <v>0</v>
      </c>
      <c r="K5" s="140">
        <f ca="1">IFERROR(__xludf.DUMMYFUNCTION("""COMPUTED_VALUE"""),0)</f>
        <v>0</v>
      </c>
      <c r="L5" s="140">
        <f ca="1">IFERROR(__xludf.DUMMYFUNCTION("""COMPUTED_VALUE"""),0)</f>
        <v>0</v>
      </c>
      <c r="M5" s="143">
        <f ca="1">IFERROR(__xludf.DUMMYFUNCTION("""COMPUTED_VALUE"""),0)</f>
        <v>0</v>
      </c>
      <c r="N5" s="140">
        <f ca="1">IFERROR(__xludf.DUMMYFUNCTION("""COMPUTED_VALUE"""),0)</f>
        <v>0</v>
      </c>
      <c r="O5" s="140">
        <f ca="1">IFERROR(__xludf.DUMMYFUNCTION("""COMPUTED_VALUE"""),0)</f>
        <v>0</v>
      </c>
      <c r="P5" s="140">
        <f ca="1">IFERROR(__xludf.DUMMYFUNCTION("""COMPUTED_VALUE"""),0)</f>
        <v>0</v>
      </c>
      <c r="Q5" s="140">
        <f ca="1">IFERROR(__xludf.DUMMYFUNCTION("""COMPUTED_VALUE"""),0)</f>
        <v>0</v>
      </c>
      <c r="R5" s="140">
        <f ca="1">IFERROR(__xludf.DUMMYFUNCTION("""COMPUTED_VALUE"""),0)</f>
        <v>0</v>
      </c>
      <c r="S5" s="140">
        <f ca="1">IFERROR(__xludf.DUMMYFUNCTION("""COMPUTED_VALUE"""),0)</f>
        <v>0</v>
      </c>
      <c r="T5" s="140">
        <f ca="1">IFERROR(__xludf.DUMMYFUNCTION("""COMPUTED_VALUE"""),0)</f>
        <v>0</v>
      </c>
      <c r="U5" s="140">
        <f ca="1">IFERROR(__xludf.DUMMYFUNCTION("""COMPUTED_VALUE"""),0)</f>
        <v>0</v>
      </c>
    </row>
    <row r="6" spans="1:24" ht="12.5" x14ac:dyDescent="0.25">
      <c r="A6" s="81" t="str">
        <f ca="1">IFERROR(__xludf.DUMMYFUNCTION("""COMPUTED_VALUE"""),"Bangladesh")</f>
        <v>Bangladesh</v>
      </c>
      <c r="B6" s="81" t="str">
        <f ca="1">IFERROR(__xludf.DUMMYFUNCTION("""COMPUTED_VALUE"""),"NHBD")</f>
        <v>NHBD</v>
      </c>
      <c r="C6" s="139" t="str">
        <f ca="1">IFERROR(__xludf.DUMMYFUNCTION("""COMPUTED_VALUE"""),"Digital Product")</f>
        <v>Digital Product</v>
      </c>
      <c r="D6" s="139" t="str">
        <f ca="1">IFERROR(__xludf.DUMMYFUNCTION("""COMPUTED_VALUE"""),"Country Product")</f>
        <v>Country Product</v>
      </c>
      <c r="E6" s="81" t="str">
        <f ca="1">IFERROR(__xludf.DUMMYFUNCTION("""COMPUTED_VALUE"""),"Direct Consultants")</f>
        <v>Direct Consultants</v>
      </c>
      <c r="F6" s="81" t="str">
        <f ca="1">IFERROR(__xludf.DUMMYFUNCTION("""COMPUTED_VALUE"""),"Resource Persons")</f>
        <v>Resource Persons</v>
      </c>
      <c r="G6" s="81" t="str">
        <f ca="1">IFERROR(__xludf.DUMMYFUNCTION("""COMPUTED_VALUE"""),"Program Resource Consultant (EHA)")</f>
        <v>Program Resource Consultant (EHA)</v>
      </c>
      <c r="H6" s="35">
        <f ca="1">IFERROR(__xludf.DUMMYFUNCTION("""COMPUTED_VALUE"""),92101)</f>
        <v>92101</v>
      </c>
      <c r="I6" s="140">
        <f ca="1">IFERROR(__xludf.DUMMYFUNCTION("""COMPUTED_VALUE"""),7580893.31)</f>
        <v>7580893.3099999996</v>
      </c>
      <c r="J6" s="140">
        <f ca="1">IFERROR(__xludf.DUMMYFUNCTION("""COMPUTED_VALUE"""),584114.87)</f>
        <v>584114.87</v>
      </c>
      <c r="K6" s="140">
        <f ca="1">IFERROR(__xludf.DUMMYFUNCTION("""COMPUTED_VALUE"""),869872.305)</f>
        <v>869872.30500000005</v>
      </c>
      <c r="L6" s="140">
        <f ca="1">IFERROR(__xludf.DUMMYFUNCTION("""COMPUTED_VALUE"""),584114.87)</f>
        <v>584114.87</v>
      </c>
      <c r="M6" s="143">
        <f ca="1">IFERROR(__xludf.DUMMYFUNCTION("""COMPUTED_VALUE"""),584114.87)</f>
        <v>584114.87</v>
      </c>
      <c r="N6" s="140">
        <f ca="1">IFERROR(__xludf.DUMMYFUNCTION("""COMPUTED_VALUE"""),869872.305)</f>
        <v>869872.30500000005</v>
      </c>
      <c r="O6" s="140">
        <f ca="1">IFERROR(__xludf.DUMMYFUNCTION("""COMPUTED_VALUE"""),584114.87)</f>
        <v>584114.87</v>
      </c>
      <c r="P6" s="140">
        <f ca="1">IFERROR(__xludf.DUMMYFUNCTION("""COMPUTED_VALUE"""),584114.87)</f>
        <v>584114.87</v>
      </c>
      <c r="Q6" s="140">
        <f ca="1">IFERROR(__xludf.DUMMYFUNCTION("""COMPUTED_VALUE"""),584114.87)</f>
        <v>584114.87</v>
      </c>
      <c r="R6" s="140">
        <f ca="1">IFERROR(__xludf.DUMMYFUNCTION("""COMPUTED_VALUE"""),584114.87)</f>
        <v>584114.87</v>
      </c>
      <c r="S6" s="140">
        <f ca="1">IFERROR(__xludf.DUMMYFUNCTION("""COMPUTED_VALUE"""),584114.87)</f>
        <v>584114.87</v>
      </c>
      <c r="T6" s="140">
        <f ca="1">IFERROR(__xludf.DUMMYFUNCTION("""COMPUTED_VALUE"""),584114.87)</f>
        <v>584114.87</v>
      </c>
      <c r="U6" s="140">
        <f ca="1">IFERROR(__xludf.DUMMYFUNCTION("""COMPUTED_VALUE"""),584114.87)</f>
        <v>584114.87</v>
      </c>
    </row>
    <row r="7" spans="1:24" ht="12.5" x14ac:dyDescent="0.25">
      <c r="A7" s="81" t="str">
        <f ca="1">IFERROR(__xludf.DUMMYFUNCTION("""COMPUTED_VALUE"""),"Bangladesh")</f>
        <v>Bangladesh</v>
      </c>
      <c r="B7" s="81" t="str">
        <f ca="1">IFERROR(__xludf.DUMMYFUNCTION("""COMPUTED_VALUE"""),"NHBD")</f>
        <v>NHBD</v>
      </c>
      <c r="C7" s="139" t="str">
        <f ca="1">IFERROR(__xludf.DUMMYFUNCTION("""COMPUTED_VALUE"""),"Digital Product")</f>
        <v>Digital Product</v>
      </c>
      <c r="D7" s="140" t="str">
        <f ca="1">IFERROR(__xludf.DUMMYFUNCTION("""COMPUTED_VALUE""")," Country Product ")</f>
        <v xml:space="preserve"> Country Product </v>
      </c>
      <c r="E7" s="81" t="str">
        <f ca="1">IFERROR(__xludf.DUMMYFUNCTION("""COMPUTED_VALUE"""),"Direct Cost")</f>
        <v>Direct Cost</v>
      </c>
      <c r="F7" s="81" t="str">
        <f ca="1">IFERROR(__xludf.DUMMYFUNCTION("""COMPUTED_VALUE"""),"Travel &amp; Lodging Expenses")</f>
        <v>Travel &amp; Lodging Expenses</v>
      </c>
      <c r="G7" s="81" t="str">
        <f ca="1">IFERROR(__xludf.DUMMYFUNCTION("""COMPUTED_VALUE"""),"Hotel Accomodation")</f>
        <v>Hotel Accomodation</v>
      </c>
      <c r="H7" s="35">
        <f ca="1">IFERROR(__xludf.DUMMYFUNCTION("""COMPUTED_VALUE"""),93101)</f>
        <v>93101</v>
      </c>
      <c r="I7" s="140">
        <f ca="1">IFERROR(__xludf.DUMMYFUNCTION("""COMPUTED_VALUE"""),313250)</f>
        <v>313250</v>
      </c>
      <c r="J7" s="140">
        <f ca="1">IFERROR(__xludf.DUMMYFUNCTION("""COMPUTED_VALUE"""),0)</f>
        <v>0</v>
      </c>
      <c r="K7" s="140">
        <f ca="1">IFERROR(__xludf.DUMMYFUNCTION("""COMPUTED_VALUE"""),21000)</f>
        <v>21000</v>
      </c>
      <c r="L7" s="140">
        <f ca="1">IFERROR(__xludf.DUMMYFUNCTION("""COMPUTED_VALUE"""),31500)</f>
        <v>31500</v>
      </c>
      <c r="M7" s="143">
        <f ca="1">IFERROR(__xludf.DUMMYFUNCTION("""COMPUTED_VALUE"""),31500)</f>
        <v>31500</v>
      </c>
      <c r="N7" s="140">
        <f ca="1">IFERROR(__xludf.DUMMYFUNCTION("""COMPUTED_VALUE"""),21000)</f>
        <v>21000</v>
      </c>
      <c r="O7" s="140">
        <f ca="1">IFERROR(__xludf.DUMMYFUNCTION("""COMPUTED_VALUE"""),31500)</f>
        <v>31500</v>
      </c>
      <c r="P7" s="140">
        <f ca="1">IFERROR(__xludf.DUMMYFUNCTION("""COMPUTED_VALUE"""),92750)</f>
        <v>92750</v>
      </c>
      <c r="Q7" s="140">
        <f ca="1">IFERROR(__xludf.DUMMYFUNCTION("""COMPUTED_VALUE"""),21000)</f>
        <v>21000</v>
      </c>
      <c r="R7" s="140">
        <f ca="1">IFERROR(__xludf.DUMMYFUNCTION("""COMPUTED_VALUE"""),63000)</f>
        <v>63000</v>
      </c>
      <c r="S7" s="140">
        <f ca="1">IFERROR(__xludf.DUMMYFUNCTION("""COMPUTED_VALUE"""),0)</f>
        <v>0</v>
      </c>
      <c r="T7" s="140">
        <f ca="1">IFERROR(__xludf.DUMMYFUNCTION("""COMPUTED_VALUE"""),0)</f>
        <v>0</v>
      </c>
      <c r="U7" s="140">
        <f ca="1">IFERROR(__xludf.DUMMYFUNCTION("""COMPUTED_VALUE"""),0)</f>
        <v>0</v>
      </c>
    </row>
    <row r="8" spans="1:24" ht="12.5" x14ac:dyDescent="0.25">
      <c r="A8" s="81" t="str">
        <f ca="1">IFERROR(__xludf.DUMMYFUNCTION("""COMPUTED_VALUE"""),"Bangladesh")</f>
        <v>Bangladesh</v>
      </c>
      <c r="B8" s="81" t="str">
        <f ca="1">IFERROR(__xludf.DUMMYFUNCTION("""COMPUTED_VALUE"""),"NHBD")</f>
        <v>NHBD</v>
      </c>
      <c r="C8" s="139" t="str">
        <f ca="1">IFERROR(__xludf.DUMMYFUNCTION("""COMPUTED_VALUE"""),"Digital Product")</f>
        <v>Digital Product</v>
      </c>
      <c r="D8" s="140" t="str">
        <f ca="1">IFERROR(__xludf.DUMMYFUNCTION("""COMPUTED_VALUE""")," Country Product ")</f>
        <v xml:space="preserve"> Country Product </v>
      </c>
      <c r="E8" s="81" t="str">
        <f ca="1">IFERROR(__xludf.DUMMYFUNCTION("""COMPUTED_VALUE"""),"Direct Cost")</f>
        <v>Direct Cost</v>
      </c>
      <c r="F8" s="81" t="str">
        <f ca="1">IFERROR(__xludf.DUMMYFUNCTION("""COMPUTED_VALUE"""),"Travel &amp; Lodging Expenses")</f>
        <v>Travel &amp; Lodging Expenses</v>
      </c>
      <c r="G8" s="81" t="str">
        <f ca="1">IFERROR(__xludf.DUMMYFUNCTION("""COMPUTED_VALUE"""),"Food Expenses")</f>
        <v>Food Expenses</v>
      </c>
      <c r="H8" s="35">
        <f ca="1">IFERROR(__xludf.DUMMYFUNCTION("""COMPUTED_VALUE"""),93102)</f>
        <v>93102</v>
      </c>
      <c r="I8" s="140">
        <f ca="1">IFERROR(__xludf.DUMMYFUNCTION("""COMPUTED_VALUE"""),242400)</f>
        <v>242400</v>
      </c>
      <c r="J8" s="140">
        <f ca="1">IFERROR(__xludf.DUMMYFUNCTION("""COMPUTED_VALUE"""),9600)</f>
        <v>9600</v>
      </c>
      <c r="K8" s="140">
        <f ca="1">IFERROR(__xludf.DUMMYFUNCTION("""COMPUTED_VALUE"""),16800)</f>
        <v>16800</v>
      </c>
      <c r="L8" s="140">
        <f ca="1">IFERROR(__xludf.DUMMYFUNCTION("""COMPUTED_VALUE"""),20400)</f>
        <v>20400</v>
      </c>
      <c r="M8" s="143">
        <f ca="1">IFERROR(__xludf.DUMMYFUNCTION("""COMPUTED_VALUE"""),20400)</f>
        <v>20400</v>
      </c>
      <c r="N8" s="140">
        <f ca="1">IFERROR(__xludf.DUMMYFUNCTION("""COMPUTED_VALUE"""),16800)</f>
        <v>16800</v>
      </c>
      <c r="O8" s="140">
        <f ca="1">IFERROR(__xludf.DUMMYFUNCTION("""COMPUTED_VALUE"""),20400)</f>
        <v>20400</v>
      </c>
      <c r="P8" s="140">
        <f ca="1">IFERROR(__xludf.DUMMYFUNCTION("""COMPUTED_VALUE"""),80400)</f>
        <v>80400</v>
      </c>
      <c r="Q8" s="140">
        <f ca="1">IFERROR(__xludf.DUMMYFUNCTION("""COMPUTED_VALUE"""),16800)</f>
        <v>16800</v>
      </c>
      <c r="R8" s="140">
        <f ca="1">IFERROR(__xludf.DUMMYFUNCTION("""COMPUTED_VALUE"""),31200)</f>
        <v>31200</v>
      </c>
      <c r="S8" s="140">
        <f ca="1">IFERROR(__xludf.DUMMYFUNCTION("""COMPUTED_VALUE"""),9600)</f>
        <v>9600</v>
      </c>
      <c r="T8" s="140">
        <f ca="1">IFERROR(__xludf.DUMMYFUNCTION("""COMPUTED_VALUE"""),0)</f>
        <v>0</v>
      </c>
      <c r="U8" s="140">
        <f ca="1">IFERROR(__xludf.DUMMYFUNCTION("""COMPUTED_VALUE"""),0)</f>
        <v>0</v>
      </c>
    </row>
    <row r="9" spans="1:24" ht="12.5" x14ac:dyDescent="0.25">
      <c r="A9" s="81" t="str">
        <f ca="1">IFERROR(__xludf.DUMMYFUNCTION("""COMPUTED_VALUE"""),"Bangladesh")</f>
        <v>Bangladesh</v>
      </c>
      <c r="B9" s="81" t="str">
        <f ca="1">IFERROR(__xludf.DUMMYFUNCTION("""COMPUTED_VALUE"""),"NHBD")</f>
        <v>NHBD</v>
      </c>
      <c r="C9" s="139" t="str">
        <f ca="1">IFERROR(__xludf.DUMMYFUNCTION("""COMPUTED_VALUE"""),"Digital Product")</f>
        <v>Digital Product</v>
      </c>
      <c r="D9" s="140" t="str">
        <f ca="1">IFERROR(__xludf.DUMMYFUNCTION("""COMPUTED_VALUE""")," Country Product ")</f>
        <v xml:space="preserve"> Country Product </v>
      </c>
      <c r="E9" s="81" t="str">
        <f ca="1">IFERROR(__xludf.DUMMYFUNCTION("""COMPUTED_VALUE"""),"Direct Cost")</f>
        <v>Direct Cost</v>
      </c>
      <c r="F9" s="81" t="str">
        <f ca="1">IFERROR(__xludf.DUMMYFUNCTION("""COMPUTED_VALUE"""),"Travel &amp; Lodging Expenses")</f>
        <v>Travel &amp; Lodging Expenses</v>
      </c>
      <c r="G9" s="81" t="str">
        <f ca="1">IFERROR(__xludf.DUMMYFUNCTION("""COMPUTED_VALUE"""),"Air fare")</f>
        <v>Air fare</v>
      </c>
      <c r="H9" s="35">
        <f ca="1">IFERROR(__xludf.DUMMYFUNCTION("""COMPUTED_VALUE"""),93103)</f>
        <v>93103</v>
      </c>
      <c r="I9" s="140">
        <f ca="1">IFERROR(__xludf.DUMMYFUNCTION("""COMPUTED_VALUE"""),297000)</f>
        <v>297000</v>
      </c>
      <c r="J9" s="140">
        <f ca="1">IFERROR(__xludf.DUMMYFUNCTION("""COMPUTED_VALUE"""),0)</f>
        <v>0</v>
      </c>
      <c r="K9" s="140">
        <f ca="1">IFERROR(__xludf.DUMMYFUNCTION("""COMPUTED_VALUE"""),33000)</f>
        <v>33000</v>
      </c>
      <c r="L9" s="140">
        <f ca="1">IFERROR(__xludf.DUMMYFUNCTION("""COMPUTED_VALUE"""),33000)</f>
        <v>33000</v>
      </c>
      <c r="M9" s="143">
        <f ca="1">IFERROR(__xludf.DUMMYFUNCTION("""COMPUTED_VALUE"""),33000)</f>
        <v>33000</v>
      </c>
      <c r="N9" s="140">
        <f ca="1">IFERROR(__xludf.DUMMYFUNCTION("""COMPUTED_VALUE"""),33000)</f>
        <v>33000</v>
      </c>
      <c r="O9" s="140">
        <f ca="1">IFERROR(__xludf.DUMMYFUNCTION("""COMPUTED_VALUE"""),33000)</f>
        <v>33000</v>
      </c>
      <c r="P9" s="140">
        <f ca="1">IFERROR(__xludf.DUMMYFUNCTION("""COMPUTED_VALUE"""),33000)</f>
        <v>33000</v>
      </c>
      <c r="Q9" s="140">
        <f ca="1">IFERROR(__xludf.DUMMYFUNCTION("""COMPUTED_VALUE"""),33000)</f>
        <v>33000</v>
      </c>
      <c r="R9" s="140">
        <f ca="1">IFERROR(__xludf.DUMMYFUNCTION("""COMPUTED_VALUE"""),66000)</f>
        <v>66000</v>
      </c>
      <c r="S9" s="140">
        <f ca="1">IFERROR(__xludf.DUMMYFUNCTION("""COMPUTED_VALUE"""),0)</f>
        <v>0</v>
      </c>
      <c r="T9" s="140">
        <f ca="1">IFERROR(__xludf.DUMMYFUNCTION("""COMPUTED_VALUE"""),0)</f>
        <v>0</v>
      </c>
      <c r="U9" s="140">
        <f ca="1">IFERROR(__xludf.DUMMYFUNCTION("""COMPUTED_VALUE"""),0)</f>
        <v>0</v>
      </c>
    </row>
    <row r="10" spans="1:24" ht="12.5" x14ac:dyDescent="0.25">
      <c r="A10" s="81" t="str">
        <f ca="1">IFERROR(__xludf.DUMMYFUNCTION("""COMPUTED_VALUE"""),"Bangladesh")</f>
        <v>Bangladesh</v>
      </c>
      <c r="B10" s="81" t="str">
        <f ca="1">IFERROR(__xludf.DUMMYFUNCTION("""COMPUTED_VALUE"""),"NHBD")</f>
        <v>NHBD</v>
      </c>
      <c r="C10" s="139" t="str">
        <f ca="1">IFERROR(__xludf.DUMMYFUNCTION("""COMPUTED_VALUE"""),"Digital Product")</f>
        <v>Digital Product</v>
      </c>
      <c r="D10" s="140" t="str">
        <f ca="1">IFERROR(__xludf.DUMMYFUNCTION("""COMPUTED_VALUE""")," Country Product ")</f>
        <v xml:space="preserve"> Country Product </v>
      </c>
      <c r="E10" s="81" t="str">
        <f ca="1">IFERROR(__xludf.DUMMYFUNCTION("""COMPUTED_VALUE"""),"Direct Cost")</f>
        <v>Direct Cost</v>
      </c>
      <c r="F10" s="81" t="str">
        <f ca="1">IFERROR(__xludf.DUMMYFUNCTION("""COMPUTED_VALUE"""),"Travel &amp; Lodging Expenses")</f>
        <v>Travel &amp; Lodging Expenses</v>
      </c>
      <c r="G10" s="81" t="str">
        <f ca="1">IFERROR(__xludf.DUMMYFUNCTION("""COMPUTED_VALUE"""),"Cab/Auto")</f>
        <v>Cab/Auto</v>
      </c>
      <c r="H10" s="35">
        <f ca="1">IFERROR(__xludf.DUMMYFUNCTION("""COMPUTED_VALUE"""),93104)</f>
        <v>93104</v>
      </c>
      <c r="I10" s="140">
        <f ca="1">IFERROR(__xludf.DUMMYFUNCTION("""COMPUTED_VALUE"""),254100)</f>
        <v>254100</v>
      </c>
      <c r="J10" s="140">
        <f ca="1">IFERROR(__xludf.DUMMYFUNCTION("""COMPUTED_VALUE"""),0)</f>
        <v>0</v>
      </c>
      <c r="K10" s="140">
        <f ca="1">IFERROR(__xludf.DUMMYFUNCTION("""COMPUTED_VALUE"""),19800)</f>
        <v>19800</v>
      </c>
      <c r="L10" s="140">
        <f ca="1">IFERROR(__xludf.DUMMYFUNCTION("""COMPUTED_VALUE"""),29700)</f>
        <v>29700</v>
      </c>
      <c r="M10" s="143">
        <f ca="1">IFERROR(__xludf.DUMMYFUNCTION("""COMPUTED_VALUE"""),29700)</f>
        <v>29700</v>
      </c>
      <c r="N10" s="140">
        <f ca="1">IFERROR(__xludf.DUMMYFUNCTION("""COMPUTED_VALUE"""),19800)</f>
        <v>19800</v>
      </c>
      <c r="O10" s="140">
        <f ca="1">IFERROR(__xludf.DUMMYFUNCTION("""COMPUTED_VALUE"""),29700)</f>
        <v>29700</v>
      </c>
      <c r="P10" s="140">
        <f ca="1">IFERROR(__xludf.DUMMYFUNCTION("""COMPUTED_VALUE"""),46200)</f>
        <v>46200</v>
      </c>
      <c r="Q10" s="140">
        <f ca="1">IFERROR(__xludf.DUMMYFUNCTION("""COMPUTED_VALUE"""),19800)</f>
        <v>19800</v>
      </c>
      <c r="R10" s="140">
        <f ca="1">IFERROR(__xludf.DUMMYFUNCTION("""COMPUTED_VALUE"""),59400)</f>
        <v>59400</v>
      </c>
      <c r="S10" s="140">
        <f ca="1">IFERROR(__xludf.DUMMYFUNCTION("""COMPUTED_VALUE"""),0)</f>
        <v>0</v>
      </c>
      <c r="T10" s="140">
        <f ca="1">IFERROR(__xludf.DUMMYFUNCTION("""COMPUTED_VALUE"""),0)</f>
        <v>0</v>
      </c>
      <c r="U10" s="140">
        <f ca="1">IFERROR(__xludf.DUMMYFUNCTION("""COMPUTED_VALUE"""),0)</f>
        <v>0</v>
      </c>
    </row>
    <row r="11" spans="1:24" ht="12.5" x14ac:dyDescent="0.25">
      <c r="A11" s="81" t="str">
        <f ca="1">IFERROR(__xludf.DUMMYFUNCTION("""COMPUTED_VALUE"""),"Bangladesh")</f>
        <v>Bangladesh</v>
      </c>
      <c r="B11" s="81" t="str">
        <f ca="1">IFERROR(__xludf.DUMMYFUNCTION("""COMPUTED_VALUE"""),"NHBD")</f>
        <v>NHBD</v>
      </c>
      <c r="C11" s="139" t="str">
        <f ca="1">IFERROR(__xludf.DUMMYFUNCTION("""COMPUTED_VALUE"""),"Digital Product")</f>
        <v>Digital Product</v>
      </c>
      <c r="D11" s="140" t="str">
        <f ca="1">IFERROR(__xludf.DUMMYFUNCTION("""COMPUTED_VALUE""")," Country Product ")</f>
        <v xml:space="preserve"> Country Product </v>
      </c>
      <c r="E11" s="81" t="str">
        <f ca="1">IFERROR(__xludf.DUMMYFUNCTION("""COMPUTED_VALUE"""),"Direct Cost")</f>
        <v>Direct Cost</v>
      </c>
      <c r="F11" s="81" t="str">
        <f ca="1">IFERROR(__xludf.DUMMYFUNCTION("""COMPUTED_VALUE"""),"Travel &amp; Lodging Expenses")</f>
        <v>Travel &amp; Lodging Expenses</v>
      </c>
      <c r="G11" s="81" t="str">
        <f ca="1">IFERROR(__xludf.DUMMYFUNCTION("""COMPUTED_VALUE"""),"Bus/Train")</f>
        <v>Bus/Train</v>
      </c>
      <c r="H11" s="35">
        <f ca="1">IFERROR(__xludf.DUMMYFUNCTION("""COMPUTED_VALUE"""),93105)</f>
        <v>93105</v>
      </c>
      <c r="I11" s="140">
        <f ca="1">IFERROR(__xludf.DUMMYFUNCTION("""COMPUTED_VALUE"""),41600)</f>
        <v>41600</v>
      </c>
      <c r="J11" s="140">
        <f ca="1">IFERROR(__xludf.DUMMYFUNCTION("""COMPUTED_VALUE"""),0)</f>
        <v>0</v>
      </c>
      <c r="K11" s="140">
        <f ca="1">IFERROR(__xludf.DUMMYFUNCTION("""COMPUTED_VALUE"""),2400)</f>
        <v>2400</v>
      </c>
      <c r="L11" s="140">
        <f ca="1">IFERROR(__xludf.DUMMYFUNCTION("""COMPUTED_VALUE"""),2400)</f>
        <v>2400</v>
      </c>
      <c r="M11" s="143">
        <f ca="1">IFERROR(__xludf.DUMMYFUNCTION("""COMPUTED_VALUE"""),2400)</f>
        <v>2400</v>
      </c>
      <c r="N11" s="140">
        <f ca="1">IFERROR(__xludf.DUMMYFUNCTION("""COMPUTED_VALUE"""),2400)</f>
        <v>2400</v>
      </c>
      <c r="O11" s="140">
        <f ca="1">IFERROR(__xludf.DUMMYFUNCTION("""COMPUTED_VALUE"""),2400)</f>
        <v>2400</v>
      </c>
      <c r="P11" s="140">
        <f ca="1">IFERROR(__xludf.DUMMYFUNCTION("""COMPUTED_VALUE"""),22400)</f>
        <v>22400</v>
      </c>
      <c r="Q11" s="140">
        <f ca="1">IFERROR(__xludf.DUMMYFUNCTION("""COMPUTED_VALUE"""),2400)</f>
        <v>2400</v>
      </c>
      <c r="R11" s="140">
        <f ca="1">IFERROR(__xludf.DUMMYFUNCTION("""COMPUTED_VALUE"""),4800)</f>
        <v>4800</v>
      </c>
      <c r="S11" s="140">
        <f ca="1">IFERROR(__xludf.DUMMYFUNCTION("""COMPUTED_VALUE"""),0)</f>
        <v>0</v>
      </c>
      <c r="T11" s="140">
        <f ca="1">IFERROR(__xludf.DUMMYFUNCTION("""COMPUTED_VALUE"""),0)</f>
        <v>0</v>
      </c>
      <c r="U11" s="140">
        <f ca="1">IFERROR(__xludf.DUMMYFUNCTION("""COMPUTED_VALUE"""),0)</f>
        <v>0</v>
      </c>
    </row>
    <row r="12" spans="1:24" ht="12.5" x14ac:dyDescent="0.25">
      <c r="A12" s="81" t="str">
        <f ca="1">IFERROR(__xludf.DUMMYFUNCTION("""COMPUTED_VALUE"""),"Bangladesh")</f>
        <v>Bangladesh</v>
      </c>
      <c r="B12" s="81" t="str">
        <f ca="1">IFERROR(__xludf.DUMMYFUNCTION("""COMPUTED_VALUE"""),"NHBD")</f>
        <v>NHBD</v>
      </c>
      <c r="C12" s="139" t="str">
        <f ca="1">IFERROR(__xludf.DUMMYFUNCTION("""COMPUTED_VALUE"""),"Digital Product")</f>
        <v>Digital Product</v>
      </c>
      <c r="D12" s="140" t="str">
        <f ca="1">IFERROR(__xludf.DUMMYFUNCTION("""COMPUTED_VALUE""")," Country Product ")</f>
        <v xml:space="preserve"> Country Product </v>
      </c>
      <c r="E12" s="81" t="str">
        <f ca="1">IFERROR(__xludf.DUMMYFUNCTION("""COMPUTED_VALUE"""),"Direct Cost")</f>
        <v>Direct Cost</v>
      </c>
      <c r="F12" s="81" t="str">
        <f ca="1">IFERROR(__xludf.DUMMYFUNCTION("""COMPUTED_VALUE"""),"Travel &amp; Lodging Expenses")</f>
        <v>Travel &amp; Lodging Expenses</v>
      </c>
      <c r="G12" s="81" t="str">
        <f ca="1">IFERROR(__xludf.DUMMYFUNCTION("""COMPUTED_VALUE"""),"Other incidental travel costs")</f>
        <v>Other incidental travel costs</v>
      </c>
      <c r="H12" s="35">
        <f ca="1">IFERROR(__xludf.DUMMYFUNCTION("""COMPUTED_VALUE"""),93106)</f>
        <v>93106</v>
      </c>
      <c r="I12" s="140"/>
      <c r="J12" s="140"/>
      <c r="K12" s="140"/>
      <c r="L12" s="140"/>
      <c r="M12" s="143"/>
      <c r="N12" s="140"/>
      <c r="O12" s="140"/>
      <c r="P12" s="140"/>
      <c r="Q12" s="140"/>
      <c r="R12" s="140"/>
      <c r="S12" s="140"/>
      <c r="T12" s="140"/>
      <c r="U12" s="140"/>
    </row>
    <row r="13" spans="1:24" ht="12.5" x14ac:dyDescent="0.25">
      <c r="A13" s="81" t="str">
        <f ca="1">IFERROR(__xludf.DUMMYFUNCTION("""COMPUTED_VALUE"""),"Bangladesh")</f>
        <v>Bangladesh</v>
      </c>
      <c r="B13" s="81" t="str">
        <f ca="1">IFERROR(__xludf.DUMMYFUNCTION("""COMPUTED_VALUE"""),"NHBD")</f>
        <v>NHBD</v>
      </c>
      <c r="C13" s="139" t="str">
        <f ca="1">IFERROR(__xludf.DUMMYFUNCTION("""COMPUTED_VALUE"""),"Digital Product")</f>
        <v>Digital Product</v>
      </c>
      <c r="D13" s="140" t="str">
        <f ca="1">IFERROR(__xludf.DUMMYFUNCTION("""COMPUTED_VALUE""")," Country Product ")</f>
        <v xml:space="preserve"> Country Product </v>
      </c>
      <c r="E13" s="81" t="str">
        <f ca="1">IFERROR(__xludf.DUMMYFUNCTION("""COMPUTED_VALUE"""),"Direct Cost")</f>
        <v>Direct Cost</v>
      </c>
      <c r="F13" s="81" t="str">
        <f ca="1">IFERROR(__xludf.DUMMYFUNCTION("""COMPUTED_VALUE"""),"Supplies &amp; Printing Costs")</f>
        <v>Supplies &amp; Printing Costs</v>
      </c>
      <c r="G13" s="81" t="str">
        <f ca="1">IFERROR(__xludf.DUMMYFUNCTION("""COMPUTED_VALUE"""),"Other Direct Expenses")</f>
        <v>Other Direct Expenses</v>
      </c>
      <c r="H13" s="35">
        <f ca="1">IFERROR(__xludf.DUMMYFUNCTION("""COMPUTED_VALUE"""),93201)</f>
        <v>93201</v>
      </c>
      <c r="I13" s="140">
        <f ca="1">IFERROR(__xludf.DUMMYFUNCTION("""COMPUTED_VALUE"""),0)</f>
        <v>0</v>
      </c>
      <c r="J13" s="140">
        <f ca="1">IFERROR(__xludf.DUMMYFUNCTION("""COMPUTED_VALUE"""),0)</f>
        <v>0</v>
      </c>
      <c r="K13" s="140">
        <f ca="1">IFERROR(__xludf.DUMMYFUNCTION("""COMPUTED_VALUE"""),0)</f>
        <v>0</v>
      </c>
      <c r="L13" s="140">
        <f ca="1">IFERROR(__xludf.DUMMYFUNCTION("""COMPUTED_VALUE"""),0)</f>
        <v>0</v>
      </c>
      <c r="M13" s="143">
        <f ca="1">IFERROR(__xludf.DUMMYFUNCTION("""COMPUTED_VALUE"""),0)</f>
        <v>0</v>
      </c>
      <c r="N13" s="140">
        <f ca="1">IFERROR(__xludf.DUMMYFUNCTION("""COMPUTED_VALUE"""),0)</f>
        <v>0</v>
      </c>
      <c r="O13" s="140">
        <f ca="1">IFERROR(__xludf.DUMMYFUNCTION("""COMPUTED_VALUE"""),0)</f>
        <v>0</v>
      </c>
      <c r="P13" s="140">
        <f ca="1">IFERROR(__xludf.DUMMYFUNCTION("""COMPUTED_VALUE"""),0)</f>
        <v>0</v>
      </c>
      <c r="Q13" s="140">
        <f ca="1">IFERROR(__xludf.DUMMYFUNCTION("""COMPUTED_VALUE"""),0)</f>
        <v>0</v>
      </c>
      <c r="R13" s="140">
        <f ca="1">IFERROR(__xludf.DUMMYFUNCTION("""COMPUTED_VALUE"""),0)</f>
        <v>0</v>
      </c>
      <c r="S13" s="140">
        <f ca="1">IFERROR(__xludf.DUMMYFUNCTION("""COMPUTED_VALUE"""),0)</f>
        <v>0</v>
      </c>
      <c r="T13" s="140">
        <f ca="1">IFERROR(__xludf.DUMMYFUNCTION("""COMPUTED_VALUE"""),0)</f>
        <v>0</v>
      </c>
      <c r="U13" s="140">
        <f ca="1">IFERROR(__xludf.DUMMYFUNCTION("""COMPUTED_VALUE"""),0)</f>
        <v>0</v>
      </c>
    </row>
    <row r="14" spans="1:24" ht="12.5" x14ac:dyDescent="0.25">
      <c r="A14" s="81" t="str">
        <f ca="1">IFERROR(__xludf.DUMMYFUNCTION("""COMPUTED_VALUE"""),"Bangladesh")</f>
        <v>Bangladesh</v>
      </c>
      <c r="B14" s="81" t="str">
        <f ca="1">IFERROR(__xludf.DUMMYFUNCTION("""COMPUTED_VALUE"""),"NHBD")</f>
        <v>NHBD</v>
      </c>
      <c r="C14" s="139" t="str">
        <f ca="1">IFERROR(__xludf.DUMMYFUNCTION("""COMPUTED_VALUE"""),"Digital Product")</f>
        <v>Digital Product</v>
      </c>
      <c r="D14" s="140" t="str">
        <f ca="1">IFERROR(__xludf.DUMMYFUNCTION("""COMPUTED_VALUE""")," Country Product ")</f>
        <v xml:space="preserve"> Country Product </v>
      </c>
      <c r="E14" s="81" t="str">
        <f ca="1">IFERROR(__xludf.DUMMYFUNCTION("""COMPUTED_VALUE"""),"Direct Cost")</f>
        <v>Direct Cost</v>
      </c>
      <c r="F14" s="81" t="str">
        <f ca="1">IFERROR(__xludf.DUMMYFUNCTION("""COMPUTED_VALUE"""),"Supplies &amp; Printing Costs")</f>
        <v>Supplies &amp; Printing Costs</v>
      </c>
      <c r="G14" s="81" t="str">
        <f ca="1">IFERROR(__xludf.DUMMYFUNCTION("""COMPUTED_VALUE"""),"Printing expenses")</f>
        <v>Printing expenses</v>
      </c>
      <c r="H14" s="35">
        <f ca="1">IFERROR(__xludf.DUMMYFUNCTION("""COMPUTED_VALUE"""),93204)</f>
        <v>93204</v>
      </c>
      <c r="I14" s="140">
        <f ca="1">IFERROR(__xludf.DUMMYFUNCTION("""COMPUTED_VALUE"""),0)</f>
        <v>0</v>
      </c>
      <c r="J14" s="140">
        <f ca="1">IFERROR(__xludf.DUMMYFUNCTION("""COMPUTED_VALUE"""),0)</f>
        <v>0</v>
      </c>
      <c r="K14" s="140">
        <f ca="1">IFERROR(__xludf.DUMMYFUNCTION("""COMPUTED_VALUE"""),0)</f>
        <v>0</v>
      </c>
      <c r="L14" s="140">
        <f ca="1">IFERROR(__xludf.DUMMYFUNCTION("""COMPUTED_VALUE"""),0)</f>
        <v>0</v>
      </c>
      <c r="M14" s="143">
        <f ca="1">IFERROR(__xludf.DUMMYFUNCTION("""COMPUTED_VALUE"""),0)</f>
        <v>0</v>
      </c>
      <c r="N14" s="140">
        <f ca="1">IFERROR(__xludf.DUMMYFUNCTION("""COMPUTED_VALUE"""),0)</f>
        <v>0</v>
      </c>
      <c r="O14" s="140">
        <f ca="1">IFERROR(__xludf.DUMMYFUNCTION("""COMPUTED_VALUE"""),0)</f>
        <v>0</v>
      </c>
      <c r="P14" s="140">
        <f ca="1">IFERROR(__xludf.DUMMYFUNCTION("""COMPUTED_VALUE"""),0)</f>
        <v>0</v>
      </c>
      <c r="Q14" s="140">
        <f ca="1">IFERROR(__xludf.DUMMYFUNCTION("""COMPUTED_VALUE"""),0)</f>
        <v>0</v>
      </c>
      <c r="R14" s="140">
        <f ca="1">IFERROR(__xludf.DUMMYFUNCTION("""COMPUTED_VALUE"""),0)</f>
        <v>0</v>
      </c>
      <c r="S14" s="140">
        <f ca="1">IFERROR(__xludf.DUMMYFUNCTION("""COMPUTED_VALUE"""),0)</f>
        <v>0</v>
      </c>
      <c r="T14" s="140">
        <f ca="1">IFERROR(__xludf.DUMMYFUNCTION("""COMPUTED_VALUE"""),0)</f>
        <v>0</v>
      </c>
      <c r="U14" s="140">
        <f ca="1">IFERROR(__xludf.DUMMYFUNCTION("""COMPUTED_VALUE"""),0)</f>
        <v>0</v>
      </c>
    </row>
    <row r="15" spans="1:24" ht="12.5" x14ac:dyDescent="0.25">
      <c r="A15" s="81" t="str">
        <f ca="1">IFERROR(__xludf.DUMMYFUNCTION("""COMPUTED_VALUE"""),"Bangladesh")</f>
        <v>Bangladesh</v>
      </c>
      <c r="B15" s="81" t="str">
        <f ca="1">IFERROR(__xludf.DUMMYFUNCTION("""COMPUTED_VALUE"""),"NHBD")</f>
        <v>NHBD</v>
      </c>
      <c r="C15" s="139" t="str">
        <f ca="1">IFERROR(__xludf.DUMMYFUNCTION("""COMPUTED_VALUE"""),"Digital Product")</f>
        <v>Digital Product</v>
      </c>
      <c r="D15" s="140" t="str">
        <f ca="1">IFERROR(__xludf.DUMMYFUNCTION("""COMPUTED_VALUE""")," Country Product ")</f>
        <v xml:space="preserve"> Country Product </v>
      </c>
      <c r="E15" s="81" t="str">
        <f ca="1">IFERROR(__xludf.DUMMYFUNCTION("""COMPUTED_VALUE"""),"Direct Cost")</f>
        <v>Direct Cost</v>
      </c>
      <c r="F15" s="81" t="str">
        <f ca="1">IFERROR(__xludf.DUMMYFUNCTION("""COMPUTED_VALUE"""),"Communication Cost")</f>
        <v>Communication Cost</v>
      </c>
      <c r="G15" s="81" t="str">
        <f ca="1">IFERROR(__xludf.DUMMYFUNCTION("""COMPUTED_VALUE"""),"Internet Expenses")</f>
        <v>Internet Expenses</v>
      </c>
      <c r="H15" s="35">
        <f ca="1">IFERROR(__xludf.DUMMYFUNCTION("""COMPUTED_VALUE"""),93301)</f>
        <v>93301</v>
      </c>
      <c r="I15" s="140">
        <f ca="1">IFERROR(__xludf.DUMMYFUNCTION("""COMPUTED_VALUE"""),0)</f>
        <v>0</v>
      </c>
      <c r="J15" s="140">
        <f ca="1">IFERROR(__xludf.DUMMYFUNCTION("""COMPUTED_VALUE"""),0)</f>
        <v>0</v>
      </c>
      <c r="K15" s="140">
        <f ca="1">IFERROR(__xludf.DUMMYFUNCTION("""COMPUTED_VALUE"""),0)</f>
        <v>0</v>
      </c>
      <c r="L15" s="140">
        <f ca="1">IFERROR(__xludf.DUMMYFUNCTION("""COMPUTED_VALUE"""),0)</f>
        <v>0</v>
      </c>
      <c r="M15" s="143">
        <f ca="1">IFERROR(__xludf.DUMMYFUNCTION("""COMPUTED_VALUE"""),0)</f>
        <v>0</v>
      </c>
      <c r="N15" s="140">
        <f ca="1">IFERROR(__xludf.DUMMYFUNCTION("""COMPUTED_VALUE"""),0)</f>
        <v>0</v>
      </c>
      <c r="O15" s="140">
        <f ca="1">IFERROR(__xludf.DUMMYFUNCTION("""COMPUTED_VALUE"""),0)</f>
        <v>0</v>
      </c>
      <c r="P15" s="140">
        <f ca="1">IFERROR(__xludf.DUMMYFUNCTION("""COMPUTED_VALUE"""),0)</f>
        <v>0</v>
      </c>
      <c r="Q15" s="140">
        <f ca="1">IFERROR(__xludf.DUMMYFUNCTION("""COMPUTED_VALUE"""),0)</f>
        <v>0</v>
      </c>
      <c r="R15" s="140">
        <f ca="1">IFERROR(__xludf.DUMMYFUNCTION("""COMPUTED_VALUE"""),0)</f>
        <v>0</v>
      </c>
      <c r="S15" s="140">
        <f ca="1">IFERROR(__xludf.DUMMYFUNCTION("""COMPUTED_VALUE"""),0)</f>
        <v>0</v>
      </c>
      <c r="T15" s="140">
        <f ca="1">IFERROR(__xludf.DUMMYFUNCTION("""COMPUTED_VALUE"""),0)</f>
        <v>0</v>
      </c>
      <c r="U15" s="140">
        <f ca="1">IFERROR(__xludf.DUMMYFUNCTION("""COMPUTED_VALUE"""),0)</f>
        <v>0</v>
      </c>
    </row>
    <row r="16" spans="1:24" ht="12.5" x14ac:dyDescent="0.25">
      <c r="A16" s="81" t="str">
        <f ca="1">IFERROR(__xludf.DUMMYFUNCTION("""COMPUTED_VALUE"""),"Bangladesh")</f>
        <v>Bangladesh</v>
      </c>
      <c r="B16" s="81" t="str">
        <f ca="1">IFERROR(__xludf.DUMMYFUNCTION("""COMPUTED_VALUE"""),"NHBD")</f>
        <v>NHBD</v>
      </c>
      <c r="C16" s="139" t="str">
        <f ca="1">IFERROR(__xludf.DUMMYFUNCTION("""COMPUTED_VALUE"""),"Digital Product")</f>
        <v>Digital Product</v>
      </c>
      <c r="D16" s="140" t="str">
        <f ca="1">IFERROR(__xludf.DUMMYFUNCTION("""COMPUTED_VALUE""")," Country Product ")</f>
        <v xml:space="preserve"> Country Product </v>
      </c>
      <c r="E16" s="81" t="str">
        <f ca="1">IFERROR(__xludf.DUMMYFUNCTION("""COMPUTED_VALUE"""),"Direct Cost")</f>
        <v>Direct Cost</v>
      </c>
      <c r="F16" s="81" t="str">
        <f ca="1">IFERROR(__xludf.DUMMYFUNCTION("""COMPUTED_VALUE"""),"Communication Cost")</f>
        <v>Communication Cost</v>
      </c>
      <c r="G16" s="81" t="str">
        <f ca="1">IFERROR(__xludf.DUMMYFUNCTION("""COMPUTED_VALUE"""),"Postage &amp; Courier Expenses")</f>
        <v>Postage &amp; Courier Expenses</v>
      </c>
      <c r="H16" s="35">
        <f ca="1">IFERROR(__xludf.DUMMYFUNCTION("""COMPUTED_VALUE"""),93302)</f>
        <v>93302</v>
      </c>
      <c r="I16" s="140">
        <f ca="1">IFERROR(__xludf.DUMMYFUNCTION("""COMPUTED_VALUE"""),0)</f>
        <v>0</v>
      </c>
      <c r="J16" s="140">
        <f ca="1">IFERROR(__xludf.DUMMYFUNCTION("""COMPUTED_VALUE"""),0)</f>
        <v>0</v>
      </c>
      <c r="K16" s="140">
        <f ca="1">IFERROR(__xludf.DUMMYFUNCTION("""COMPUTED_VALUE"""),0)</f>
        <v>0</v>
      </c>
      <c r="L16" s="140">
        <f ca="1">IFERROR(__xludf.DUMMYFUNCTION("""COMPUTED_VALUE"""),0)</f>
        <v>0</v>
      </c>
      <c r="M16" s="143">
        <f ca="1">IFERROR(__xludf.DUMMYFUNCTION("""COMPUTED_VALUE"""),0)</f>
        <v>0</v>
      </c>
      <c r="N16" s="140">
        <f ca="1">IFERROR(__xludf.DUMMYFUNCTION("""COMPUTED_VALUE"""),0)</f>
        <v>0</v>
      </c>
      <c r="O16" s="140">
        <f ca="1">IFERROR(__xludf.DUMMYFUNCTION("""COMPUTED_VALUE"""),0)</f>
        <v>0</v>
      </c>
      <c r="P16" s="140">
        <f ca="1">IFERROR(__xludf.DUMMYFUNCTION("""COMPUTED_VALUE"""),0)</f>
        <v>0</v>
      </c>
      <c r="Q16" s="140">
        <f ca="1">IFERROR(__xludf.DUMMYFUNCTION("""COMPUTED_VALUE"""),0)</f>
        <v>0</v>
      </c>
      <c r="R16" s="140">
        <f ca="1">IFERROR(__xludf.DUMMYFUNCTION("""COMPUTED_VALUE"""),0)</f>
        <v>0</v>
      </c>
      <c r="S16" s="140">
        <f ca="1">IFERROR(__xludf.DUMMYFUNCTION("""COMPUTED_VALUE"""),0)</f>
        <v>0</v>
      </c>
      <c r="T16" s="140">
        <f ca="1">IFERROR(__xludf.DUMMYFUNCTION("""COMPUTED_VALUE"""),0)</f>
        <v>0</v>
      </c>
      <c r="U16" s="140">
        <f ca="1">IFERROR(__xludf.DUMMYFUNCTION("""COMPUTED_VALUE"""),0)</f>
        <v>0</v>
      </c>
    </row>
    <row r="17" spans="1:23" ht="12.5" x14ac:dyDescent="0.25">
      <c r="A17" s="81" t="str">
        <f ca="1">IFERROR(__xludf.DUMMYFUNCTION("""COMPUTED_VALUE"""),"Bangladesh")</f>
        <v>Bangladesh</v>
      </c>
      <c r="B17" s="81" t="str">
        <f ca="1">IFERROR(__xludf.DUMMYFUNCTION("""COMPUTED_VALUE"""),"NHBD")</f>
        <v>NHBD</v>
      </c>
      <c r="C17" s="139" t="str">
        <f ca="1">IFERROR(__xludf.DUMMYFUNCTION("""COMPUTED_VALUE"""),"Digital Product")</f>
        <v>Digital Product</v>
      </c>
      <c r="D17" s="140" t="str">
        <f ca="1">IFERROR(__xludf.DUMMYFUNCTION("""COMPUTED_VALUE""")," Country Product ")</f>
        <v xml:space="preserve"> Country Product </v>
      </c>
      <c r="E17" s="81" t="str">
        <f ca="1">IFERROR(__xludf.DUMMYFUNCTION("""COMPUTED_VALUE"""),"Direct Cost")</f>
        <v>Direct Cost</v>
      </c>
      <c r="F17" s="81" t="str">
        <f ca="1">IFERROR(__xludf.DUMMYFUNCTION("""COMPUTED_VALUE"""),"Communication Cost")</f>
        <v>Communication Cost</v>
      </c>
      <c r="G17" s="81" t="str">
        <f ca="1">IFERROR(__xludf.DUMMYFUNCTION("""COMPUTED_VALUE"""),"Telecommunication expenses")</f>
        <v>Telecommunication expenses</v>
      </c>
      <c r="H17" s="35">
        <f ca="1">IFERROR(__xludf.DUMMYFUNCTION("""COMPUTED_VALUE"""),93303)</f>
        <v>93303</v>
      </c>
      <c r="I17" s="140">
        <f ca="1">IFERROR(__xludf.DUMMYFUNCTION("""COMPUTED_VALUE"""),0)</f>
        <v>0</v>
      </c>
      <c r="J17" s="140">
        <f ca="1">IFERROR(__xludf.DUMMYFUNCTION("""COMPUTED_VALUE"""),0)</f>
        <v>0</v>
      </c>
      <c r="K17" s="140">
        <f ca="1">IFERROR(__xludf.DUMMYFUNCTION("""COMPUTED_VALUE"""),0)</f>
        <v>0</v>
      </c>
      <c r="L17" s="140">
        <f ca="1">IFERROR(__xludf.DUMMYFUNCTION("""COMPUTED_VALUE"""),0)</f>
        <v>0</v>
      </c>
      <c r="M17" s="143">
        <f ca="1">IFERROR(__xludf.DUMMYFUNCTION("""COMPUTED_VALUE"""),0)</f>
        <v>0</v>
      </c>
      <c r="N17" s="140">
        <f ca="1">IFERROR(__xludf.DUMMYFUNCTION("""COMPUTED_VALUE"""),0)</f>
        <v>0</v>
      </c>
      <c r="O17" s="140">
        <f ca="1">IFERROR(__xludf.DUMMYFUNCTION("""COMPUTED_VALUE"""),0)</f>
        <v>0</v>
      </c>
      <c r="P17" s="140">
        <f ca="1">IFERROR(__xludf.DUMMYFUNCTION("""COMPUTED_VALUE"""),0)</f>
        <v>0</v>
      </c>
      <c r="Q17" s="140">
        <f ca="1">IFERROR(__xludf.DUMMYFUNCTION("""COMPUTED_VALUE"""),0)</f>
        <v>0</v>
      </c>
      <c r="R17" s="140">
        <f ca="1">IFERROR(__xludf.DUMMYFUNCTION("""COMPUTED_VALUE"""),0)</f>
        <v>0</v>
      </c>
      <c r="S17" s="140">
        <f ca="1">IFERROR(__xludf.DUMMYFUNCTION("""COMPUTED_VALUE"""),0)</f>
        <v>0</v>
      </c>
      <c r="T17" s="140">
        <f ca="1">IFERROR(__xludf.DUMMYFUNCTION("""COMPUTED_VALUE"""),0)</f>
        <v>0</v>
      </c>
      <c r="U17" s="140">
        <f ca="1">IFERROR(__xludf.DUMMYFUNCTION("""COMPUTED_VALUE"""),0)</f>
        <v>0</v>
      </c>
    </row>
    <row r="18" spans="1:23" ht="12.5" x14ac:dyDescent="0.25">
      <c r="A18" s="81" t="str">
        <f ca="1">IFERROR(__xludf.DUMMYFUNCTION("""COMPUTED_VALUE"""),"Bangladesh")</f>
        <v>Bangladesh</v>
      </c>
      <c r="B18" s="81" t="str">
        <f ca="1">IFERROR(__xludf.DUMMYFUNCTION("""COMPUTED_VALUE"""),"NHBD")</f>
        <v>NHBD</v>
      </c>
      <c r="C18" s="139" t="str">
        <f ca="1">IFERROR(__xludf.DUMMYFUNCTION("""COMPUTED_VALUE"""),"Digital Product")</f>
        <v>Digital Product</v>
      </c>
      <c r="D18" s="140" t="str">
        <f ca="1">IFERROR(__xludf.DUMMYFUNCTION("""COMPUTED_VALUE""")," Country Product ")</f>
        <v xml:space="preserve"> Country Product </v>
      </c>
      <c r="E18" s="81" t="str">
        <f ca="1">IFERROR(__xludf.DUMMYFUNCTION("""COMPUTED_VALUE"""),"Direct Cost")</f>
        <v>Direct Cost</v>
      </c>
      <c r="F18" s="81" t="str">
        <f ca="1">IFERROR(__xludf.DUMMYFUNCTION("""COMPUTED_VALUE"""),"Office Expenses")</f>
        <v>Office Expenses</v>
      </c>
      <c r="G18" s="81" t="str">
        <f ca="1">IFERROR(__xludf.DUMMYFUNCTION("""COMPUTED_VALUE"""),"Software and Subscriptions")</f>
        <v>Software and Subscriptions</v>
      </c>
      <c r="H18" s="35">
        <f ca="1">IFERROR(__xludf.DUMMYFUNCTION("""COMPUTED_VALUE"""),93401)</f>
        <v>93401</v>
      </c>
      <c r="I18" s="140">
        <f ca="1">IFERROR(__xludf.DUMMYFUNCTION("""COMPUTED_VALUE"""),2530000)</f>
        <v>2530000</v>
      </c>
      <c r="J18" s="140">
        <f ca="1">IFERROR(__xludf.DUMMYFUNCTION("""COMPUTED_VALUE"""),190000)</f>
        <v>190000</v>
      </c>
      <c r="K18" s="140">
        <f ca="1">IFERROR(__xludf.DUMMYFUNCTION("""COMPUTED_VALUE"""),190000)</f>
        <v>190000</v>
      </c>
      <c r="L18" s="140">
        <f ca="1">IFERROR(__xludf.DUMMYFUNCTION("""COMPUTED_VALUE"""),440000)</f>
        <v>440000</v>
      </c>
      <c r="M18" s="143">
        <f ca="1">IFERROR(__xludf.DUMMYFUNCTION("""COMPUTED_VALUE"""),190000)</f>
        <v>190000</v>
      </c>
      <c r="N18" s="140">
        <f ca="1">IFERROR(__xludf.DUMMYFUNCTION("""COMPUTED_VALUE"""),190000)</f>
        <v>190000</v>
      </c>
      <c r="O18" s="140">
        <f ca="1">IFERROR(__xludf.DUMMYFUNCTION("""COMPUTED_VALUE"""),190000)</f>
        <v>190000</v>
      </c>
      <c r="P18" s="140">
        <f ca="1">IFERROR(__xludf.DUMMYFUNCTION("""COMPUTED_VALUE"""),190000)</f>
        <v>190000</v>
      </c>
      <c r="Q18" s="140">
        <f ca="1">IFERROR(__xludf.DUMMYFUNCTION("""COMPUTED_VALUE"""),190000)</f>
        <v>190000</v>
      </c>
      <c r="R18" s="140">
        <f ca="1">IFERROR(__xludf.DUMMYFUNCTION("""COMPUTED_VALUE"""),190000)</f>
        <v>190000</v>
      </c>
      <c r="S18" s="140">
        <f ca="1">IFERROR(__xludf.DUMMYFUNCTION("""COMPUTED_VALUE"""),190000)</f>
        <v>190000</v>
      </c>
      <c r="T18" s="140">
        <f ca="1">IFERROR(__xludf.DUMMYFUNCTION("""COMPUTED_VALUE"""),190000)</f>
        <v>190000</v>
      </c>
      <c r="U18" s="140">
        <f ca="1">IFERROR(__xludf.DUMMYFUNCTION("""COMPUTED_VALUE"""),190000)</f>
        <v>190000</v>
      </c>
    </row>
    <row r="19" spans="1:23" ht="12.5" x14ac:dyDescent="0.25">
      <c r="A19" s="81" t="str">
        <f ca="1">IFERROR(__xludf.DUMMYFUNCTION("""COMPUTED_VALUE"""),"Bangladesh")</f>
        <v>Bangladesh</v>
      </c>
      <c r="B19" s="81" t="str">
        <f ca="1">IFERROR(__xludf.DUMMYFUNCTION("""COMPUTED_VALUE"""),"NHBD")</f>
        <v>NHBD</v>
      </c>
      <c r="C19" s="139" t="str">
        <f ca="1">IFERROR(__xludf.DUMMYFUNCTION("""COMPUTED_VALUE"""),"Digital Product")</f>
        <v>Digital Product</v>
      </c>
      <c r="D19" s="140" t="str">
        <f ca="1">IFERROR(__xludf.DUMMYFUNCTION("""COMPUTED_VALUE""")," Country Product ")</f>
        <v xml:space="preserve"> Country Product </v>
      </c>
      <c r="E19" s="81" t="str">
        <f ca="1">IFERROR(__xludf.DUMMYFUNCTION("""COMPUTED_VALUE"""),"Direct Cost")</f>
        <v>Direct Cost</v>
      </c>
      <c r="F19" s="81" t="str">
        <f ca="1">IFERROR(__xludf.DUMMYFUNCTION("""COMPUTED_VALUE"""),"Office Expenses")</f>
        <v>Office Expenses</v>
      </c>
      <c r="G19" s="81" t="str">
        <f ca="1">IFERROR(__xludf.DUMMYFUNCTION("""COMPUTED_VALUE"""),"Stationery &amp; Consumables")</f>
        <v>Stationery &amp; Consumables</v>
      </c>
      <c r="H19" s="35">
        <f ca="1">IFERROR(__xludf.DUMMYFUNCTION("""COMPUTED_VALUE"""),93404)</f>
        <v>93404</v>
      </c>
      <c r="I19" s="140">
        <f ca="1">IFERROR(__xludf.DUMMYFUNCTION("""COMPUTED_VALUE"""),0)</f>
        <v>0</v>
      </c>
      <c r="J19" s="140">
        <f ca="1">IFERROR(__xludf.DUMMYFUNCTION("""COMPUTED_VALUE"""),0)</f>
        <v>0</v>
      </c>
      <c r="K19" s="140">
        <f ca="1">IFERROR(__xludf.DUMMYFUNCTION("""COMPUTED_VALUE"""),0)</f>
        <v>0</v>
      </c>
      <c r="L19" s="140">
        <f ca="1">IFERROR(__xludf.DUMMYFUNCTION("""COMPUTED_VALUE"""),0)</f>
        <v>0</v>
      </c>
      <c r="M19" s="143">
        <f ca="1">IFERROR(__xludf.DUMMYFUNCTION("""COMPUTED_VALUE"""),0)</f>
        <v>0</v>
      </c>
      <c r="N19" s="140">
        <f ca="1">IFERROR(__xludf.DUMMYFUNCTION("""COMPUTED_VALUE"""),0)</f>
        <v>0</v>
      </c>
      <c r="O19" s="140">
        <f ca="1">IFERROR(__xludf.DUMMYFUNCTION("""COMPUTED_VALUE"""),0)</f>
        <v>0</v>
      </c>
      <c r="P19" s="140">
        <f ca="1">IFERROR(__xludf.DUMMYFUNCTION("""COMPUTED_VALUE"""),0)</f>
        <v>0</v>
      </c>
      <c r="Q19" s="140">
        <f ca="1">IFERROR(__xludf.DUMMYFUNCTION("""COMPUTED_VALUE"""),0)</f>
        <v>0</v>
      </c>
      <c r="R19" s="140">
        <f ca="1">IFERROR(__xludf.DUMMYFUNCTION("""COMPUTED_VALUE"""),0)</f>
        <v>0</v>
      </c>
      <c r="S19" s="140">
        <f ca="1">IFERROR(__xludf.DUMMYFUNCTION("""COMPUTED_VALUE"""),0)</f>
        <v>0</v>
      </c>
      <c r="T19" s="140">
        <f ca="1">IFERROR(__xludf.DUMMYFUNCTION("""COMPUTED_VALUE"""),0)</f>
        <v>0</v>
      </c>
      <c r="U19" s="140">
        <f ca="1">IFERROR(__xludf.DUMMYFUNCTION("""COMPUTED_VALUE"""),0)</f>
        <v>0</v>
      </c>
    </row>
    <row r="20" spans="1:23" ht="12.5" x14ac:dyDescent="0.25">
      <c r="A20" s="81" t="str">
        <f ca="1">IFERROR(__xludf.DUMMYFUNCTION("""COMPUTED_VALUE"""),"Bangladesh")</f>
        <v>Bangladesh</v>
      </c>
      <c r="B20" s="81" t="str">
        <f ca="1">IFERROR(__xludf.DUMMYFUNCTION("""COMPUTED_VALUE"""),"NHBD")</f>
        <v>NHBD</v>
      </c>
      <c r="C20" s="139" t="str">
        <f ca="1">IFERROR(__xludf.DUMMYFUNCTION("""COMPUTED_VALUE"""),"Digital Product")</f>
        <v>Digital Product</v>
      </c>
      <c r="D20" s="140" t="str">
        <f ca="1">IFERROR(__xludf.DUMMYFUNCTION("""COMPUTED_VALUE""")," Country Product ")</f>
        <v xml:space="preserve"> Country Product </v>
      </c>
      <c r="E20" s="81" t="str">
        <f ca="1">IFERROR(__xludf.DUMMYFUNCTION("""COMPUTED_VALUE"""),"Direct Cost")</f>
        <v>Direct Cost</v>
      </c>
      <c r="F20" s="81" t="str">
        <f ca="1">IFERROR(__xludf.DUMMYFUNCTION("""COMPUTED_VALUE"""),"Office Expenses")</f>
        <v>Office Expenses</v>
      </c>
      <c r="G20" s="81" t="str">
        <f ca="1">IFERROR(__xludf.DUMMYFUNCTION("""COMPUTED_VALUE"""),"Office Equipment Expense")</f>
        <v>Office Equipment Expense</v>
      </c>
      <c r="H20" s="35">
        <f ca="1">IFERROR(__xludf.DUMMYFUNCTION("""COMPUTED_VALUE"""),93405)</f>
        <v>93405</v>
      </c>
      <c r="I20" s="140">
        <f ca="1">IFERROR(__xludf.DUMMYFUNCTION("""COMPUTED_VALUE"""),0)</f>
        <v>0</v>
      </c>
      <c r="J20" s="140">
        <f ca="1">IFERROR(__xludf.DUMMYFUNCTION("""COMPUTED_VALUE"""),0)</f>
        <v>0</v>
      </c>
      <c r="K20" s="140">
        <f ca="1">IFERROR(__xludf.DUMMYFUNCTION("""COMPUTED_VALUE"""),0)</f>
        <v>0</v>
      </c>
      <c r="L20" s="140">
        <f ca="1">IFERROR(__xludf.DUMMYFUNCTION("""COMPUTED_VALUE"""),0)</f>
        <v>0</v>
      </c>
      <c r="M20" s="143">
        <f ca="1">IFERROR(__xludf.DUMMYFUNCTION("""COMPUTED_VALUE"""),0)</f>
        <v>0</v>
      </c>
      <c r="N20" s="140">
        <f ca="1">IFERROR(__xludf.DUMMYFUNCTION("""COMPUTED_VALUE"""),0)</f>
        <v>0</v>
      </c>
      <c r="O20" s="140">
        <f ca="1">IFERROR(__xludf.DUMMYFUNCTION("""COMPUTED_VALUE"""),0)</f>
        <v>0</v>
      </c>
      <c r="P20" s="140">
        <f ca="1">IFERROR(__xludf.DUMMYFUNCTION("""COMPUTED_VALUE"""),0)</f>
        <v>0</v>
      </c>
      <c r="Q20" s="140">
        <f ca="1">IFERROR(__xludf.DUMMYFUNCTION("""COMPUTED_VALUE"""),0)</f>
        <v>0</v>
      </c>
      <c r="R20" s="140">
        <f ca="1">IFERROR(__xludf.DUMMYFUNCTION("""COMPUTED_VALUE"""),0)</f>
        <v>0</v>
      </c>
      <c r="S20" s="140">
        <f ca="1">IFERROR(__xludf.DUMMYFUNCTION("""COMPUTED_VALUE"""),0)</f>
        <v>0</v>
      </c>
      <c r="T20" s="140">
        <f ca="1">IFERROR(__xludf.DUMMYFUNCTION("""COMPUTED_VALUE"""),0)</f>
        <v>0</v>
      </c>
      <c r="U20" s="140">
        <f ca="1">IFERROR(__xludf.DUMMYFUNCTION("""COMPUTED_VALUE"""),0)</f>
        <v>0</v>
      </c>
    </row>
    <row r="21" spans="1:23" ht="12.5" x14ac:dyDescent="0.25">
      <c r="A21" s="81" t="str">
        <f ca="1">IFERROR(__xludf.DUMMYFUNCTION("""COMPUTED_VALUE"""),"Bangladesh")</f>
        <v>Bangladesh</v>
      </c>
      <c r="B21" s="81" t="str">
        <f ca="1">IFERROR(__xludf.DUMMYFUNCTION("""COMPUTED_VALUE"""),"NHBD")</f>
        <v>NHBD</v>
      </c>
      <c r="C21" s="139" t="str">
        <f ca="1">IFERROR(__xludf.DUMMYFUNCTION("""COMPUTED_VALUE"""),"Digital Product")</f>
        <v>Digital Product</v>
      </c>
      <c r="D21" s="140" t="str">
        <f ca="1">IFERROR(__xludf.DUMMYFUNCTION("""COMPUTED_VALUE""")," Country Product ")</f>
        <v xml:space="preserve"> Country Product </v>
      </c>
      <c r="E21" s="81" t="str">
        <f ca="1">IFERROR(__xludf.DUMMYFUNCTION("""COMPUTED_VALUE"""),"Indirect Cost")</f>
        <v>Indirect Cost</v>
      </c>
      <c r="F21" s="81" t="str">
        <f ca="1">IFERROR(__xludf.DUMMYFUNCTION("""COMPUTED_VALUE"""),"Professional &amp; Consultancy Charges")</f>
        <v>Professional &amp; Consultancy Charges</v>
      </c>
      <c r="G21" s="81" t="str">
        <f ca="1">IFERROR(__xludf.DUMMYFUNCTION("""COMPUTED_VALUE"""),"Admin Consultants")</f>
        <v>Admin Consultants</v>
      </c>
      <c r="H21" s="35">
        <f ca="1">IFERROR(__xludf.DUMMYFUNCTION("""COMPUTED_VALUE"""),93703)</f>
        <v>93703</v>
      </c>
      <c r="I21" s="140">
        <f ca="1">IFERROR(__xludf.DUMMYFUNCTION("""COMPUTED_VALUE"""),0)</f>
        <v>0</v>
      </c>
      <c r="J21" s="140">
        <f ca="1">IFERROR(__xludf.DUMMYFUNCTION("""COMPUTED_VALUE"""),0)</f>
        <v>0</v>
      </c>
      <c r="K21" s="140">
        <f ca="1">IFERROR(__xludf.DUMMYFUNCTION("""COMPUTED_VALUE"""),0)</f>
        <v>0</v>
      </c>
      <c r="L21" s="140">
        <f ca="1">IFERROR(__xludf.DUMMYFUNCTION("""COMPUTED_VALUE"""),0)</f>
        <v>0</v>
      </c>
      <c r="M21" s="143">
        <f ca="1">IFERROR(__xludf.DUMMYFUNCTION("""COMPUTED_VALUE"""),0)</f>
        <v>0</v>
      </c>
      <c r="N21" s="140">
        <f ca="1">IFERROR(__xludf.DUMMYFUNCTION("""COMPUTED_VALUE"""),0)</f>
        <v>0</v>
      </c>
      <c r="O21" s="140">
        <f ca="1">IFERROR(__xludf.DUMMYFUNCTION("""COMPUTED_VALUE"""),0)</f>
        <v>0</v>
      </c>
      <c r="P21" s="140">
        <f ca="1">IFERROR(__xludf.DUMMYFUNCTION("""COMPUTED_VALUE"""),0)</f>
        <v>0</v>
      </c>
      <c r="Q21" s="140">
        <f ca="1">IFERROR(__xludf.DUMMYFUNCTION("""COMPUTED_VALUE"""),0)</f>
        <v>0</v>
      </c>
      <c r="R21" s="140">
        <f ca="1">IFERROR(__xludf.DUMMYFUNCTION("""COMPUTED_VALUE"""),0)</f>
        <v>0</v>
      </c>
      <c r="S21" s="140">
        <f ca="1">IFERROR(__xludf.DUMMYFUNCTION("""COMPUTED_VALUE"""),0)</f>
        <v>0</v>
      </c>
      <c r="T21" s="140">
        <f ca="1">IFERROR(__xludf.DUMMYFUNCTION("""COMPUTED_VALUE"""),0)</f>
        <v>0</v>
      </c>
      <c r="U21" s="140">
        <f ca="1">IFERROR(__xludf.DUMMYFUNCTION("""COMPUTED_VALUE"""),0)</f>
        <v>0</v>
      </c>
    </row>
    <row r="22" spans="1:23" ht="12.5" x14ac:dyDescent="0.25">
      <c r="A22" s="81" t="str">
        <f ca="1">IFERROR(__xludf.DUMMYFUNCTION("""COMPUTED_VALUE"""),"Bangladesh")</f>
        <v>Bangladesh</v>
      </c>
      <c r="B22" s="81" t="str">
        <f ca="1">IFERROR(__xludf.DUMMYFUNCTION("""COMPUTED_VALUE"""),"NHBD")</f>
        <v>NHBD</v>
      </c>
      <c r="C22" s="139" t="str">
        <f ca="1">IFERROR(__xludf.DUMMYFUNCTION("""COMPUTED_VALUE"""),"Digital Product")</f>
        <v>Digital Product</v>
      </c>
      <c r="D22" s="139" t="str">
        <f ca="1">IFERROR(__xludf.DUMMYFUNCTION("""COMPUTED_VALUE"""),"Country Product")</f>
        <v>Country Product</v>
      </c>
      <c r="E22" s="81" t="str">
        <f ca="1">IFERROR(__xludf.DUMMYFUNCTION("""COMPUTED_VALUE"""),"Fixed Assets")</f>
        <v>Fixed Assets</v>
      </c>
      <c r="F22" s="81" t="str">
        <f ca="1">IFERROR(__xludf.DUMMYFUNCTION("""COMPUTED_VALUE"""),"Fixed Assets")</f>
        <v>Fixed Assets</v>
      </c>
      <c r="G22" s="81" t="str">
        <f ca="1">IFERROR(__xludf.DUMMYFUNCTION("""COMPUTED_VALUE"""),"Laptop/ Printer")</f>
        <v>Laptop/ Printer</v>
      </c>
      <c r="H22" s="35">
        <f ca="1">IFERROR(__xludf.DUMMYFUNCTION("""COMPUTED_VALUE"""),11301)</f>
        <v>11301</v>
      </c>
      <c r="I22" s="140">
        <f ca="1">IFERROR(__xludf.DUMMYFUNCTION("""COMPUTED_VALUE"""),1090000)</f>
        <v>1090000</v>
      </c>
      <c r="J22" s="140">
        <f ca="1">IFERROR(__xludf.DUMMYFUNCTION("""COMPUTED_VALUE"""),0)</f>
        <v>0</v>
      </c>
      <c r="K22" s="140">
        <f ca="1">IFERROR(__xludf.DUMMYFUNCTION("""COMPUTED_VALUE"""),1090000)</f>
        <v>1090000</v>
      </c>
      <c r="L22" s="140">
        <f ca="1">IFERROR(__xludf.DUMMYFUNCTION("""COMPUTED_VALUE"""),0)</f>
        <v>0</v>
      </c>
      <c r="M22" s="143">
        <f ca="1">IFERROR(__xludf.DUMMYFUNCTION("""COMPUTED_VALUE"""),0)</f>
        <v>0</v>
      </c>
      <c r="N22" s="140">
        <f ca="1">IFERROR(__xludf.DUMMYFUNCTION("""COMPUTED_VALUE"""),0)</f>
        <v>0</v>
      </c>
      <c r="O22" s="140">
        <f ca="1">IFERROR(__xludf.DUMMYFUNCTION("""COMPUTED_VALUE"""),0)</f>
        <v>0</v>
      </c>
      <c r="P22" s="140">
        <f ca="1">IFERROR(__xludf.DUMMYFUNCTION("""COMPUTED_VALUE"""),0)</f>
        <v>0</v>
      </c>
      <c r="Q22" s="140">
        <f ca="1">IFERROR(__xludf.DUMMYFUNCTION("""COMPUTED_VALUE"""),0)</f>
        <v>0</v>
      </c>
      <c r="R22" s="140">
        <f ca="1">IFERROR(__xludf.DUMMYFUNCTION("""COMPUTED_VALUE"""),0)</f>
        <v>0</v>
      </c>
      <c r="S22" s="140">
        <f ca="1">IFERROR(__xludf.DUMMYFUNCTION("""COMPUTED_VALUE"""),0)</f>
        <v>0</v>
      </c>
      <c r="T22" s="140">
        <f ca="1">IFERROR(__xludf.DUMMYFUNCTION("""COMPUTED_VALUE"""),0)</f>
        <v>0</v>
      </c>
      <c r="U22" s="140">
        <f ca="1">IFERROR(__xludf.DUMMYFUNCTION("""COMPUTED_VALUE"""),0)</f>
        <v>0</v>
      </c>
    </row>
    <row r="23" spans="1:23" ht="13" x14ac:dyDescent="0.3">
      <c r="A23" s="170"/>
      <c r="B23" s="170"/>
      <c r="C23" s="170"/>
      <c r="D23" s="170"/>
      <c r="E23" s="170"/>
      <c r="F23" s="170"/>
      <c r="G23" s="170"/>
      <c r="H23" s="170" t="str">
        <f ca="1">IFERROR(__xludf.DUMMYFUNCTION("""COMPUTED_VALUE"""),"Total expenses ")</f>
        <v xml:space="preserve">Total expenses </v>
      </c>
      <c r="I23" s="171">
        <f ca="1">IFERROR(__xludf.DUMMYFUNCTION("""COMPUTED_VALUE"""),22269147.5099999)</f>
        <v>22269147.509999901</v>
      </c>
      <c r="J23" s="171">
        <f ca="1">IFERROR(__xludf.DUMMYFUNCTION("""COMPUTED_VALUE"""),1315507.23)</f>
        <v>1315507.23</v>
      </c>
      <c r="K23" s="171">
        <f ca="1">IFERROR(__xludf.DUMMYFUNCTION("""COMPUTED_VALUE"""),3036060.84499999)</f>
        <v>3036060.84499999</v>
      </c>
      <c r="L23" s="171">
        <f ca="1">IFERROR(__xludf.DUMMYFUNCTION("""COMPUTED_VALUE"""),1779196.51)</f>
        <v>1779196.51</v>
      </c>
      <c r="M23" s="171">
        <f ca="1">IFERROR(__xludf.DUMMYFUNCTION("""COMPUTED_VALUE"""),1672196.51)</f>
        <v>1672196.51</v>
      </c>
      <c r="N23" s="171">
        <f ca="1">IFERROR(__xludf.DUMMYFUNCTION("""COMPUTED_VALUE"""),2185560.84499999)</f>
        <v>2185560.84499999</v>
      </c>
      <c r="O23" s="171">
        <f ca="1">IFERROR(__xludf.DUMMYFUNCTION("""COMPUTED_VALUE"""),1768696.51)</f>
        <v>1768696.51</v>
      </c>
      <c r="P23" s="171">
        <f ca="1">IFERROR(__xludf.DUMMYFUNCTION("""COMPUTED_VALUE"""),1926446.51)</f>
        <v>1926446.51</v>
      </c>
      <c r="Q23" s="171">
        <f ca="1">IFERROR(__xludf.DUMMYFUNCTION("""COMPUTED_VALUE"""),1744696.51)</f>
        <v>1744696.51</v>
      </c>
      <c r="R23" s="171">
        <f ca="1">IFERROR(__xludf.DUMMYFUNCTION("""COMPUTED_VALUE"""),1876096.51)</f>
        <v>1876096.51</v>
      </c>
      <c r="S23" s="171">
        <f ca="1">IFERROR(__xludf.DUMMYFUNCTION("""COMPUTED_VALUE"""),1661296.51)</f>
        <v>1661296.51</v>
      </c>
      <c r="T23" s="171">
        <f ca="1">IFERROR(__xludf.DUMMYFUNCTION("""COMPUTED_VALUE"""),1651696.51)</f>
        <v>1651696.51</v>
      </c>
      <c r="U23" s="171">
        <f ca="1">IFERROR(__xludf.DUMMYFUNCTION("""COMPUTED_VALUE"""),1651696.51)</f>
        <v>1651696.51</v>
      </c>
    </row>
    <row r="26" spans="1:23" ht="15.75" customHeight="1" x14ac:dyDescent="0.25">
      <c r="A26" s="137" t="str">
        <f ca="1">IFERROR(__xludf.DUMMYFUNCTION("importrange(""https://docs.google.com/spreadsheets/d/16uN06cDpVFb010lYz7glUxrIYkYZ4owEdteb6rSikQk/edit?gid=700917496#"",""Summary!A3:U23"")"),"Bangladesh")</f>
        <v>Bangladesh</v>
      </c>
      <c r="B26" s="81" t="str">
        <f ca="1">IFERROR(__xludf.DUMMYFUNCTION("""COMPUTED_VALUE"""),"NHBD")</f>
        <v>NHBD</v>
      </c>
      <c r="C26" s="139" t="str">
        <f ca="1">IFERROR(__xludf.DUMMYFUNCTION("""COMPUTED_VALUE"""),"Digital Product")</f>
        <v>Digital Product</v>
      </c>
      <c r="D26" s="139" t="str">
        <f ca="1">IFERROR(__xludf.DUMMYFUNCTION("""COMPUTED_VALUE"""),"Engineering")</f>
        <v>Engineering</v>
      </c>
      <c r="E26" s="139" t="str">
        <f ca="1">IFERROR(__xludf.DUMMYFUNCTION("""COMPUTED_VALUE"""),"Payroll Cost")</f>
        <v>Payroll Cost</v>
      </c>
      <c r="F26" s="139" t="str">
        <f ca="1">IFERROR(__xludf.DUMMYFUNCTION("""COMPUTED_VALUE"""),"Salaries and Wages")</f>
        <v>Salaries and Wages</v>
      </c>
      <c r="G26" s="139" t="str">
        <f ca="1">IFERROR(__xludf.DUMMYFUNCTION("""COMPUTED_VALUE"""),"Salaries and Wages")</f>
        <v>Salaries and Wages</v>
      </c>
      <c r="H26" s="141" t="str">
        <f ca="1">IFERROR(__xludf.DUMMYFUNCTION("""COMPUTED_VALUE"""),"91101-91107")</f>
        <v>91101-91107</v>
      </c>
      <c r="I26" s="140">
        <f ca="1">IFERROR(__xludf.DUMMYFUNCTION("""COMPUTED_VALUE"""),1515000)</f>
        <v>1515000</v>
      </c>
      <c r="J26" s="140">
        <f ca="1">IFERROR(__xludf.DUMMYFUNCTION("""COMPUTED_VALUE"""),0)</f>
        <v>0</v>
      </c>
      <c r="K26" s="140">
        <f ca="1">IFERROR(__xludf.DUMMYFUNCTION("""COMPUTED_VALUE"""),0)</f>
        <v>0</v>
      </c>
      <c r="L26" s="140">
        <f ca="1">IFERROR(__xludf.DUMMYFUNCTION("""COMPUTED_VALUE"""),151500)</f>
        <v>151500</v>
      </c>
      <c r="M26" s="143">
        <f ca="1">IFERROR(__xludf.DUMMYFUNCTION("""COMPUTED_VALUE"""),151500)</f>
        <v>151500</v>
      </c>
      <c r="N26" s="140">
        <f ca="1">IFERROR(__xludf.DUMMYFUNCTION("""COMPUTED_VALUE"""),151500)</f>
        <v>151500</v>
      </c>
      <c r="O26" s="140">
        <f ca="1">IFERROR(__xludf.DUMMYFUNCTION("""COMPUTED_VALUE"""),151500)</f>
        <v>151500</v>
      </c>
      <c r="P26" s="140">
        <f ca="1">IFERROR(__xludf.DUMMYFUNCTION("""COMPUTED_VALUE"""),151500)</f>
        <v>151500</v>
      </c>
      <c r="Q26" s="140">
        <f ca="1">IFERROR(__xludf.DUMMYFUNCTION("""COMPUTED_VALUE"""),151500)</f>
        <v>151500</v>
      </c>
      <c r="R26" s="140">
        <f ca="1">IFERROR(__xludf.DUMMYFUNCTION("""COMPUTED_VALUE"""),151500)</f>
        <v>151500</v>
      </c>
      <c r="S26" s="140">
        <f ca="1">IFERROR(__xludf.DUMMYFUNCTION("""COMPUTED_VALUE"""),151500)</f>
        <v>151500</v>
      </c>
      <c r="T26" s="140">
        <f ca="1">IFERROR(__xludf.DUMMYFUNCTION("""COMPUTED_VALUE"""),151500)</f>
        <v>151500</v>
      </c>
      <c r="U26" s="140">
        <f ca="1">IFERROR(__xludf.DUMMYFUNCTION("""COMPUTED_VALUE"""),151500)</f>
        <v>151500</v>
      </c>
      <c r="V26" s="100"/>
      <c r="W26" s="100"/>
    </row>
    <row r="27" spans="1:23" ht="12.5" x14ac:dyDescent="0.25">
      <c r="A27" s="81" t="str">
        <f ca="1">IFERROR(__xludf.DUMMYFUNCTION("""COMPUTED_VALUE"""),"Bangladesh")</f>
        <v>Bangladesh</v>
      </c>
      <c r="B27" s="81" t="str">
        <f ca="1">IFERROR(__xludf.DUMMYFUNCTION("""COMPUTED_VALUE"""),"NHBD")</f>
        <v>NHBD</v>
      </c>
      <c r="C27" s="139" t="str">
        <f ca="1">IFERROR(__xludf.DUMMYFUNCTION("""COMPUTED_VALUE"""),"Digital Product")</f>
        <v>Digital Product</v>
      </c>
      <c r="D27" s="139" t="str">
        <f ca="1">IFERROR(__xludf.DUMMYFUNCTION("""COMPUTED_VALUE"""),"Engineering")</f>
        <v>Engineering</v>
      </c>
      <c r="E27" s="139" t="str">
        <f ca="1">IFERROR(__xludf.DUMMYFUNCTION("""COMPUTED_VALUE"""),"Payroll Cost")</f>
        <v>Payroll Cost</v>
      </c>
      <c r="F27" s="139" t="str">
        <f ca="1">IFERROR(__xludf.DUMMYFUNCTION("""COMPUTED_VALUE"""),"Health and Retirement Benefits")</f>
        <v>Health and Retirement Benefits</v>
      </c>
      <c r="G27" s="139" t="str">
        <f ca="1">IFERROR(__xludf.DUMMYFUNCTION("""COMPUTED_VALUE"""),"Gratuity &amp; Bonus")</f>
        <v>Gratuity &amp; Bonus</v>
      </c>
      <c r="H27" s="141" t="str">
        <f ca="1">IFERROR(__xludf.DUMMYFUNCTION("""COMPUTED_VALUE"""),"91201-91207")</f>
        <v>91201-91207</v>
      </c>
      <c r="I27" s="140">
        <f ca="1">IFERROR(__xludf.DUMMYFUNCTION("""COMPUTED_VALUE"""),0)</f>
        <v>0</v>
      </c>
      <c r="J27" s="140">
        <f ca="1">IFERROR(__xludf.DUMMYFUNCTION("""COMPUTED_VALUE"""),0)</f>
        <v>0</v>
      </c>
      <c r="K27" s="140">
        <f ca="1">IFERROR(__xludf.DUMMYFUNCTION("""COMPUTED_VALUE"""),0)</f>
        <v>0</v>
      </c>
      <c r="L27" s="140">
        <f ca="1">IFERROR(__xludf.DUMMYFUNCTION("""COMPUTED_VALUE"""),0)</f>
        <v>0</v>
      </c>
      <c r="M27" s="143">
        <f ca="1">IFERROR(__xludf.DUMMYFUNCTION("""COMPUTED_VALUE"""),0)</f>
        <v>0</v>
      </c>
      <c r="N27" s="140">
        <f ca="1">IFERROR(__xludf.DUMMYFUNCTION("""COMPUTED_VALUE"""),0)</f>
        <v>0</v>
      </c>
      <c r="O27" s="140">
        <f ca="1">IFERROR(__xludf.DUMMYFUNCTION("""COMPUTED_VALUE"""),0)</f>
        <v>0</v>
      </c>
      <c r="P27" s="140">
        <f ca="1">IFERROR(__xludf.DUMMYFUNCTION("""COMPUTED_VALUE"""),0)</f>
        <v>0</v>
      </c>
      <c r="Q27" s="140">
        <f ca="1">IFERROR(__xludf.DUMMYFUNCTION("""COMPUTED_VALUE"""),0)</f>
        <v>0</v>
      </c>
      <c r="R27" s="140">
        <f ca="1">IFERROR(__xludf.DUMMYFUNCTION("""COMPUTED_VALUE"""),0)</f>
        <v>0</v>
      </c>
      <c r="S27" s="140">
        <f ca="1">IFERROR(__xludf.DUMMYFUNCTION("""COMPUTED_VALUE"""),0)</f>
        <v>0</v>
      </c>
      <c r="T27" s="140">
        <f ca="1">IFERROR(__xludf.DUMMYFUNCTION("""COMPUTED_VALUE"""),0)</f>
        <v>0</v>
      </c>
      <c r="U27" s="140">
        <f ca="1">IFERROR(__xludf.DUMMYFUNCTION("""COMPUTED_VALUE"""),0)</f>
        <v>0</v>
      </c>
    </row>
    <row r="28" spans="1:23" ht="12.5" x14ac:dyDescent="0.25">
      <c r="A28" s="81" t="str">
        <f ca="1">IFERROR(__xludf.DUMMYFUNCTION("""COMPUTED_VALUE"""),"Bangladesh")</f>
        <v>Bangladesh</v>
      </c>
      <c r="B28" s="81" t="str">
        <f ca="1">IFERROR(__xludf.DUMMYFUNCTION("""COMPUTED_VALUE"""),"NHBD")</f>
        <v>NHBD</v>
      </c>
      <c r="C28" s="139" t="str">
        <f ca="1">IFERROR(__xludf.DUMMYFUNCTION("""COMPUTED_VALUE"""),"Digital Product")</f>
        <v>Digital Product</v>
      </c>
      <c r="D28" s="139" t="str">
        <f ca="1">IFERROR(__xludf.DUMMYFUNCTION("""COMPUTED_VALUE"""),"Engineering")</f>
        <v>Engineering</v>
      </c>
      <c r="E28" s="139" t="str">
        <f ca="1">IFERROR(__xludf.DUMMYFUNCTION("""COMPUTED_VALUE"""),"Payroll Cost")</f>
        <v>Payroll Cost</v>
      </c>
      <c r="F28" s="139" t="str">
        <f ca="1">IFERROR(__xludf.DUMMYFUNCTION("""COMPUTED_VALUE"""),"Other Staff Expenses")</f>
        <v>Other Staff Expenses</v>
      </c>
      <c r="G28" s="139" t="str">
        <f ca="1">IFERROR(__xludf.DUMMYFUNCTION("""COMPUTED_VALUE"""),"Staff Training, Learning &amp; Development Exp")</f>
        <v>Staff Training, Learning &amp; Development Exp</v>
      </c>
      <c r="H28" s="152">
        <f ca="1">IFERROR(__xludf.DUMMYFUNCTION("""COMPUTED_VALUE"""),91302)</f>
        <v>91302</v>
      </c>
      <c r="I28" s="140">
        <f ca="1">IFERROR(__xludf.DUMMYFUNCTION("""COMPUTED_VALUE"""),0)</f>
        <v>0</v>
      </c>
      <c r="J28" s="140">
        <f ca="1">IFERROR(__xludf.DUMMYFUNCTION("""COMPUTED_VALUE"""),0)</f>
        <v>0</v>
      </c>
      <c r="K28" s="140">
        <f ca="1">IFERROR(__xludf.DUMMYFUNCTION("""COMPUTED_VALUE"""),0)</f>
        <v>0</v>
      </c>
      <c r="L28" s="140">
        <f ca="1">IFERROR(__xludf.DUMMYFUNCTION("""COMPUTED_VALUE"""),0)</f>
        <v>0</v>
      </c>
      <c r="M28" s="143">
        <f ca="1">IFERROR(__xludf.DUMMYFUNCTION("""COMPUTED_VALUE"""),0)</f>
        <v>0</v>
      </c>
      <c r="N28" s="140">
        <f ca="1">IFERROR(__xludf.DUMMYFUNCTION("""COMPUTED_VALUE"""),0)</f>
        <v>0</v>
      </c>
      <c r="O28" s="140">
        <f ca="1">IFERROR(__xludf.DUMMYFUNCTION("""COMPUTED_VALUE"""),0)</f>
        <v>0</v>
      </c>
      <c r="P28" s="140">
        <f ca="1">IFERROR(__xludf.DUMMYFUNCTION("""COMPUTED_VALUE"""),0)</f>
        <v>0</v>
      </c>
      <c r="Q28" s="140">
        <f ca="1">IFERROR(__xludf.DUMMYFUNCTION("""COMPUTED_VALUE"""),0)</f>
        <v>0</v>
      </c>
      <c r="R28" s="140">
        <f ca="1">IFERROR(__xludf.DUMMYFUNCTION("""COMPUTED_VALUE"""),0)</f>
        <v>0</v>
      </c>
      <c r="S28" s="140">
        <f ca="1">IFERROR(__xludf.DUMMYFUNCTION("""COMPUTED_VALUE"""),0)</f>
        <v>0</v>
      </c>
      <c r="T28" s="140">
        <f ca="1">IFERROR(__xludf.DUMMYFUNCTION("""COMPUTED_VALUE"""),0)</f>
        <v>0</v>
      </c>
      <c r="U28" s="140">
        <f ca="1">IFERROR(__xludf.DUMMYFUNCTION("""COMPUTED_VALUE"""),0)</f>
        <v>0</v>
      </c>
    </row>
    <row r="29" spans="1:23" ht="12.5" x14ac:dyDescent="0.25">
      <c r="A29" s="81" t="str">
        <f ca="1">IFERROR(__xludf.DUMMYFUNCTION("""COMPUTED_VALUE"""),"Bangladesh")</f>
        <v>Bangladesh</v>
      </c>
      <c r="B29" s="81" t="str">
        <f ca="1">IFERROR(__xludf.DUMMYFUNCTION("""COMPUTED_VALUE"""),"NHBD")</f>
        <v>NHBD</v>
      </c>
      <c r="C29" s="139" t="str">
        <f ca="1">IFERROR(__xludf.DUMMYFUNCTION("""COMPUTED_VALUE"""),"Digital Product")</f>
        <v>Digital Product</v>
      </c>
      <c r="D29" s="139" t="str">
        <f ca="1">IFERROR(__xludf.DUMMYFUNCTION("""COMPUTED_VALUE"""),"Engineering")</f>
        <v>Engineering</v>
      </c>
      <c r="E29" s="81" t="str">
        <f ca="1">IFERROR(__xludf.DUMMYFUNCTION("""COMPUTED_VALUE"""),"Direct Consultants")</f>
        <v>Direct Consultants</v>
      </c>
      <c r="F29" s="81" t="str">
        <f ca="1">IFERROR(__xludf.DUMMYFUNCTION("""COMPUTED_VALUE"""),"Resource Persons")</f>
        <v>Resource Persons</v>
      </c>
      <c r="G29" s="81" t="str">
        <f ca="1">IFERROR(__xludf.DUMMYFUNCTION("""COMPUTED_VALUE"""),"Program Resource Consultant (EHA)")</f>
        <v>Program Resource Consultant (EHA)</v>
      </c>
      <c r="H29" s="35">
        <f ca="1">IFERROR(__xludf.DUMMYFUNCTION("""COMPUTED_VALUE"""),92101)</f>
        <v>92101</v>
      </c>
      <c r="I29" s="140">
        <f ca="1">IFERROR(__xludf.DUMMYFUNCTION("""COMPUTED_VALUE"""),0)</f>
        <v>0</v>
      </c>
      <c r="J29" s="140">
        <f ca="1">IFERROR(__xludf.DUMMYFUNCTION("""COMPUTED_VALUE"""),0)</f>
        <v>0</v>
      </c>
      <c r="K29" s="140">
        <f ca="1">IFERROR(__xludf.DUMMYFUNCTION("""COMPUTED_VALUE"""),0)</f>
        <v>0</v>
      </c>
      <c r="L29" s="140">
        <f ca="1">IFERROR(__xludf.DUMMYFUNCTION("""COMPUTED_VALUE"""),0)</f>
        <v>0</v>
      </c>
      <c r="M29" s="143">
        <f ca="1">IFERROR(__xludf.DUMMYFUNCTION("""COMPUTED_VALUE"""),0)</f>
        <v>0</v>
      </c>
      <c r="N29" s="140">
        <f ca="1">IFERROR(__xludf.DUMMYFUNCTION("""COMPUTED_VALUE"""),0)</f>
        <v>0</v>
      </c>
      <c r="O29" s="140">
        <f ca="1">IFERROR(__xludf.DUMMYFUNCTION("""COMPUTED_VALUE"""),0)</f>
        <v>0</v>
      </c>
      <c r="P29" s="140">
        <f ca="1">IFERROR(__xludf.DUMMYFUNCTION("""COMPUTED_VALUE"""),0)</f>
        <v>0</v>
      </c>
      <c r="Q29" s="140">
        <f ca="1">IFERROR(__xludf.DUMMYFUNCTION("""COMPUTED_VALUE"""),0)</f>
        <v>0</v>
      </c>
      <c r="R29" s="140">
        <f ca="1">IFERROR(__xludf.DUMMYFUNCTION("""COMPUTED_VALUE"""),0)</f>
        <v>0</v>
      </c>
      <c r="S29" s="140">
        <f ca="1">IFERROR(__xludf.DUMMYFUNCTION("""COMPUTED_VALUE"""),0)</f>
        <v>0</v>
      </c>
      <c r="T29" s="140">
        <f ca="1">IFERROR(__xludf.DUMMYFUNCTION("""COMPUTED_VALUE"""),0)</f>
        <v>0</v>
      </c>
      <c r="U29" s="140">
        <f ca="1">IFERROR(__xludf.DUMMYFUNCTION("""COMPUTED_VALUE"""),0)</f>
        <v>0</v>
      </c>
    </row>
    <row r="30" spans="1:23" ht="12.5" x14ac:dyDescent="0.25">
      <c r="A30" s="81" t="str">
        <f ca="1">IFERROR(__xludf.DUMMYFUNCTION("""COMPUTED_VALUE"""),"Bangladesh")</f>
        <v>Bangladesh</v>
      </c>
      <c r="B30" s="81" t="str">
        <f ca="1">IFERROR(__xludf.DUMMYFUNCTION("""COMPUTED_VALUE"""),"NHBD")</f>
        <v>NHBD</v>
      </c>
      <c r="C30" s="139" t="str">
        <f ca="1">IFERROR(__xludf.DUMMYFUNCTION("""COMPUTED_VALUE"""),"Digital Product")</f>
        <v>Digital Product</v>
      </c>
      <c r="D30" s="140" t="str">
        <f ca="1">IFERROR(__xludf.DUMMYFUNCTION("""COMPUTED_VALUE""")," Engineering ")</f>
        <v xml:space="preserve"> Engineering </v>
      </c>
      <c r="E30" s="81" t="str">
        <f ca="1">IFERROR(__xludf.DUMMYFUNCTION("""COMPUTED_VALUE"""),"Direct Cost")</f>
        <v>Direct Cost</v>
      </c>
      <c r="F30" s="81" t="str">
        <f ca="1">IFERROR(__xludf.DUMMYFUNCTION("""COMPUTED_VALUE"""),"Travel &amp; Lodging Expenses")</f>
        <v>Travel &amp; Lodging Expenses</v>
      </c>
      <c r="G30" s="81" t="str">
        <f ca="1">IFERROR(__xludf.DUMMYFUNCTION("""COMPUTED_VALUE"""),"Hotel Accomodation")</f>
        <v>Hotel Accomodation</v>
      </c>
      <c r="H30" s="35">
        <f ca="1">IFERROR(__xludf.DUMMYFUNCTION("""COMPUTED_VALUE"""),93101)</f>
        <v>93101</v>
      </c>
      <c r="I30" s="140">
        <f ca="1">IFERROR(__xludf.DUMMYFUNCTION("""COMPUTED_VALUE"""),14000)</f>
        <v>14000</v>
      </c>
      <c r="J30" s="140">
        <f ca="1">IFERROR(__xludf.DUMMYFUNCTION("""COMPUTED_VALUE"""),0)</f>
        <v>0</v>
      </c>
      <c r="K30" s="140">
        <f ca="1">IFERROR(__xludf.DUMMYFUNCTION("""COMPUTED_VALUE"""),0)</f>
        <v>0</v>
      </c>
      <c r="L30" s="140">
        <f ca="1">IFERROR(__xludf.DUMMYFUNCTION("""COMPUTED_VALUE"""),0)</f>
        <v>0</v>
      </c>
      <c r="M30" s="143">
        <f ca="1">IFERROR(__xludf.DUMMYFUNCTION("""COMPUTED_VALUE"""),7000)</f>
        <v>7000</v>
      </c>
      <c r="N30" s="140">
        <f ca="1">IFERROR(__xludf.DUMMYFUNCTION("""COMPUTED_VALUE"""),0)</f>
        <v>0</v>
      </c>
      <c r="O30" s="140">
        <f ca="1">IFERROR(__xludf.DUMMYFUNCTION("""COMPUTED_VALUE"""),0)</f>
        <v>0</v>
      </c>
      <c r="P30" s="140">
        <f ca="1">IFERROR(__xludf.DUMMYFUNCTION("""COMPUTED_VALUE"""),0)</f>
        <v>0</v>
      </c>
      <c r="Q30" s="140">
        <f ca="1">IFERROR(__xludf.DUMMYFUNCTION("""COMPUTED_VALUE"""),7000)</f>
        <v>7000</v>
      </c>
      <c r="R30" s="140">
        <f ca="1">IFERROR(__xludf.DUMMYFUNCTION("""COMPUTED_VALUE"""),0)</f>
        <v>0</v>
      </c>
      <c r="S30" s="140">
        <f ca="1">IFERROR(__xludf.DUMMYFUNCTION("""COMPUTED_VALUE"""),0)</f>
        <v>0</v>
      </c>
      <c r="T30" s="140">
        <f ca="1">IFERROR(__xludf.DUMMYFUNCTION("""COMPUTED_VALUE"""),0)</f>
        <v>0</v>
      </c>
      <c r="U30" s="140">
        <f ca="1">IFERROR(__xludf.DUMMYFUNCTION("""COMPUTED_VALUE"""),0)</f>
        <v>0</v>
      </c>
    </row>
    <row r="31" spans="1:23" ht="12.5" x14ac:dyDescent="0.25">
      <c r="A31" s="81" t="str">
        <f ca="1">IFERROR(__xludf.DUMMYFUNCTION("""COMPUTED_VALUE"""),"Bangladesh")</f>
        <v>Bangladesh</v>
      </c>
      <c r="B31" s="81" t="str">
        <f ca="1">IFERROR(__xludf.DUMMYFUNCTION("""COMPUTED_VALUE"""),"NHBD")</f>
        <v>NHBD</v>
      </c>
      <c r="C31" s="139" t="str">
        <f ca="1">IFERROR(__xludf.DUMMYFUNCTION("""COMPUTED_VALUE"""),"Digital Product")</f>
        <v>Digital Product</v>
      </c>
      <c r="D31" s="140" t="str">
        <f ca="1">IFERROR(__xludf.DUMMYFUNCTION("""COMPUTED_VALUE""")," Engineering ")</f>
        <v xml:space="preserve"> Engineering </v>
      </c>
      <c r="E31" s="81" t="str">
        <f ca="1">IFERROR(__xludf.DUMMYFUNCTION("""COMPUTED_VALUE"""),"Direct Cost")</f>
        <v>Direct Cost</v>
      </c>
      <c r="F31" s="81" t="str">
        <f ca="1">IFERROR(__xludf.DUMMYFUNCTION("""COMPUTED_VALUE"""),"Travel &amp; Lodging Expenses")</f>
        <v>Travel &amp; Lodging Expenses</v>
      </c>
      <c r="G31" s="81" t="str">
        <f ca="1">IFERROR(__xludf.DUMMYFUNCTION("""COMPUTED_VALUE"""),"Food Expenses")</f>
        <v>Food Expenses</v>
      </c>
      <c r="H31" s="35">
        <f ca="1">IFERROR(__xludf.DUMMYFUNCTION("""COMPUTED_VALUE"""),93102)</f>
        <v>93102</v>
      </c>
      <c r="I31" s="140">
        <f ca="1">IFERROR(__xludf.DUMMYFUNCTION("""COMPUTED_VALUE"""),4800)</f>
        <v>4800</v>
      </c>
      <c r="J31" s="140">
        <f ca="1">IFERROR(__xludf.DUMMYFUNCTION("""COMPUTED_VALUE"""),0)</f>
        <v>0</v>
      </c>
      <c r="K31" s="140">
        <f ca="1">IFERROR(__xludf.DUMMYFUNCTION("""COMPUTED_VALUE"""),0)</f>
        <v>0</v>
      </c>
      <c r="L31" s="140">
        <f ca="1">IFERROR(__xludf.DUMMYFUNCTION("""COMPUTED_VALUE"""),0)</f>
        <v>0</v>
      </c>
      <c r="M31" s="143">
        <f ca="1">IFERROR(__xludf.DUMMYFUNCTION("""COMPUTED_VALUE"""),2400)</f>
        <v>2400</v>
      </c>
      <c r="N31" s="140">
        <f ca="1">IFERROR(__xludf.DUMMYFUNCTION("""COMPUTED_VALUE"""),0)</f>
        <v>0</v>
      </c>
      <c r="O31" s="140">
        <f ca="1">IFERROR(__xludf.DUMMYFUNCTION("""COMPUTED_VALUE"""),0)</f>
        <v>0</v>
      </c>
      <c r="P31" s="140">
        <f ca="1">IFERROR(__xludf.DUMMYFUNCTION("""COMPUTED_VALUE"""),0)</f>
        <v>0</v>
      </c>
      <c r="Q31" s="140">
        <f ca="1">IFERROR(__xludf.DUMMYFUNCTION("""COMPUTED_VALUE"""),2400)</f>
        <v>2400</v>
      </c>
      <c r="R31" s="140">
        <f ca="1">IFERROR(__xludf.DUMMYFUNCTION("""COMPUTED_VALUE"""),0)</f>
        <v>0</v>
      </c>
      <c r="S31" s="140">
        <f ca="1">IFERROR(__xludf.DUMMYFUNCTION("""COMPUTED_VALUE"""),0)</f>
        <v>0</v>
      </c>
      <c r="T31" s="140">
        <f ca="1">IFERROR(__xludf.DUMMYFUNCTION("""COMPUTED_VALUE"""),0)</f>
        <v>0</v>
      </c>
      <c r="U31" s="140">
        <f ca="1">IFERROR(__xludf.DUMMYFUNCTION("""COMPUTED_VALUE"""),0)</f>
        <v>0</v>
      </c>
    </row>
    <row r="32" spans="1:23" ht="12.5" x14ac:dyDescent="0.25">
      <c r="A32" s="81" t="str">
        <f ca="1">IFERROR(__xludf.DUMMYFUNCTION("""COMPUTED_VALUE"""),"Bangladesh")</f>
        <v>Bangladesh</v>
      </c>
      <c r="B32" s="81" t="str">
        <f ca="1">IFERROR(__xludf.DUMMYFUNCTION("""COMPUTED_VALUE"""),"NHBD")</f>
        <v>NHBD</v>
      </c>
      <c r="C32" s="139" t="str">
        <f ca="1">IFERROR(__xludf.DUMMYFUNCTION("""COMPUTED_VALUE"""),"Digital Product")</f>
        <v>Digital Product</v>
      </c>
      <c r="D32" s="140" t="str">
        <f ca="1">IFERROR(__xludf.DUMMYFUNCTION("""COMPUTED_VALUE""")," Engineering ")</f>
        <v xml:space="preserve"> Engineering </v>
      </c>
      <c r="E32" s="81" t="str">
        <f ca="1">IFERROR(__xludf.DUMMYFUNCTION("""COMPUTED_VALUE"""),"Direct Cost")</f>
        <v>Direct Cost</v>
      </c>
      <c r="F32" s="81" t="str">
        <f ca="1">IFERROR(__xludf.DUMMYFUNCTION("""COMPUTED_VALUE"""),"Travel &amp; Lodging Expenses")</f>
        <v>Travel &amp; Lodging Expenses</v>
      </c>
      <c r="G32" s="81" t="str">
        <f ca="1">IFERROR(__xludf.DUMMYFUNCTION("""COMPUTED_VALUE"""),"Air fare")</f>
        <v>Air fare</v>
      </c>
      <c r="H32" s="35">
        <f ca="1">IFERROR(__xludf.DUMMYFUNCTION("""COMPUTED_VALUE"""),93103)</f>
        <v>93103</v>
      </c>
      <c r="I32" s="140">
        <f ca="1">IFERROR(__xludf.DUMMYFUNCTION("""COMPUTED_VALUE"""),22000)</f>
        <v>22000</v>
      </c>
      <c r="J32" s="140">
        <f ca="1">IFERROR(__xludf.DUMMYFUNCTION("""COMPUTED_VALUE"""),0)</f>
        <v>0</v>
      </c>
      <c r="K32" s="140">
        <f ca="1">IFERROR(__xludf.DUMMYFUNCTION("""COMPUTED_VALUE"""),0)</f>
        <v>0</v>
      </c>
      <c r="L32" s="140">
        <f ca="1">IFERROR(__xludf.DUMMYFUNCTION("""COMPUTED_VALUE"""),0)</f>
        <v>0</v>
      </c>
      <c r="M32" s="143">
        <f ca="1">IFERROR(__xludf.DUMMYFUNCTION("""COMPUTED_VALUE"""),11000)</f>
        <v>11000</v>
      </c>
      <c r="N32" s="140">
        <f ca="1">IFERROR(__xludf.DUMMYFUNCTION("""COMPUTED_VALUE"""),0)</f>
        <v>0</v>
      </c>
      <c r="O32" s="140">
        <f ca="1">IFERROR(__xludf.DUMMYFUNCTION("""COMPUTED_VALUE"""),0)</f>
        <v>0</v>
      </c>
      <c r="P32" s="140">
        <f ca="1">IFERROR(__xludf.DUMMYFUNCTION("""COMPUTED_VALUE"""),0)</f>
        <v>0</v>
      </c>
      <c r="Q32" s="140">
        <f ca="1">IFERROR(__xludf.DUMMYFUNCTION("""COMPUTED_VALUE"""),11000)</f>
        <v>11000</v>
      </c>
      <c r="R32" s="140">
        <f ca="1">IFERROR(__xludf.DUMMYFUNCTION("""COMPUTED_VALUE"""),0)</f>
        <v>0</v>
      </c>
      <c r="S32" s="140">
        <f ca="1">IFERROR(__xludf.DUMMYFUNCTION("""COMPUTED_VALUE"""),0)</f>
        <v>0</v>
      </c>
      <c r="T32" s="140">
        <f ca="1">IFERROR(__xludf.DUMMYFUNCTION("""COMPUTED_VALUE"""),0)</f>
        <v>0</v>
      </c>
      <c r="U32" s="140">
        <f ca="1">IFERROR(__xludf.DUMMYFUNCTION("""COMPUTED_VALUE"""),0)</f>
        <v>0</v>
      </c>
    </row>
    <row r="33" spans="1:21" ht="12.5" x14ac:dyDescent="0.25">
      <c r="A33" s="81" t="str">
        <f ca="1">IFERROR(__xludf.DUMMYFUNCTION("""COMPUTED_VALUE"""),"Bangladesh")</f>
        <v>Bangladesh</v>
      </c>
      <c r="B33" s="81" t="str">
        <f ca="1">IFERROR(__xludf.DUMMYFUNCTION("""COMPUTED_VALUE"""),"NHBD")</f>
        <v>NHBD</v>
      </c>
      <c r="C33" s="139" t="str">
        <f ca="1">IFERROR(__xludf.DUMMYFUNCTION("""COMPUTED_VALUE"""),"Digital Product")</f>
        <v>Digital Product</v>
      </c>
      <c r="D33" s="140" t="str">
        <f ca="1">IFERROR(__xludf.DUMMYFUNCTION("""COMPUTED_VALUE""")," Engineering ")</f>
        <v xml:space="preserve"> Engineering </v>
      </c>
      <c r="E33" s="81" t="str">
        <f ca="1">IFERROR(__xludf.DUMMYFUNCTION("""COMPUTED_VALUE"""),"Direct Cost")</f>
        <v>Direct Cost</v>
      </c>
      <c r="F33" s="81" t="str">
        <f ca="1">IFERROR(__xludf.DUMMYFUNCTION("""COMPUTED_VALUE"""),"Travel &amp; Lodging Expenses")</f>
        <v>Travel &amp; Lodging Expenses</v>
      </c>
      <c r="G33" s="81" t="str">
        <f ca="1">IFERROR(__xludf.DUMMYFUNCTION("""COMPUTED_VALUE"""),"Cab/Auto")</f>
        <v>Cab/Auto</v>
      </c>
      <c r="H33" s="35">
        <f ca="1">IFERROR(__xludf.DUMMYFUNCTION("""COMPUTED_VALUE"""),93104)</f>
        <v>93104</v>
      </c>
      <c r="I33" s="140">
        <f ca="1">IFERROR(__xludf.DUMMYFUNCTION("""COMPUTED_VALUE"""),13200)</f>
        <v>13200</v>
      </c>
      <c r="J33" s="140">
        <f ca="1">IFERROR(__xludf.DUMMYFUNCTION("""COMPUTED_VALUE"""),0)</f>
        <v>0</v>
      </c>
      <c r="K33" s="140">
        <f ca="1">IFERROR(__xludf.DUMMYFUNCTION("""COMPUTED_VALUE"""),0)</f>
        <v>0</v>
      </c>
      <c r="L33" s="140">
        <f ca="1">IFERROR(__xludf.DUMMYFUNCTION("""COMPUTED_VALUE"""),0)</f>
        <v>0</v>
      </c>
      <c r="M33" s="143">
        <f ca="1">IFERROR(__xludf.DUMMYFUNCTION("""COMPUTED_VALUE"""),6600)</f>
        <v>6600</v>
      </c>
      <c r="N33" s="140">
        <f ca="1">IFERROR(__xludf.DUMMYFUNCTION("""COMPUTED_VALUE"""),0)</f>
        <v>0</v>
      </c>
      <c r="O33" s="140">
        <f ca="1">IFERROR(__xludf.DUMMYFUNCTION("""COMPUTED_VALUE"""),0)</f>
        <v>0</v>
      </c>
      <c r="P33" s="140">
        <f ca="1">IFERROR(__xludf.DUMMYFUNCTION("""COMPUTED_VALUE"""),0)</f>
        <v>0</v>
      </c>
      <c r="Q33" s="140">
        <f ca="1">IFERROR(__xludf.DUMMYFUNCTION("""COMPUTED_VALUE"""),6600)</f>
        <v>6600</v>
      </c>
      <c r="R33" s="140">
        <f ca="1">IFERROR(__xludf.DUMMYFUNCTION("""COMPUTED_VALUE"""),0)</f>
        <v>0</v>
      </c>
      <c r="S33" s="140">
        <f ca="1">IFERROR(__xludf.DUMMYFUNCTION("""COMPUTED_VALUE"""),0)</f>
        <v>0</v>
      </c>
      <c r="T33" s="140">
        <f ca="1">IFERROR(__xludf.DUMMYFUNCTION("""COMPUTED_VALUE"""),0)</f>
        <v>0</v>
      </c>
      <c r="U33" s="140">
        <f ca="1">IFERROR(__xludf.DUMMYFUNCTION("""COMPUTED_VALUE"""),0)</f>
        <v>0</v>
      </c>
    </row>
    <row r="34" spans="1:21" ht="12.5" x14ac:dyDescent="0.25">
      <c r="A34" s="81" t="str">
        <f ca="1">IFERROR(__xludf.DUMMYFUNCTION("""COMPUTED_VALUE"""),"Bangladesh")</f>
        <v>Bangladesh</v>
      </c>
      <c r="B34" s="81" t="str">
        <f ca="1">IFERROR(__xludf.DUMMYFUNCTION("""COMPUTED_VALUE"""),"NHBD")</f>
        <v>NHBD</v>
      </c>
      <c r="C34" s="139" t="str">
        <f ca="1">IFERROR(__xludf.DUMMYFUNCTION("""COMPUTED_VALUE"""),"Digital Product")</f>
        <v>Digital Product</v>
      </c>
      <c r="D34" s="140" t="str">
        <f ca="1">IFERROR(__xludf.DUMMYFUNCTION("""COMPUTED_VALUE""")," Engineering ")</f>
        <v xml:space="preserve"> Engineering </v>
      </c>
      <c r="E34" s="81" t="str">
        <f ca="1">IFERROR(__xludf.DUMMYFUNCTION("""COMPUTED_VALUE"""),"Direct Cost")</f>
        <v>Direct Cost</v>
      </c>
      <c r="F34" s="81" t="str">
        <f ca="1">IFERROR(__xludf.DUMMYFUNCTION("""COMPUTED_VALUE"""),"Travel &amp; Lodging Expenses")</f>
        <v>Travel &amp; Lodging Expenses</v>
      </c>
      <c r="G34" s="81" t="str">
        <f ca="1">IFERROR(__xludf.DUMMYFUNCTION("""COMPUTED_VALUE"""),"Bus/Train")</f>
        <v>Bus/Train</v>
      </c>
      <c r="H34" s="35">
        <f ca="1">IFERROR(__xludf.DUMMYFUNCTION("""COMPUTED_VALUE"""),93105)</f>
        <v>93105</v>
      </c>
      <c r="I34" s="140">
        <f ca="1">IFERROR(__xludf.DUMMYFUNCTION("""COMPUTED_VALUE"""),1600)</f>
        <v>1600</v>
      </c>
      <c r="J34" s="140">
        <f ca="1">IFERROR(__xludf.DUMMYFUNCTION("""COMPUTED_VALUE"""),0)</f>
        <v>0</v>
      </c>
      <c r="K34" s="140">
        <f ca="1">IFERROR(__xludf.DUMMYFUNCTION("""COMPUTED_VALUE"""),0)</f>
        <v>0</v>
      </c>
      <c r="L34" s="140">
        <f ca="1">IFERROR(__xludf.DUMMYFUNCTION("""COMPUTED_VALUE"""),0)</f>
        <v>0</v>
      </c>
      <c r="M34" s="143">
        <f ca="1">IFERROR(__xludf.DUMMYFUNCTION("""COMPUTED_VALUE"""),800)</f>
        <v>800</v>
      </c>
      <c r="N34" s="140">
        <f ca="1">IFERROR(__xludf.DUMMYFUNCTION("""COMPUTED_VALUE"""),0)</f>
        <v>0</v>
      </c>
      <c r="O34" s="140">
        <f ca="1">IFERROR(__xludf.DUMMYFUNCTION("""COMPUTED_VALUE"""),0)</f>
        <v>0</v>
      </c>
      <c r="P34" s="140">
        <f ca="1">IFERROR(__xludf.DUMMYFUNCTION("""COMPUTED_VALUE"""),0)</f>
        <v>0</v>
      </c>
      <c r="Q34" s="140">
        <f ca="1">IFERROR(__xludf.DUMMYFUNCTION("""COMPUTED_VALUE"""),800)</f>
        <v>800</v>
      </c>
      <c r="R34" s="140">
        <f ca="1">IFERROR(__xludf.DUMMYFUNCTION("""COMPUTED_VALUE"""),0)</f>
        <v>0</v>
      </c>
      <c r="S34" s="140">
        <f ca="1">IFERROR(__xludf.DUMMYFUNCTION("""COMPUTED_VALUE"""),0)</f>
        <v>0</v>
      </c>
      <c r="T34" s="140">
        <f ca="1">IFERROR(__xludf.DUMMYFUNCTION("""COMPUTED_VALUE"""),0)</f>
        <v>0</v>
      </c>
      <c r="U34" s="140">
        <f ca="1">IFERROR(__xludf.DUMMYFUNCTION("""COMPUTED_VALUE"""),0)</f>
        <v>0</v>
      </c>
    </row>
    <row r="35" spans="1:21" ht="12.5" x14ac:dyDescent="0.25">
      <c r="A35" s="81" t="str">
        <f ca="1">IFERROR(__xludf.DUMMYFUNCTION("""COMPUTED_VALUE"""),"Bangladesh")</f>
        <v>Bangladesh</v>
      </c>
      <c r="B35" s="81" t="str">
        <f ca="1">IFERROR(__xludf.DUMMYFUNCTION("""COMPUTED_VALUE"""),"NHBD")</f>
        <v>NHBD</v>
      </c>
      <c r="C35" s="139" t="str">
        <f ca="1">IFERROR(__xludf.DUMMYFUNCTION("""COMPUTED_VALUE"""),"Digital Product")</f>
        <v>Digital Product</v>
      </c>
      <c r="D35" s="140" t="str">
        <f ca="1">IFERROR(__xludf.DUMMYFUNCTION("""COMPUTED_VALUE""")," Engineering ")</f>
        <v xml:space="preserve"> Engineering </v>
      </c>
      <c r="E35" s="81" t="str">
        <f ca="1">IFERROR(__xludf.DUMMYFUNCTION("""COMPUTED_VALUE"""),"Direct Cost")</f>
        <v>Direct Cost</v>
      </c>
      <c r="F35" s="81" t="str">
        <f ca="1">IFERROR(__xludf.DUMMYFUNCTION("""COMPUTED_VALUE"""),"Travel &amp; Lodging Expenses")</f>
        <v>Travel &amp; Lodging Expenses</v>
      </c>
      <c r="G35" s="81" t="str">
        <f ca="1">IFERROR(__xludf.DUMMYFUNCTION("""COMPUTED_VALUE"""),"Other incidental travel costs")</f>
        <v>Other incidental travel costs</v>
      </c>
      <c r="H35" s="35">
        <f ca="1">IFERROR(__xludf.DUMMYFUNCTION("""COMPUTED_VALUE"""),93106)</f>
        <v>93106</v>
      </c>
      <c r="I35" s="140">
        <f ca="1">IFERROR(__xludf.DUMMYFUNCTION("""COMPUTED_VALUE"""),400)</f>
        <v>400</v>
      </c>
      <c r="J35" s="140">
        <f ca="1">IFERROR(__xludf.DUMMYFUNCTION("""COMPUTED_VALUE"""),0)</f>
        <v>0</v>
      </c>
      <c r="K35" s="140">
        <f ca="1">IFERROR(__xludf.DUMMYFUNCTION("""COMPUTED_VALUE"""),0)</f>
        <v>0</v>
      </c>
      <c r="L35" s="140">
        <f ca="1">IFERROR(__xludf.DUMMYFUNCTION("""COMPUTED_VALUE"""),0)</f>
        <v>0</v>
      </c>
      <c r="M35" s="143">
        <f ca="1">IFERROR(__xludf.DUMMYFUNCTION("""COMPUTED_VALUE"""),200)</f>
        <v>200</v>
      </c>
      <c r="N35" s="140">
        <f ca="1">IFERROR(__xludf.DUMMYFUNCTION("""COMPUTED_VALUE"""),0)</f>
        <v>0</v>
      </c>
      <c r="O35" s="140">
        <f ca="1">IFERROR(__xludf.DUMMYFUNCTION("""COMPUTED_VALUE"""),0)</f>
        <v>0</v>
      </c>
      <c r="P35" s="140">
        <f ca="1">IFERROR(__xludf.DUMMYFUNCTION("""COMPUTED_VALUE"""),0)</f>
        <v>0</v>
      </c>
      <c r="Q35" s="140">
        <f ca="1">IFERROR(__xludf.DUMMYFUNCTION("""COMPUTED_VALUE"""),200)</f>
        <v>200</v>
      </c>
      <c r="R35" s="140">
        <f ca="1">IFERROR(__xludf.DUMMYFUNCTION("""COMPUTED_VALUE"""),0)</f>
        <v>0</v>
      </c>
      <c r="S35" s="140">
        <f ca="1">IFERROR(__xludf.DUMMYFUNCTION("""COMPUTED_VALUE"""),0)</f>
        <v>0</v>
      </c>
      <c r="T35" s="140">
        <f ca="1">IFERROR(__xludf.DUMMYFUNCTION("""COMPUTED_VALUE"""),0)</f>
        <v>0</v>
      </c>
      <c r="U35" s="140">
        <f ca="1">IFERROR(__xludf.DUMMYFUNCTION("""COMPUTED_VALUE"""),0)</f>
        <v>0</v>
      </c>
    </row>
    <row r="36" spans="1:21" ht="12.5" x14ac:dyDescent="0.25">
      <c r="A36" s="81" t="str">
        <f ca="1">IFERROR(__xludf.DUMMYFUNCTION("""COMPUTED_VALUE"""),"Bangladesh")</f>
        <v>Bangladesh</v>
      </c>
      <c r="B36" s="81" t="str">
        <f ca="1">IFERROR(__xludf.DUMMYFUNCTION("""COMPUTED_VALUE"""),"NHBD")</f>
        <v>NHBD</v>
      </c>
      <c r="C36" s="139" t="str">
        <f ca="1">IFERROR(__xludf.DUMMYFUNCTION("""COMPUTED_VALUE"""),"Digital Product")</f>
        <v>Digital Product</v>
      </c>
      <c r="D36" s="140" t="str">
        <f ca="1">IFERROR(__xludf.DUMMYFUNCTION("""COMPUTED_VALUE""")," Engineering ")</f>
        <v xml:space="preserve"> Engineering </v>
      </c>
      <c r="E36" s="81" t="str">
        <f ca="1">IFERROR(__xludf.DUMMYFUNCTION("""COMPUTED_VALUE"""),"Direct Cost")</f>
        <v>Direct Cost</v>
      </c>
      <c r="F36" s="81" t="str">
        <f ca="1">IFERROR(__xludf.DUMMYFUNCTION("""COMPUTED_VALUE"""),"Supplies &amp; Printing Costs")</f>
        <v>Supplies &amp; Printing Costs</v>
      </c>
      <c r="G36" s="81" t="str">
        <f ca="1">IFERROR(__xludf.DUMMYFUNCTION("""COMPUTED_VALUE"""),"Other Direct Expenses")</f>
        <v>Other Direct Expenses</v>
      </c>
      <c r="H36" s="35">
        <f ca="1">IFERROR(__xludf.DUMMYFUNCTION("""COMPUTED_VALUE"""),93201)</f>
        <v>93201</v>
      </c>
      <c r="I36" s="140">
        <f ca="1">IFERROR(__xludf.DUMMYFUNCTION("""COMPUTED_VALUE"""),0)</f>
        <v>0</v>
      </c>
      <c r="J36" s="140">
        <f ca="1">IFERROR(__xludf.DUMMYFUNCTION("""COMPUTED_VALUE"""),0)</f>
        <v>0</v>
      </c>
      <c r="K36" s="140">
        <f ca="1">IFERROR(__xludf.DUMMYFUNCTION("""COMPUTED_VALUE"""),0)</f>
        <v>0</v>
      </c>
      <c r="L36" s="140">
        <f ca="1">IFERROR(__xludf.DUMMYFUNCTION("""COMPUTED_VALUE"""),0)</f>
        <v>0</v>
      </c>
      <c r="M36" s="143">
        <f ca="1">IFERROR(__xludf.DUMMYFUNCTION("""COMPUTED_VALUE"""),0)</f>
        <v>0</v>
      </c>
      <c r="N36" s="140">
        <f ca="1">IFERROR(__xludf.DUMMYFUNCTION("""COMPUTED_VALUE"""),0)</f>
        <v>0</v>
      </c>
      <c r="O36" s="140">
        <f ca="1">IFERROR(__xludf.DUMMYFUNCTION("""COMPUTED_VALUE"""),0)</f>
        <v>0</v>
      </c>
      <c r="P36" s="140">
        <f ca="1">IFERROR(__xludf.DUMMYFUNCTION("""COMPUTED_VALUE"""),0)</f>
        <v>0</v>
      </c>
      <c r="Q36" s="140">
        <f ca="1">IFERROR(__xludf.DUMMYFUNCTION("""COMPUTED_VALUE"""),0)</f>
        <v>0</v>
      </c>
      <c r="R36" s="140">
        <f ca="1">IFERROR(__xludf.DUMMYFUNCTION("""COMPUTED_VALUE"""),0)</f>
        <v>0</v>
      </c>
      <c r="S36" s="140">
        <f ca="1">IFERROR(__xludf.DUMMYFUNCTION("""COMPUTED_VALUE"""),0)</f>
        <v>0</v>
      </c>
      <c r="T36" s="140">
        <f ca="1">IFERROR(__xludf.DUMMYFUNCTION("""COMPUTED_VALUE"""),0)</f>
        <v>0</v>
      </c>
      <c r="U36" s="140">
        <f ca="1">IFERROR(__xludf.DUMMYFUNCTION("""COMPUTED_VALUE"""),0)</f>
        <v>0</v>
      </c>
    </row>
    <row r="37" spans="1:21" ht="12.5" x14ac:dyDescent="0.25">
      <c r="A37" s="81" t="str">
        <f ca="1">IFERROR(__xludf.DUMMYFUNCTION("""COMPUTED_VALUE"""),"Bangladesh")</f>
        <v>Bangladesh</v>
      </c>
      <c r="B37" s="81" t="str">
        <f ca="1">IFERROR(__xludf.DUMMYFUNCTION("""COMPUTED_VALUE"""),"NHBD")</f>
        <v>NHBD</v>
      </c>
      <c r="C37" s="139" t="str">
        <f ca="1">IFERROR(__xludf.DUMMYFUNCTION("""COMPUTED_VALUE"""),"Digital Product")</f>
        <v>Digital Product</v>
      </c>
      <c r="D37" s="140" t="str">
        <f ca="1">IFERROR(__xludf.DUMMYFUNCTION("""COMPUTED_VALUE""")," Engineering ")</f>
        <v xml:space="preserve"> Engineering </v>
      </c>
      <c r="E37" s="81" t="str">
        <f ca="1">IFERROR(__xludf.DUMMYFUNCTION("""COMPUTED_VALUE"""),"Direct Cost")</f>
        <v>Direct Cost</v>
      </c>
      <c r="F37" s="81" t="str">
        <f ca="1">IFERROR(__xludf.DUMMYFUNCTION("""COMPUTED_VALUE"""),"Supplies &amp; Printing Costs")</f>
        <v>Supplies &amp; Printing Costs</v>
      </c>
      <c r="G37" s="81" t="str">
        <f ca="1">IFERROR(__xludf.DUMMYFUNCTION("""COMPUTED_VALUE"""),"Printing expenses")</f>
        <v>Printing expenses</v>
      </c>
      <c r="H37" s="35">
        <f ca="1">IFERROR(__xludf.DUMMYFUNCTION("""COMPUTED_VALUE"""),93204)</f>
        <v>93204</v>
      </c>
      <c r="I37" s="140">
        <f ca="1">IFERROR(__xludf.DUMMYFUNCTION("""COMPUTED_VALUE"""),0)</f>
        <v>0</v>
      </c>
      <c r="J37" s="140">
        <f ca="1">IFERROR(__xludf.DUMMYFUNCTION("""COMPUTED_VALUE"""),0)</f>
        <v>0</v>
      </c>
      <c r="K37" s="140">
        <f ca="1">IFERROR(__xludf.DUMMYFUNCTION("""COMPUTED_VALUE"""),0)</f>
        <v>0</v>
      </c>
      <c r="L37" s="140">
        <f ca="1">IFERROR(__xludf.DUMMYFUNCTION("""COMPUTED_VALUE"""),0)</f>
        <v>0</v>
      </c>
      <c r="M37" s="143">
        <f ca="1">IFERROR(__xludf.DUMMYFUNCTION("""COMPUTED_VALUE"""),0)</f>
        <v>0</v>
      </c>
      <c r="N37" s="140">
        <f ca="1">IFERROR(__xludf.DUMMYFUNCTION("""COMPUTED_VALUE"""),0)</f>
        <v>0</v>
      </c>
      <c r="O37" s="140">
        <f ca="1">IFERROR(__xludf.DUMMYFUNCTION("""COMPUTED_VALUE"""),0)</f>
        <v>0</v>
      </c>
      <c r="P37" s="140">
        <f ca="1">IFERROR(__xludf.DUMMYFUNCTION("""COMPUTED_VALUE"""),0)</f>
        <v>0</v>
      </c>
      <c r="Q37" s="140">
        <f ca="1">IFERROR(__xludf.DUMMYFUNCTION("""COMPUTED_VALUE"""),0)</f>
        <v>0</v>
      </c>
      <c r="R37" s="140">
        <f ca="1">IFERROR(__xludf.DUMMYFUNCTION("""COMPUTED_VALUE"""),0)</f>
        <v>0</v>
      </c>
      <c r="S37" s="140">
        <f ca="1">IFERROR(__xludf.DUMMYFUNCTION("""COMPUTED_VALUE"""),0)</f>
        <v>0</v>
      </c>
      <c r="T37" s="140">
        <f ca="1">IFERROR(__xludf.DUMMYFUNCTION("""COMPUTED_VALUE"""),0)</f>
        <v>0</v>
      </c>
      <c r="U37" s="140">
        <f ca="1">IFERROR(__xludf.DUMMYFUNCTION("""COMPUTED_VALUE"""),0)</f>
        <v>0</v>
      </c>
    </row>
    <row r="38" spans="1:21" ht="12.5" x14ac:dyDescent="0.25">
      <c r="A38" s="81" t="str">
        <f ca="1">IFERROR(__xludf.DUMMYFUNCTION("""COMPUTED_VALUE"""),"Bangladesh")</f>
        <v>Bangladesh</v>
      </c>
      <c r="B38" s="81" t="str">
        <f ca="1">IFERROR(__xludf.DUMMYFUNCTION("""COMPUTED_VALUE"""),"NHBD")</f>
        <v>NHBD</v>
      </c>
      <c r="C38" s="139" t="str">
        <f ca="1">IFERROR(__xludf.DUMMYFUNCTION("""COMPUTED_VALUE"""),"Digital Product")</f>
        <v>Digital Product</v>
      </c>
      <c r="D38" s="140" t="str">
        <f ca="1">IFERROR(__xludf.DUMMYFUNCTION("""COMPUTED_VALUE""")," Engineering ")</f>
        <v xml:space="preserve"> Engineering </v>
      </c>
      <c r="E38" s="81" t="str">
        <f ca="1">IFERROR(__xludf.DUMMYFUNCTION("""COMPUTED_VALUE"""),"Direct Cost")</f>
        <v>Direct Cost</v>
      </c>
      <c r="F38" s="81" t="str">
        <f ca="1">IFERROR(__xludf.DUMMYFUNCTION("""COMPUTED_VALUE"""),"Communication Cost")</f>
        <v>Communication Cost</v>
      </c>
      <c r="G38" s="81" t="str">
        <f ca="1">IFERROR(__xludf.DUMMYFUNCTION("""COMPUTED_VALUE"""),"Internet Expenses")</f>
        <v>Internet Expenses</v>
      </c>
      <c r="H38" s="35">
        <f ca="1">IFERROR(__xludf.DUMMYFUNCTION("""COMPUTED_VALUE"""),93301)</f>
        <v>93301</v>
      </c>
      <c r="I38" s="140">
        <f ca="1">IFERROR(__xludf.DUMMYFUNCTION("""COMPUTED_VALUE"""),0)</f>
        <v>0</v>
      </c>
      <c r="J38" s="140">
        <f ca="1">IFERROR(__xludf.DUMMYFUNCTION("""COMPUTED_VALUE"""),0)</f>
        <v>0</v>
      </c>
      <c r="K38" s="140">
        <f ca="1">IFERROR(__xludf.DUMMYFUNCTION("""COMPUTED_VALUE"""),0)</f>
        <v>0</v>
      </c>
      <c r="L38" s="140">
        <f ca="1">IFERROR(__xludf.DUMMYFUNCTION("""COMPUTED_VALUE"""),0)</f>
        <v>0</v>
      </c>
      <c r="M38" s="143">
        <f ca="1">IFERROR(__xludf.DUMMYFUNCTION("""COMPUTED_VALUE"""),0)</f>
        <v>0</v>
      </c>
      <c r="N38" s="140">
        <f ca="1">IFERROR(__xludf.DUMMYFUNCTION("""COMPUTED_VALUE"""),0)</f>
        <v>0</v>
      </c>
      <c r="O38" s="140">
        <f ca="1">IFERROR(__xludf.DUMMYFUNCTION("""COMPUTED_VALUE"""),0)</f>
        <v>0</v>
      </c>
      <c r="P38" s="140">
        <f ca="1">IFERROR(__xludf.DUMMYFUNCTION("""COMPUTED_VALUE"""),0)</f>
        <v>0</v>
      </c>
      <c r="Q38" s="140">
        <f ca="1">IFERROR(__xludf.DUMMYFUNCTION("""COMPUTED_VALUE"""),0)</f>
        <v>0</v>
      </c>
      <c r="R38" s="140">
        <f ca="1">IFERROR(__xludf.DUMMYFUNCTION("""COMPUTED_VALUE"""),0)</f>
        <v>0</v>
      </c>
      <c r="S38" s="140">
        <f ca="1">IFERROR(__xludf.DUMMYFUNCTION("""COMPUTED_VALUE"""),0)</f>
        <v>0</v>
      </c>
      <c r="T38" s="140">
        <f ca="1">IFERROR(__xludf.DUMMYFUNCTION("""COMPUTED_VALUE"""),0)</f>
        <v>0</v>
      </c>
      <c r="U38" s="140">
        <f ca="1">IFERROR(__xludf.DUMMYFUNCTION("""COMPUTED_VALUE"""),0)</f>
        <v>0</v>
      </c>
    </row>
    <row r="39" spans="1:21" ht="12.5" x14ac:dyDescent="0.25">
      <c r="A39" s="81" t="str">
        <f ca="1">IFERROR(__xludf.DUMMYFUNCTION("""COMPUTED_VALUE"""),"Bangladesh")</f>
        <v>Bangladesh</v>
      </c>
      <c r="B39" s="81" t="str">
        <f ca="1">IFERROR(__xludf.DUMMYFUNCTION("""COMPUTED_VALUE"""),"NHBD")</f>
        <v>NHBD</v>
      </c>
      <c r="C39" s="139" t="str">
        <f ca="1">IFERROR(__xludf.DUMMYFUNCTION("""COMPUTED_VALUE"""),"Digital Product")</f>
        <v>Digital Product</v>
      </c>
      <c r="D39" s="140" t="str">
        <f ca="1">IFERROR(__xludf.DUMMYFUNCTION("""COMPUTED_VALUE""")," Engineering ")</f>
        <v xml:space="preserve"> Engineering </v>
      </c>
      <c r="E39" s="81" t="str">
        <f ca="1">IFERROR(__xludf.DUMMYFUNCTION("""COMPUTED_VALUE"""),"Direct Cost")</f>
        <v>Direct Cost</v>
      </c>
      <c r="F39" s="81" t="str">
        <f ca="1">IFERROR(__xludf.DUMMYFUNCTION("""COMPUTED_VALUE"""),"Communication Cost")</f>
        <v>Communication Cost</v>
      </c>
      <c r="G39" s="81" t="str">
        <f ca="1">IFERROR(__xludf.DUMMYFUNCTION("""COMPUTED_VALUE"""),"Postage &amp; Courier Expenses")</f>
        <v>Postage &amp; Courier Expenses</v>
      </c>
      <c r="H39" s="35">
        <f ca="1">IFERROR(__xludf.DUMMYFUNCTION("""COMPUTED_VALUE"""),93302)</f>
        <v>93302</v>
      </c>
      <c r="I39" s="140">
        <f ca="1">IFERROR(__xludf.DUMMYFUNCTION("""COMPUTED_VALUE"""),0)</f>
        <v>0</v>
      </c>
      <c r="J39" s="140">
        <f ca="1">IFERROR(__xludf.DUMMYFUNCTION("""COMPUTED_VALUE"""),0)</f>
        <v>0</v>
      </c>
      <c r="K39" s="140">
        <f ca="1">IFERROR(__xludf.DUMMYFUNCTION("""COMPUTED_VALUE"""),0)</f>
        <v>0</v>
      </c>
      <c r="L39" s="140">
        <f ca="1">IFERROR(__xludf.DUMMYFUNCTION("""COMPUTED_VALUE"""),0)</f>
        <v>0</v>
      </c>
      <c r="M39" s="143">
        <f ca="1">IFERROR(__xludf.DUMMYFUNCTION("""COMPUTED_VALUE"""),0)</f>
        <v>0</v>
      </c>
      <c r="N39" s="140">
        <f ca="1">IFERROR(__xludf.DUMMYFUNCTION("""COMPUTED_VALUE"""),0)</f>
        <v>0</v>
      </c>
      <c r="O39" s="140">
        <f ca="1">IFERROR(__xludf.DUMMYFUNCTION("""COMPUTED_VALUE"""),0)</f>
        <v>0</v>
      </c>
      <c r="P39" s="140">
        <f ca="1">IFERROR(__xludf.DUMMYFUNCTION("""COMPUTED_VALUE"""),0)</f>
        <v>0</v>
      </c>
      <c r="Q39" s="140">
        <f ca="1">IFERROR(__xludf.DUMMYFUNCTION("""COMPUTED_VALUE"""),0)</f>
        <v>0</v>
      </c>
      <c r="R39" s="140">
        <f ca="1">IFERROR(__xludf.DUMMYFUNCTION("""COMPUTED_VALUE"""),0)</f>
        <v>0</v>
      </c>
      <c r="S39" s="140">
        <f ca="1">IFERROR(__xludf.DUMMYFUNCTION("""COMPUTED_VALUE"""),0)</f>
        <v>0</v>
      </c>
      <c r="T39" s="140">
        <f ca="1">IFERROR(__xludf.DUMMYFUNCTION("""COMPUTED_VALUE"""),0)</f>
        <v>0</v>
      </c>
      <c r="U39" s="140">
        <f ca="1">IFERROR(__xludf.DUMMYFUNCTION("""COMPUTED_VALUE"""),0)</f>
        <v>0</v>
      </c>
    </row>
    <row r="40" spans="1:21" ht="12.5" x14ac:dyDescent="0.25">
      <c r="A40" s="81" t="str">
        <f ca="1">IFERROR(__xludf.DUMMYFUNCTION("""COMPUTED_VALUE"""),"Bangladesh")</f>
        <v>Bangladesh</v>
      </c>
      <c r="B40" s="81" t="str">
        <f ca="1">IFERROR(__xludf.DUMMYFUNCTION("""COMPUTED_VALUE"""),"NHBD")</f>
        <v>NHBD</v>
      </c>
      <c r="C40" s="139" t="str">
        <f ca="1">IFERROR(__xludf.DUMMYFUNCTION("""COMPUTED_VALUE"""),"Digital Product")</f>
        <v>Digital Product</v>
      </c>
      <c r="D40" s="140" t="str">
        <f ca="1">IFERROR(__xludf.DUMMYFUNCTION("""COMPUTED_VALUE""")," Engineering ")</f>
        <v xml:space="preserve"> Engineering </v>
      </c>
      <c r="E40" s="81" t="str">
        <f ca="1">IFERROR(__xludf.DUMMYFUNCTION("""COMPUTED_VALUE"""),"Direct Cost")</f>
        <v>Direct Cost</v>
      </c>
      <c r="F40" s="81" t="str">
        <f ca="1">IFERROR(__xludf.DUMMYFUNCTION("""COMPUTED_VALUE"""),"Communication Cost")</f>
        <v>Communication Cost</v>
      </c>
      <c r="G40" s="81" t="str">
        <f ca="1">IFERROR(__xludf.DUMMYFUNCTION("""COMPUTED_VALUE"""),"Telecommunication expenses")</f>
        <v>Telecommunication expenses</v>
      </c>
      <c r="H40" s="35">
        <f ca="1">IFERROR(__xludf.DUMMYFUNCTION("""COMPUTED_VALUE"""),93303)</f>
        <v>93303</v>
      </c>
      <c r="I40" s="140">
        <f ca="1">IFERROR(__xludf.DUMMYFUNCTION("""COMPUTED_VALUE"""),0)</f>
        <v>0</v>
      </c>
      <c r="J40" s="140">
        <f ca="1">IFERROR(__xludf.DUMMYFUNCTION("""COMPUTED_VALUE"""),0)</f>
        <v>0</v>
      </c>
      <c r="K40" s="140">
        <f ca="1">IFERROR(__xludf.DUMMYFUNCTION("""COMPUTED_VALUE"""),0)</f>
        <v>0</v>
      </c>
      <c r="L40" s="140">
        <f ca="1">IFERROR(__xludf.DUMMYFUNCTION("""COMPUTED_VALUE"""),0)</f>
        <v>0</v>
      </c>
      <c r="M40" s="143">
        <f ca="1">IFERROR(__xludf.DUMMYFUNCTION("""COMPUTED_VALUE"""),0)</f>
        <v>0</v>
      </c>
      <c r="N40" s="140">
        <f ca="1">IFERROR(__xludf.DUMMYFUNCTION("""COMPUTED_VALUE"""),0)</f>
        <v>0</v>
      </c>
      <c r="O40" s="140">
        <f ca="1">IFERROR(__xludf.DUMMYFUNCTION("""COMPUTED_VALUE"""),0)</f>
        <v>0</v>
      </c>
      <c r="P40" s="140">
        <f ca="1">IFERROR(__xludf.DUMMYFUNCTION("""COMPUTED_VALUE"""),0)</f>
        <v>0</v>
      </c>
      <c r="Q40" s="140">
        <f ca="1">IFERROR(__xludf.DUMMYFUNCTION("""COMPUTED_VALUE"""),0)</f>
        <v>0</v>
      </c>
      <c r="R40" s="140">
        <f ca="1">IFERROR(__xludf.DUMMYFUNCTION("""COMPUTED_VALUE"""),0)</f>
        <v>0</v>
      </c>
      <c r="S40" s="140">
        <f ca="1">IFERROR(__xludf.DUMMYFUNCTION("""COMPUTED_VALUE"""),0)</f>
        <v>0</v>
      </c>
      <c r="T40" s="140">
        <f ca="1">IFERROR(__xludf.DUMMYFUNCTION("""COMPUTED_VALUE"""),0)</f>
        <v>0</v>
      </c>
      <c r="U40" s="140">
        <f ca="1">IFERROR(__xludf.DUMMYFUNCTION("""COMPUTED_VALUE"""),0)</f>
        <v>0</v>
      </c>
    </row>
    <row r="41" spans="1:21" ht="12.5" x14ac:dyDescent="0.25">
      <c r="A41" s="81" t="str">
        <f ca="1">IFERROR(__xludf.DUMMYFUNCTION("""COMPUTED_VALUE"""),"Bangladesh")</f>
        <v>Bangladesh</v>
      </c>
      <c r="B41" s="81" t="str">
        <f ca="1">IFERROR(__xludf.DUMMYFUNCTION("""COMPUTED_VALUE"""),"NHBD")</f>
        <v>NHBD</v>
      </c>
      <c r="C41" s="139" t="str">
        <f ca="1">IFERROR(__xludf.DUMMYFUNCTION("""COMPUTED_VALUE"""),"Digital Product")</f>
        <v>Digital Product</v>
      </c>
      <c r="D41" s="140" t="str">
        <f ca="1">IFERROR(__xludf.DUMMYFUNCTION("""COMPUTED_VALUE""")," Engineering ")</f>
        <v xml:space="preserve"> Engineering </v>
      </c>
      <c r="E41" s="81" t="str">
        <f ca="1">IFERROR(__xludf.DUMMYFUNCTION("""COMPUTED_VALUE"""),"Direct Cost")</f>
        <v>Direct Cost</v>
      </c>
      <c r="F41" s="81" t="str">
        <f ca="1">IFERROR(__xludf.DUMMYFUNCTION("""COMPUTED_VALUE"""),"Office Expenses")</f>
        <v>Office Expenses</v>
      </c>
      <c r="G41" s="81" t="str">
        <f ca="1">IFERROR(__xludf.DUMMYFUNCTION("""COMPUTED_VALUE"""),"Software and Subscriptions")</f>
        <v>Software and Subscriptions</v>
      </c>
      <c r="H41" s="35">
        <f ca="1">IFERROR(__xludf.DUMMYFUNCTION("""COMPUTED_VALUE"""),93401)</f>
        <v>93401</v>
      </c>
      <c r="I41" s="140">
        <f ca="1">IFERROR(__xludf.DUMMYFUNCTION("""COMPUTED_VALUE"""),0)</f>
        <v>0</v>
      </c>
      <c r="J41" s="140">
        <f ca="1">IFERROR(__xludf.DUMMYFUNCTION("""COMPUTED_VALUE"""),0)</f>
        <v>0</v>
      </c>
      <c r="K41" s="140">
        <f ca="1">IFERROR(__xludf.DUMMYFUNCTION("""COMPUTED_VALUE"""),0)</f>
        <v>0</v>
      </c>
      <c r="L41" s="140">
        <f ca="1">IFERROR(__xludf.DUMMYFUNCTION("""COMPUTED_VALUE"""),0)</f>
        <v>0</v>
      </c>
      <c r="M41" s="143">
        <f ca="1">IFERROR(__xludf.DUMMYFUNCTION("""COMPUTED_VALUE"""),0)</f>
        <v>0</v>
      </c>
      <c r="N41" s="140">
        <f ca="1">IFERROR(__xludf.DUMMYFUNCTION("""COMPUTED_VALUE"""),0)</f>
        <v>0</v>
      </c>
      <c r="O41" s="140">
        <f ca="1">IFERROR(__xludf.DUMMYFUNCTION("""COMPUTED_VALUE"""),0)</f>
        <v>0</v>
      </c>
      <c r="P41" s="140">
        <f ca="1">IFERROR(__xludf.DUMMYFUNCTION("""COMPUTED_VALUE"""),0)</f>
        <v>0</v>
      </c>
      <c r="Q41" s="140">
        <f ca="1">IFERROR(__xludf.DUMMYFUNCTION("""COMPUTED_VALUE"""),0)</f>
        <v>0</v>
      </c>
      <c r="R41" s="140">
        <f ca="1">IFERROR(__xludf.DUMMYFUNCTION("""COMPUTED_VALUE"""),0)</f>
        <v>0</v>
      </c>
      <c r="S41" s="140">
        <f ca="1">IFERROR(__xludf.DUMMYFUNCTION("""COMPUTED_VALUE"""),0)</f>
        <v>0</v>
      </c>
      <c r="T41" s="140">
        <f ca="1">IFERROR(__xludf.DUMMYFUNCTION("""COMPUTED_VALUE"""),0)</f>
        <v>0</v>
      </c>
      <c r="U41" s="140">
        <f ca="1">IFERROR(__xludf.DUMMYFUNCTION("""COMPUTED_VALUE"""),0)</f>
        <v>0</v>
      </c>
    </row>
    <row r="42" spans="1:21" ht="12.5" x14ac:dyDescent="0.25">
      <c r="A42" s="81" t="str">
        <f ca="1">IFERROR(__xludf.DUMMYFUNCTION("""COMPUTED_VALUE"""),"Bangladesh")</f>
        <v>Bangladesh</v>
      </c>
      <c r="B42" s="81" t="str">
        <f ca="1">IFERROR(__xludf.DUMMYFUNCTION("""COMPUTED_VALUE"""),"NHBD")</f>
        <v>NHBD</v>
      </c>
      <c r="C42" s="139" t="str">
        <f ca="1">IFERROR(__xludf.DUMMYFUNCTION("""COMPUTED_VALUE"""),"Digital Product")</f>
        <v>Digital Product</v>
      </c>
      <c r="D42" s="140" t="str">
        <f ca="1">IFERROR(__xludf.DUMMYFUNCTION("""COMPUTED_VALUE""")," Engineering ")</f>
        <v xml:space="preserve"> Engineering </v>
      </c>
      <c r="E42" s="81" t="str">
        <f ca="1">IFERROR(__xludf.DUMMYFUNCTION("""COMPUTED_VALUE"""),"Direct Cost")</f>
        <v>Direct Cost</v>
      </c>
      <c r="F42" s="81" t="str">
        <f ca="1">IFERROR(__xludf.DUMMYFUNCTION("""COMPUTED_VALUE"""),"Office Expenses")</f>
        <v>Office Expenses</v>
      </c>
      <c r="G42" s="81" t="str">
        <f ca="1">IFERROR(__xludf.DUMMYFUNCTION("""COMPUTED_VALUE"""),"Stationery &amp; Consumables")</f>
        <v>Stationery &amp; Consumables</v>
      </c>
      <c r="H42" s="35">
        <f ca="1">IFERROR(__xludf.DUMMYFUNCTION("""COMPUTED_VALUE"""),93404)</f>
        <v>93404</v>
      </c>
      <c r="I42" s="140">
        <f ca="1">IFERROR(__xludf.DUMMYFUNCTION("""COMPUTED_VALUE"""),0)</f>
        <v>0</v>
      </c>
      <c r="J42" s="140">
        <f ca="1">IFERROR(__xludf.DUMMYFUNCTION("""COMPUTED_VALUE"""),0)</f>
        <v>0</v>
      </c>
      <c r="K42" s="140">
        <f ca="1">IFERROR(__xludf.DUMMYFUNCTION("""COMPUTED_VALUE"""),0)</f>
        <v>0</v>
      </c>
      <c r="L42" s="140">
        <f ca="1">IFERROR(__xludf.DUMMYFUNCTION("""COMPUTED_VALUE"""),0)</f>
        <v>0</v>
      </c>
      <c r="M42" s="143">
        <f ca="1">IFERROR(__xludf.DUMMYFUNCTION("""COMPUTED_VALUE"""),0)</f>
        <v>0</v>
      </c>
      <c r="N42" s="140">
        <f ca="1">IFERROR(__xludf.DUMMYFUNCTION("""COMPUTED_VALUE"""),0)</f>
        <v>0</v>
      </c>
      <c r="O42" s="140">
        <f ca="1">IFERROR(__xludf.DUMMYFUNCTION("""COMPUTED_VALUE"""),0)</f>
        <v>0</v>
      </c>
      <c r="P42" s="140">
        <f ca="1">IFERROR(__xludf.DUMMYFUNCTION("""COMPUTED_VALUE"""),0)</f>
        <v>0</v>
      </c>
      <c r="Q42" s="140">
        <f ca="1">IFERROR(__xludf.DUMMYFUNCTION("""COMPUTED_VALUE"""),0)</f>
        <v>0</v>
      </c>
      <c r="R42" s="140">
        <f ca="1">IFERROR(__xludf.DUMMYFUNCTION("""COMPUTED_VALUE"""),0)</f>
        <v>0</v>
      </c>
      <c r="S42" s="140">
        <f ca="1">IFERROR(__xludf.DUMMYFUNCTION("""COMPUTED_VALUE"""),0)</f>
        <v>0</v>
      </c>
      <c r="T42" s="140">
        <f ca="1">IFERROR(__xludf.DUMMYFUNCTION("""COMPUTED_VALUE"""),0)</f>
        <v>0</v>
      </c>
      <c r="U42" s="140">
        <f ca="1">IFERROR(__xludf.DUMMYFUNCTION("""COMPUTED_VALUE"""),0)</f>
        <v>0</v>
      </c>
    </row>
    <row r="43" spans="1:21" ht="12.5" x14ac:dyDescent="0.25">
      <c r="A43" s="81" t="str">
        <f ca="1">IFERROR(__xludf.DUMMYFUNCTION("""COMPUTED_VALUE"""),"Bangladesh")</f>
        <v>Bangladesh</v>
      </c>
      <c r="B43" s="81" t="str">
        <f ca="1">IFERROR(__xludf.DUMMYFUNCTION("""COMPUTED_VALUE"""),"NHBD")</f>
        <v>NHBD</v>
      </c>
      <c r="C43" s="139" t="str">
        <f ca="1">IFERROR(__xludf.DUMMYFUNCTION("""COMPUTED_VALUE"""),"Digital Product")</f>
        <v>Digital Product</v>
      </c>
      <c r="D43" s="140" t="str">
        <f ca="1">IFERROR(__xludf.DUMMYFUNCTION("""COMPUTED_VALUE""")," Engineering ")</f>
        <v xml:space="preserve"> Engineering </v>
      </c>
      <c r="E43" s="81" t="str">
        <f ca="1">IFERROR(__xludf.DUMMYFUNCTION("""COMPUTED_VALUE"""),"Direct Cost")</f>
        <v>Direct Cost</v>
      </c>
      <c r="F43" s="81" t="str">
        <f ca="1">IFERROR(__xludf.DUMMYFUNCTION("""COMPUTED_VALUE"""),"Office Expenses")</f>
        <v>Office Expenses</v>
      </c>
      <c r="G43" s="81" t="str">
        <f ca="1">IFERROR(__xludf.DUMMYFUNCTION("""COMPUTED_VALUE"""),"Office Equipment Expense")</f>
        <v>Office Equipment Expense</v>
      </c>
      <c r="H43" s="35">
        <f ca="1">IFERROR(__xludf.DUMMYFUNCTION("""COMPUTED_VALUE"""),93405)</f>
        <v>93405</v>
      </c>
      <c r="I43" s="140">
        <f ca="1">IFERROR(__xludf.DUMMYFUNCTION("""COMPUTED_VALUE"""),0)</f>
        <v>0</v>
      </c>
      <c r="J43" s="140">
        <f ca="1">IFERROR(__xludf.DUMMYFUNCTION("""COMPUTED_VALUE"""),0)</f>
        <v>0</v>
      </c>
      <c r="K43" s="140">
        <f ca="1">IFERROR(__xludf.DUMMYFUNCTION("""COMPUTED_VALUE"""),0)</f>
        <v>0</v>
      </c>
      <c r="L43" s="140">
        <f ca="1">IFERROR(__xludf.DUMMYFUNCTION("""COMPUTED_VALUE"""),0)</f>
        <v>0</v>
      </c>
      <c r="M43" s="143">
        <f ca="1">IFERROR(__xludf.DUMMYFUNCTION("""COMPUTED_VALUE"""),0)</f>
        <v>0</v>
      </c>
      <c r="N43" s="140">
        <f ca="1">IFERROR(__xludf.DUMMYFUNCTION("""COMPUTED_VALUE"""),0)</f>
        <v>0</v>
      </c>
      <c r="O43" s="140">
        <f ca="1">IFERROR(__xludf.DUMMYFUNCTION("""COMPUTED_VALUE"""),0)</f>
        <v>0</v>
      </c>
      <c r="P43" s="140">
        <f ca="1">IFERROR(__xludf.DUMMYFUNCTION("""COMPUTED_VALUE"""),0)</f>
        <v>0</v>
      </c>
      <c r="Q43" s="140">
        <f ca="1">IFERROR(__xludf.DUMMYFUNCTION("""COMPUTED_VALUE"""),0)</f>
        <v>0</v>
      </c>
      <c r="R43" s="140">
        <f ca="1">IFERROR(__xludf.DUMMYFUNCTION("""COMPUTED_VALUE"""),0)</f>
        <v>0</v>
      </c>
      <c r="S43" s="140">
        <f ca="1">IFERROR(__xludf.DUMMYFUNCTION("""COMPUTED_VALUE"""),0)</f>
        <v>0</v>
      </c>
      <c r="T43" s="140">
        <f ca="1">IFERROR(__xludf.DUMMYFUNCTION("""COMPUTED_VALUE"""),0)</f>
        <v>0</v>
      </c>
      <c r="U43" s="140">
        <f ca="1">IFERROR(__xludf.DUMMYFUNCTION("""COMPUTED_VALUE"""),0)</f>
        <v>0</v>
      </c>
    </row>
    <row r="44" spans="1:21" ht="12.5" x14ac:dyDescent="0.25">
      <c r="A44" s="81" t="str">
        <f ca="1">IFERROR(__xludf.DUMMYFUNCTION("""COMPUTED_VALUE"""),"Bangladesh")</f>
        <v>Bangladesh</v>
      </c>
      <c r="B44" s="81" t="str">
        <f ca="1">IFERROR(__xludf.DUMMYFUNCTION("""COMPUTED_VALUE"""),"NHBD")</f>
        <v>NHBD</v>
      </c>
      <c r="C44" s="139" t="str">
        <f ca="1">IFERROR(__xludf.DUMMYFUNCTION("""COMPUTED_VALUE"""),"Digital Product")</f>
        <v>Digital Product</v>
      </c>
      <c r="D44" s="140" t="str">
        <f ca="1">IFERROR(__xludf.DUMMYFUNCTION("""COMPUTED_VALUE""")," Engineering ")</f>
        <v xml:space="preserve"> Engineering </v>
      </c>
      <c r="E44" s="81" t="str">
        <f ca="1">IFERROR(__xludf.DUMMYFUNCTION("""COMPUTED_VALUE"""),"Indirect Cost")</f>
        <v>Indirect Cost</v>
      </c>
      <c r="F44" s="81" t="str">
        <f ca="1">IFERROR(__xludf.DUMMYFUNCTION("""COMPUTED_VALUE"""),"Professional &amp; Consultancy Charges")</f>
        <v>Professional &amp; Consultancy Charges</v>
      </c>
      <c r="G44" s="81" t="str">
        <f ca="1">IFERROR(__xludf.DUMMYFUNCTION("""COMPUTED_VALUE"""),"Admin Consultants")</f>
        <v>Admin Consultants</v>
      </c>
      <c r="H44" s="35">
        <f ca="1">IFERROR(__xludf.DUMMYFUNCTION("""COMPUTED_VALUE"""),93703)</f>
        <v>93703</v>
      </c>
      <c r="I44" s="140">
        <f ca="1">IFERROR(__xludf.DUMMYFUNCTION("""COMPUTED_VALUE"""),0)</f>
        <v>0</v>
      </c>
      <c r="J44" s="140">
        <f ca="1">IFERROR(__xludf.DUMMYFUNCTION("""COMPUTED_VALUE"""),0)</f>
        <v>0</v>
      </c>
      <c r="K44" s="140">
        <f ca="1">IFERROR(__xludf.DUMMYFUNCTION("""COMPUTED_VALUE"""),0)</f>
        <v>0</v>
      </c>
      <c r="L44" s="140">
        <f ca="1">IFERROR(__xludf.DUMMYFUNCTION("""COMPUTED_VALUE"""),0)</f>
        <v>0</v>
      </c>
      <c r="M44" s="143">
        <f ca="1">IFERROR(__xludf.DUMMYFUNCTION("""COMPUTED_VALUE"""),0)</f>
        <v>0</v>
      </c>
      <c r="N44" s="140">
        <f ca="1">IFERROR(__xludf.DUMMYFUNCTION("""COMPUTED_VALUE"""),0)</f>
        <v>0</v>
      </c>
      <c r="O44" s="140">
        <f ca="1">IFERROR(__xludf.DUMMYFUNCTION("""COMPUTED_VALUE"""),0)</f>
        <v>0</v>
      </c>
      <c r="P44" s="140">
        <f ca="1">IFERROR(__xludf.DUMMYFUNCTION("""COMPUTED_VALUE"""),0)</f>
        <v>0</v>
      </c>
      <c r="Q44" s="140">
        <f ca="1">IFERROR(__xludf.DUMMYFUNCTION("""COMPUTED_VALUE"""),0)</f>
        <v>0</v>
      </c>
      <c r="R44" s="140">
        <f ca="1">IFERROR(__xludf.DUMMYFUNCTION("""COMPUTED_VALUE"""),0)</f>
        <v>0</v>
      </c>
      <c r="S44" s="140">
        <f ca="1">IFERROR(__xludf.DUMMYFUNCTION("""COMPUTED_VALUE"""),0)</f>
        <v>0</v>
      </c>
      <c r="T44" s="140">
        <f ca="1">IFERROR(__xludf.DUMMYFUNCTION("""COMPUTED_VALUE"""),0)</f>
        <v>0</v>
      </c>
      <c r="U44" s="140">
        <f ca="1">IFERROR(__xludf.DUMMYFUNCTION("""COMPUTED_VALUE"""),0)</f>
        <v>0</v>
      </c>
    </row>
    <row r="45" spans="1:21" ht="12.5" x14ac:dyDescent="0.25">
      <c r="A45" s="81" t="str">
        <f ca="1">IFERROR(__xludf.DUMMYFUNCTION("""COMPUTED_VALUE"""),"Bangladesh")</f>
        <v>Bangladesh</v>
      </c>
      <c r="B45" s="81" t="str">
        <f ca="1">IFERROR(__xludf.DUMMYFUNCTION("""COMPUTED_VALUE"""),"NHBD")</f>
        <v>NHBD</v>
      </c>
      <c r="C45" s="139" t="str">
        <f ca="1">IFERROR(__xludf.DUMMYFUNCTION("""COMPUTED_VALUE"""),"Digital Product")</f>
        <v>Digital Product</v>
      </c>
      <c r="D45" s="139" t="str">
        <f ca="1">IFERROR(__xludf.DUMMYFUNCTION("""COMPUTED_VALUE"""),"Engineering")</f>
        <v>Engineering</v>
      </c>
      <c r="E45" s="81" t="str">
        <f ca="1">IFERROR(__xludf.DUMMYFUNCTION("""COMPUTED_VALUE"""),"Fixed Assets")</f>
        <v>Fixed Assets</v>
      </c>
      <c r="F45" s="81" t="str">
        <f ca="1">IFERROR(__xludf.DUMMYFUNCTION("""COMPUTED_VALUE"""),"Fixed Assets")</f>
        <v>Fixed Assets</v>
      </c>
      <c r="G45" s="81" t="str">
        <f ca="1">IFERROR(__xludf.DUMMYFUNCTION("""COMPUTED_VALUE"""),"Laptop/ Printer")</f>
        <v>Laptop/ Printer</v>
      </c>
      <c r="H45" s="35">
        <f ca="1">IFERROR(__xludf.DUMMYFUNCTION("""COMPUTED_VALUE"""),11301)</f>
        <v>11301</v>
      </c>
      <c r="I45" s="140">
        <f ca="1">IFERROR(__xludf.DUMMYFUNCTION("""COMPUTED_VALUE"""),250000)</f>
        <v>250000</v>
      </c>
      <c r="J45" s="140">
        <f ca="1">IFERROR(__xludf.DUMMYFUNCTION("""COMPUTED_VALUE"""),0)</f>
        <v>0</v>
      </c>
      <c r="K45" s="140">
        <f ca="1">IFERROR(__xludf.DUMMYFUNCTION("""COMPUTED_VALUE"""),250000)</f>
        <v>250000</v>
      </c>
      <c r="L45" s="140">
        <f ca="1">IFERROR(__xludf.DUMMYFUNCTION("""COMPUTED_VALUE"""),0)</f>
        <v>0</v>
      </c>
      <c r="M45" s="143">
        <f ca="1">IFERROR(__xludf.DUMMYFUNCTION("""COMPUTED_VALUE"""),0)</f>
        <v>0</v>
      </c>
      <c r="N45" s="140">
        <f ca="1">IFERROR(__xludf.DUMMYFUNCTION("""COMPUTED_VALUE"""),0)</f>
        <v>0</v>
      </c>
      <c r="O45" s="140">
        <f ca="1">IFERROR(__xludf.DUMMYFUNCTION("""COMPUTED_VALUE"""),0)</f>
        <v>0</v>
      </c>
      <c r="P45" s="140">
        <f ca="1">IFERROR(__xludf.DUMMYFUNCTION("""COMPUTED_VALUE"""),0)</f>
        <v>0</v>
      </c>
      <c r="Q45" s="140">
        <f ca="1">IFERROR(__xludf.DUMMYFUNCTION("""COMPUTED_VALUE"""),0)</f>
        <v>0</v>
      </c>
      <c r="R45" s="140">
        <f ca="1">IFERROR(__xludf.DUMMYFUNCTION("""COMPUTED_VALUE"""),0)</f>
        <v>0</v>
      </c>
      <c r="S45" s="140">
        <f ca="1">IFERROR(__xludf.DUMMYFUNCTION("""COMPUTED_VALUE"""),0)</f>
        <v>0</v>
      </c>
      <c r="T45" s="140">
        <f ca="1">IFERROR(__xludf.DUMMYFUNCTION("""COMPUTED_VALUE"""),0)</f>
        <v>0</v>
      </c>
      <c r="U45" s="140">
        <f ca="1">IFERROR(__xludf.DUMMYFUNCTION("""COMPUTED_VALUE"""),0)</f>
        <v>0</v>
      </c>
    </row>
    <row r="46" spans="1:21" ht="13" x14ac:dyDescent="0.3">
      <c r="A46" s="170"/>
      <c r="B46" s="170"/>
      <c r="C46" s="170"/>
      <c r="D46" s="170"/>
      <c r="E46" s="170"/>
      <c r="F46" s="170"/>
      <c r="G46" s="170" t="str">
        <f ca="1">IFERROR(__xludf.DUMMYFUNCTION("""COMPUTED_VALUE"""),"Total expenses ")</f>
        <v xml:space="preserve">Total expenses </v>
      </c>
      <c r="H46" s="170"/>
      <c r="I46" s="171">
        <f ca="1">IFERROR(__xludf.DUMMYFUNCTION("""COMPUTED_VALUE"""),1821000)</f>
        <v>1821000</v>
      </c>
      <c r="J46" s="171">
        <f ca="1">IFERROR(__xludf.DUMMYFUNCTION("""COMPUTED_VALUE"""),0)</f>
        <v>0</v>
      </c>
      <c r="K46" s="171">
        <f ca="1">IFERROR(__xludf.DUMMYFUNCTION("""COMPUTED_VALUE"""),250000)</f>
        <v>250000</v>
      </c>
      <c r="L46" s="171">
        <f ca="1">IFERROR(__xludf.DUMMYFUNCTION("""COMPUTED_VALUE"""),151500)</f>
        <v>151500</v>
      </c>
      <c r="M46" s="171">
        <f ca="1">IFERROR(__xludf.DUMMYFUNCTION("""COMPUTED_VALUE"""),179500)</f>
        <v>179500</v>
      </c>
      <c r="N46" s="171">
        <f ca="1">IFERROR(__xludf.DUMMYFUNCTION("""COMPUTED_VALUE"""),151500)</f>
        <v>151500</v>
      </c>
      <c r="O46" s="171">
        <f ca="1">IFERROR(__xludf.DUMMYFUNCTION("""COMPUTED_VALUE"""),151500)</f>
        <v>151500</v>
      </c>
      <c r="P46" s="171">
        <f ca="1">IFERROR(__xludf.DUMMYFUNCTION("""COMPUTED_VALUE"""),151500)</f>
        <v>151500</v>
      </c>
      <c r="Q46" s="171">
        <f ca="1">IFERROR(__xludf.DUMMYFUNCTION("""COMPUTED_VALUE"""),179500)</f>
        <v>179500</v>
      </c>
      <c r="R46" s="171">
        <f ca="1">IFERROR(__xludf.DUMMYFUNCTION("""COMPUTED_VALUE"""),151500)</f>
        <v>151500</v>
      </c>
      <c r="S46" s="171">
        <f ca="1">IFERROR(__xludf.DUMMYFUNCTION("""COMPUTED_VALUE"""),151500)</f>
        <v>151500</v>
      </c>
      <c r="T46" s="171">
        <f ca="1">IFERROR(__xludf.DUMMYFUNCTION("""COMPUTED_VALUE"""),151500)</f>
        <v>151500</v>
      </c>
      <c r="U46" s="171">
        <f ca="1">IFERROR(__xludf.DUMMYFUNCTION("""COMPUTED_VALUE"""),151500)</f>
        <v>151500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Snapshot</vt:lpstr>
      <vt:lpstr>Staff Numbers</vt:lpstr>
      <vt:lpstr>Shared Summary by Dept_US$</vt:lpstr>
      <vt:lpstr>Digital Product Summary by COA</vt:lpstr>
      <vt:lpstr>India- Tech Build Out</vt:lpstr>
      <vt:lpstr>US- Tech Build Out</vt:lpstr>
      <vt:lpstr>EHA</vt:lpstr>
      <vt:lpstr>HR Details</vt:lpstr>
      <vt:lpstr>Nepal- Tech Build Out</vt:lpstr>
      <vt:lpstr>INDO- Tech Build-Out</vt:lpstr>
      <vt:lpstr>BD- Tech Build-Out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M</cp:lastModifiedBy>
  <dcterms:modified xsi:type="dcterms:W3CDTF">2026-09-15T04:54:53Z</dcterms:modified>
</cp:coreProperties>
</file>